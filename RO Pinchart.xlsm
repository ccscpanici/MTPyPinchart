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71CD8D5D-1A84-409D-8427-13BBF169131B}" xr6:coauthVersionLast="45" xr6:coauthVersionMax="45" xr10:uidLastSave="{00000000-0000-0000-0000-000000000000}"/>
  <bookViews>
    <workbookView xWindow="-120" yWindow="-120" windowWidth="28905" windowHeight="13545" activeTab="1" xr2:uid="{00000000-000D-0000-FFFF-FFFF00000000}"/>
  </bookViews>
  <sheets>
    <sheet name="Main Program" sheetId="1" r:id="rId1"/>
    <sheet name="PINCHART-PROC" sheetId="17" r:id="rId2"/>
    <sheet name="PINCHART-CIP" sheetId="18" r:id="rId3"/>
    <sheet name="PINCHART-CIP-Short Wash" sheetId="19" r:id="rId4"/>
    <sheet name="PINCHART-CIP-Soak" sheetId="20" r:id="rId5"/>
    <sheet name="PINCHART-CIP-Rinse" sheetId="21" r:id="rId6"/>
    <sheet name="PINCHART-CIP-Sanitize" sheetId="22" r:id="rId7"/>
    <sheet name="CONDITION BIT OVERVIEW" sheetId="23"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O7" i="22"/>
  <c r="FE7" i="22"/>
  <c r="DU7" i="22"/>
  <c r="CK7" i="22"/>
  <c r="BA7" i="22"/>
  <c r="S7" i="22"/>
  <c r="P7" i="22"/>
  <c r="L7" i="22"/>
  <c r="I7" i="22"/>
  <c r="I8" i="22" s="1"/>
  <c r="I9" i="22" s="1"/>
  <c r="I10" i="22" s="1"/>
  <c r="I11" i="22" s="1"/>
  <c r="I12" i="22" s="1"/>
  <c r="I13" i="22" s="1"/>
  <c r="I14" i="22" s="1"/>
  <c r="I15" i="22" s="1"/>
  <c r="I16" i="22" s="1"/>
  <c r="I17" i="22" s="1"/>
  <c r="I18" i="22" s="1"/>
  <c r="I19" i="22" s="1"/>
  <c r="I20" i="22" s="1"/>
  <c r="I21" i="22" s="1"/>
  <c r="I22" i="22" s="1"/>
  <c r="I23" i="22" s="1"/>
  <c r="I24" i="22" s="1"/>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P7" i="22" s="1"/>
  <c r="GP8" i="22" s="1"/>
  <c r="GP9" i="22" s="1"/>
  <c r="GP10" i="22" s="1"/>
  <c r="GP11" i="22" s="1"/>
  <c r="GP12" i="22" s="1"/>
  <c r="GP13" i="22" s="1"/>
  <c r="GP14" i="22" s="1"/>
  <c r="GP15" i="22" s="1"/>
  <c r="GP16" i="22" s="1"/>
  <c r="GP17" i="22" s="1"/>
  <c r="GP18" i="22" s="1"/>
  <c r="GP19" i="22" s="1"/>
  <c r="GP20" i="22" s="1"/>
  <c r="GP21" i="22" s="1"/>
  <c r="GP22" i="22" s="1"/>
  <c r="GP23" i="22" s="1"/>
  <c r="GP24" i="22" s="1"/>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V7" i="22" s="1"/>
  <c r="DV8" i="22" s="1"/>
  <c r="DV9" i="22" s="1"/>
  <c r="DV10" i="22" s="1"/>
  <c r="DV11" i="22" s="1"/>
  <c r="DV12" i="22" s="1"/>
  <c r="DV13" i="22" s="1"/>
  <c r="DV14" i="22" s="1"/>
  <c r="DV15" i="22" s="1"/>
  <c r="DV16" i="22" s="1"/>
  <c r="DV17" i="22" s="1"/>
  <c r="DV18" i="22" s="1"/>
  <c r="DV19" i="22" s="1"/>
  <c r="DV20" i="22" s="1"/>
  <c r="DV21" i="22" s="1"/>
  <c r="DV22" i="22" s="1"/>
  <c r="DV23" i="22" s="1"/>
  <c r="DV24" i="22" s="1"/>
  <c r="DU6" i="22"/>
  <c r="CL6" i="22"/>
  <c r="CL7" i="22" s="1"/>
  <c r="CL8" i="22" s="1"/>
  <c r="CL9" i="22" s="1"/>
  <c r="CL10" i="22" s="1"/>
  <c r="CL11" i="22" s="1"/>
  <c r="CL12" i="22" s="1"/>
  <c r="CL13" i="22" s="1"/>
  <c r="CL14" i="22" s="1"/>
  <c r="CL15" i="22" s="1"/>
  <c r="CL16" i="22" s="1"/>
  <c r="CL17" i="22" s="1"/>
  <c r="CL18" i="22" s="1"/>
  <c r="CL19" i="22" s="1"/>
  <c r="CL20" i="22" s="1"/>
  <c r="CL21" i="22" s="1"/>
  <c r="CL22" i="22" s="1"/>
  <c r="CL23" i="22" s="1"/>
  <c r="CL24" i="22" s="1"/>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M21" i="21"/>
  <c r="M22" i="21" s="1"/>
  <c r="M23" i="21" s="1"/>
  <c r="M24" i="21" s="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Z8" i="20"/>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8" i="20"/>
  <c r="GO8" i="20"/>
  <c r="FF8" i="20"/>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8" i="20"/>
  <c r="DU8" i="20"/>
  <c r="CL8" i="20"/>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8" i="20"/>
  <c r="BA8" i="20"/>
  <c r="S8" i="20"/>
  <c r="P8" i="20"/>
  <c r="L8" i="20"/>
  <c r="H8" i="20"/>
  <c r="D8" i="20"/>
  <c r="B8" i="20"/>
  <c r="IC7" i="20"/>
  <c r="HY7" i="20"/>
  <c r="GP7" i="20"/>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7" i="20"/>
  <c r="FE7" i="20"/>
  <c r="DU7" i="20"/>
  <c r="CK7" i="20"/>
  <c r="BA7" i="20"/>
  <c r="S7" i="20"/>
  <c r="Q7" i="20"/>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Y6" i="20"/>
  <c r="GP6" i="20"/>
  <c r="GO6" i="20"/>
  <c r="FF6" i="20"/>
  <c r="FF7"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F28" i="19"/>
  <c r="FF29" i="19" s="1"/>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M7" i="17"/>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HX16" i="22" a="1"/>
  <c r="HX11" i="22" a="1"/>
  <c r="HX9" i="22" a="1"/>
  <c r="HX21" i="22" a="1"/>
  <c r="HX7" i="22" a="1"/>
  <c r="HX12" i="22" a="1"/>
  <c r="GN8" i="22" a="1"/>
  <c r="GN12" i="22" a="1"/>
  <c r="GN19" i="22" a="1"/>
  <c r="GN9" i="22" a="1"/>
  <c r="GN20" i="22" a="1"/>
  <c r="FD18" i="22" a="1"/>
  <c r="FD21" i="22" a="1"/>
  <c r="FD12" i="22" a="1"/>
  <c r="FD7" i="22" a="1"/>
  <c r="FD22" i="22" a="1"/>
  <c r="DT20" i="22" a="1"/>
  <c r="DT12" i="22" a="1"/>
  <c r="DT18" i="22" a="1"/>
  <c r="DT9" i="22" a="1"/>
  <c r="DT22" i="22" a="1"/>
  <c r="HX19" i="17" a="1"/>
  <c r="HX10" i="17" a="1"/>
  <c r="HX23" i="17" a="1"/>
  <c r="HX27" i="17" a="1"/>
  <c r="HX15" i="17" a="1"/>
  <c r="HX14" i="17" a="1"/>
  <c r="GN8" i="17" a="1"/>
  <c r="GN20" i="17" a="1"/>
  <c r="GN27" i="17" a="1"/>
  <c r="GN19" i="17" a="1"/>
  <c r="GN23" i="17" a="1"/>
  <c r="GN18" i="17" a="1"/>
  <c r="GN6" i="17" a="1"/>
  <c r="AZ16" i="22" a="1"/>
  <c r="AZ17" i="22" a="1"/>
  <c r="AZ10" i="22" a="1"/>
  <c r="AZ7" i="22" a="1"/>
  <c r="AZ21" i="22" a="1"/>
  <c r="FD28" i="17" a="1"/>
  <c r="FD25" i="17" a="1"/>
  <c r="FD10" i="17" a="1"/>
  <c r="FD17" i="17" a="1"/>
  <c r="FD18" i="17" a="1"/>
  <c r="FD20" i="17" a="1"/>
  <c r="HX5" i="20" a="1"/>
  <c r="HX22" i="20" a="1"/>
  <c r="HX24" i="20" a="1"/>
  <c r="HX12" i="20" a="1"/>
  <c r="HX30" i="20" a="1"/>
  <c r="HX33" i="20" a="1"/>
  <c r="HX25" i="20" a="1"/>
  <c r="HX7" i="20" a="1"/>
  <c r="DT12" i="17" a="1"/>
  <c r="DT28" i="17" a="1"/>
  <c r="DT15" i="17" a="1"/>
  <c r="DT25" i="17" a="1"/>
  <c r="DT9" i="17" a="1"/>
  <c r="DT6" i="17" a="1"/>
  <c r="GN26" i="20" a="1"/>
  <c r="GN21" i="20" a="1"/>
  <c r="GN16" i="20" a="1"/>
  <c r="GN14" i="20" a="1"/>
  <c r="GN6" i="20" a="1"/>
  <c r="GN31" i="20" a="1"/>
  <c r="GN12" i="20" a="1"/>
  <c r="GN35" i="20" a="1"/>
  <c r="CJ28" i="17" a="1"/>
  <c r="CJ6" i="17" a="1"/>
  <c r="CJ20" i="17" a="1"/>
  <c r="CJ10" i="17" a="1"/>
  <c r="CJ23" i="17" a="1"/>
  <c r="CJ13" i="17" a="1"/>
  <c r="HX88" i="18" a="1"/>
  <c r="HX8" i="18" a="1"/>
  <c r="HX103" i="18" a="1"/>
  <c r="HX9" i="18" a="1"/>
  <c r="HX93" i="18" a="1"/>
  <c r="HX81" i="18" a="1"/>
  <c r="HX31" i="18" a="1"/>
  <c r="HX12" i="18" a="1"/>
  <c r="HX61" i="18" a="1"/>
  <c r="HX82" i="18" a="1"/>
  <c r="HX58" i="18" a="1"/>
  <c r="HX97" i="18" a="1"/>
  <c r="HX37" i="18" a="1"/>
  <c r="HX92" i="18" a="1"/>
  <c r="HX84" i="18" a="1"/>
  <c r="HX69" i="18" a="1"/>
  <c r="HX32" i="18" a="1"/>
  <c r="HX99" i="18" a="1"/>
  <c r="HX67" i="18" a="1"/>
  <c r="HX40" i="18" a="1"/>
  <c r="HX62" i="18" a="1"/>
  <c r="HX77" i="18" a="1"/>
  <c r="HX65" i="18" a="1"/>
  <c r="HX59" i="18" a="1"/>
  <c r="HX43" i="18" a="1"/>
  <c r="AZ19" i="17" a="1"/>
  <c r="AZ7" i="17" a="1"/>
  <c r="AZ9" i="17" a="1"/>
  <c r="AZ26" i="17" a="1"/>
  <c r="AZ16" i="17" a="1"/>
  <c r="AZ24" i="17" a="1"/>
  <c r="GN17" i="18" a="1"/>
  <c r="GN69" i="18" a="1"/>
  <c r="GN26" i="18" a="1"/>
  <c r="GN51" i="18" a="1"/>
  <c r="GN30" i="18" a="1"/>
  <c r="GN63" i="18" a="1"/>
  <c r="GN27" i="18" a="1"/>
  <c r="GN89" i="18" a="1"/>
  <c r="GN13" i="18" a="1"/>
  <c r="GN60" i="18" a="1"/>
  <c r="GN11" i="18" a="1"/>
  <c r="GN35" i="18" a="1"/>
  <c r="GN5" i="18" a="1"/>
  <c r="GN66" i="18" a="1"/>
  <c r="GN38" i="18" a="1"/>
  <c r="GN83" i="18" a="1"/>
  <c r="GN44" i="18" a="1"/>
  <c r="GN42" i="18" a="1"/>
  <c r="GN96" i="18" a="1"/>
  <c r="GN16" i="18" a="1"/>
  <c r="GN62" i="18" a="1"/>
  <c r="GN15" i="18" a="1"/>
  <c r="GN99" i="18" a="1"/>
  <c r="GN86" i="18" a="1"/>
  <c r="HX23" i="22" a="1"/>
  <c r="HX5" i="22" a="1"/>
  <c r="HX13" i="22" a="1"/>
  <c r="GN23" i="22" a="1"/>
  <c r="GN16" i="22" a="1"/>
  <c r="GN13" i="22" a="1"/>
  <c r="GN10" i="22" a="1"/>
  <c r="FD13" i="22" a="1"/>
  <c r="FD9" i="22" a="1"/>
  <c r="FD16" i="22" a="1"/>
  <c r="FD15" i="22" a="1"/>
  <c r="DT19" i="22" a="1"/>
  <c r="DT10" i="22" a="1"/>
  <c r="DT14" i="22" a="1"/>
  <c r="HX13" i="17" a="1"/>
  <c r="HX29" i="17" a="1"/>
  <c r="HX8" i="17" a="1"/>
  <c r="HX7" i="17" a="1"/>
  <c r="HX12" i="17" a="1"/>
  <c r="GN7" i="17" a="1"/>
  <c r="GN12" i="17" a="1"/>
  <c r="GN16" i="17" a="1"/>
  <c r="GN28" i="17" a="1"/>
  <c r="GN14" i="17" a="1"/>
  <c r="AZ18" i="22" a="1"/>
  <c r="AZ15" i="22" a="1"/>
  <c r="AZ6" i="22" a="1"/>
  <c r="FD15" i="17" a="1"/>
  <c r="FD8" i="17" a="1"/>
  <c r="FD16" i="17" a="1"/>
  <c r="FD21" i="17" a="1"/>
  <c r="FD22" i="17" a="1"/>
  <c r="HX19" i="20" a="1"/>
  <c r="HX10" i="20" a="1"/>
  <c r="HX16" i="20" a="1"/>
  <c r="HX20" i="20" a="1"/>
  <c r="HX28" i="20" a="1"/>
  <c r="HX21" i="20" a="1"/>
  <c r="DT10" i="17" a="1"/>
  <c r="DT29" i="17" a="1"/>
  <c r="DT16" i="17" a="1"/>
  <c r="DT26" i="17" a="1"/>
  <c r="DT8" i="17" a="1"/>
  <c r="GN24" i="20" a="1"/>
  <c r="GN25" i="20" a="1"/>
  <c r="GN23" i="20" a="1"/>
  <c r="GN19" i="20" a="1"/>
  <c r="GN22" i="20" a="1"/>
  <c r="CJ24" i="17" a="1"/>
  <c r="CJ22" i="17" a="1"/>
  <c r="CJ8" i="17" a="1"/>
  <c r="CJ27" i="17" a="1"/>
  <c r="CJ16" i="17" a="1"/>
  <c r="HX70" i="18" a="1"/>
  <c r="HX23" i="18" a="1"/>
  <c r="HX21" i="18" a="1"/>
  <c r="HX19" i="18" a="1"/>
  <c r="HX7" i="18" a="1"/>
  <c r="HX13" i="18" a="1"/>
  <c r="HX57" i="18" a="1"/>
  <c r="HX34" i="18" a="1"/>
  <c r="HX30" i="18" a="1"/>
  <c r="HX36" i="18" a="1"/>
  <c r="HX56" i="18" a="1"/>
  <c r="HX50" i="18" a="1"/>
  <c r="HX68" i="18" a="1"/>
  <c r="HX17" i="18" a="1"/>
  <c r="HX20" i="18" a="1"/>
  <c r="HX94" i="18" a="1"/>
  <c r="HX95" i="18" a="1"/>
  <c r="HX14" i="18" a="1"/>
  <c r="HX18" i="18" a="1"/>
  <c r="AZ12" i="17" a="1"/>
  <c r="AZ8" i="17" a="1"/>
  <c r="AZ15" i="17" a="1"/>
  <c r="AZ11" i="17" a="1"/>
  <c r="AZ5" i="17" a="1"/>
  <c r="GN22" i="18" a="1"/>
  <c r="GN80" i="18" a="1"/>
  <c r="GN79" i="18" a="1"/>
  <c r="GN43" i="18" a="1"/>
  <c r="GN36" i="18" a="1"/>
  <c r="GN37" i="18" a="1"/>
  <c r="GN7" i="18" a="1"/>
  <c r="GN49" i="18" a="1"/>
  <c r="GN67" i="18" a="1"/>
  <c r="GN47" i="18" a="1"/>
  <c r="GN85" i="18" a="1"/>
  <c r="GN88" i="18" a="1"/>
  <c r="GN41" i="18" a="1"/>
  <c r="GN75" i="18" a="1"/>
  <c r="GN102" i="18" a="1"/>
  <c r="GN65" i="18" a="1"/>
  <c r="GN58" i="18" a="1"/>
  <c r="GN19" i="18" a="1"/>
  <c r="GN81" i="18" a="1"/>
  <c r="FD30" i="20" a="1"/>
  <c r="FD20" i="20" a="1"/>
  <c r="FD22" i="20" a="1"/>
  <c r="FD32" i="20" a="1"/>
  <c r="FD15" i="20" a="1"/>
  <c r="FD13" i="20" a="1"/>
  <c r="FD10" i="20" a="1"/>
  <c r="DT11" i="20" a="1"/>
  <c r="DT14" i="20" a="1"/>
  <c r="DT26" i="20" a="1"/>
  <c r="DT6" i="20" a="1"/>
  <c r="DT5" i="20" a="1"/>
  <c r="DT13" i="20" a="1"/>
  <c r="DT33" i="20" a="1"/>
  <c r="DT32" i="20" a="1"/>
  <c r="FD6" i="18" a="1"/>
  <c r="FD75" i="18" a="1"/>
  <c r="FD78" i="18" a="1"/>
  <c r="FD17" i="18" a="1"/>
  <c r="FD62" i="18" a="1"/>
  <c r="FD33" i="18" a="1"/>
  <c r="FD56" i="18" a="1"/>
  <c r="FD12" i="18" a="1"/>
  <c r="FD15" i="18" a="1"/>
  <c r="FD64" i="18" a="1"/>
  <c r="FD69" i="18" a="1"/>
  <c r="FD68" i="18" a="1"/>
  <c r="FD50" i="18" a="1"/>
  <c r="FD40" i="18" a="1"/>
  <c r="FD45" i="18" a="1"/>
  <c r="FD51" i="18" a="1"/>
  <c r="HX22" i="22" a="1"/>
  <c r="HX8" i="22" a="1"/>
  <c r="HX18" i="22" a="1"/>
  <c r="GN14" i="22" a="1"/>
  <c r="GN7" i="22" a="1"/>
  <c r="GN22" i="22" a="1"/>
  <c r="FD20" i="22" a="1"/>
  <c r="FD11" i="22" a="1"/>
  <c r="FD5" i="22" a="1"/>
  <c r="DT7" i="22" a="1"/>
  <c r="DT6" i="22" a="1"/>
  <c r="DT24" i="22" a="1"/>
  <c r="HX5" i="17" a="1"/>
  <c r="HX6" i="17" a="1"/>
  <c r="HX26" i="17" a="1"/>
  <c r="GN25" i="17" a="1"/>
  <c r="GN9" i="17" a="1"/>
  <c r="GN22" i="17" a="1"/>
  <c r="AZ22" i="22" a="1"/>
  <c r="AZ24" i="22" a="1"/>
  <c r="AZ19" i="22" a="1"/>
  <c r="FD29" i="17" a="1"/>
  <c r="FD12" i="17" a="1"/>
  <c r="FD27" i="17" a="1"/>
  <c r="FD26" i="17" a="1"/>
  <c r="HX34" i="20" a="1"/>
  <c r="HX23" i="20" a="1"/>
  <c r="HX6" i="20" a="1"/>
  <c r="HX29" i="20" a="1"/>
  <c r="DT24" i="17" a="1"/>
  <c r="DT19" i="17" a="1"/>
  <c r="DT17" i="17" a="1"/>
  <c r="DT18" i="17" a="1"/>
  <c r="GN10" i="20" a="1"/>
  <c r="GN8" i="20" a="1"/>
  <c r="GN17" i="20" a="1"/>
  <c r="GN30" i="20" a="1"/>
  <c r="CJ12" i="17" a="1"/>
  <c r="CJ9" i="17" a="1"/>
  <c r="CJ21" i="17" a="1"/>
  <c r="CJ17" i="17" a="1"/>
  <c r="HX54" i="18" a="1"/>
  <c r="HX46" i="18" a="1"/>
  <c r="HX79" i="18" a="1"/>
  <c r="HX49" i="18" a="1"/>
  <c r="HX55" i="18" a="1"/>
  <c r="HX91" i="18" a="1"/>
  <c r="HX16" i="18" a="1"/>
  <c r="HX27" i="18" a="1"/>
  <c r="HX42" i="18" a="1"/>
  <c r="HX39" i="18" a="1"/>
  <c r="HX80" i="18" a="1"/>
  <c r="HX78" i="18" a="1"/>
  <c r="HX28" i="18" a="1"/>
  <c r="HX63" i="18" a="1"/>
  <c r="AZ21" i="17" a="1"/>
  <c r="AZ25" i="17" a="1"/>
  <c r="AZ17" i="17" a="1"/>
  <c r="GN31" i="18" a="1"/>
  <c r="GN28" i="18" a="1"/>
  <c r="GN103" i="18" a="1"/>
  <c r="GN64" i="18" a="1"/>
  <c r="GN45" i="18" a="1"/>
  <c r="GN98" i="18" a="1"/>
  <c r="GN87" i="18" a="1"/>
  <c r="GN53" i="18" a="1"/>
  <c r="GN54" i="18" a="1"/>
  <c r="GN82" i="18" a="1"/>
  <c r="GN91" i="18" a="1"/>
  <c r="GN72" i="18" a="1"/>
  <c r="GN23" i="18" a="1"/>
  <c r="GN10" i="18" a="1"/>
  <c r="FD7" i="20" a="1"/>
  <c r="FD35" i="20" a="1"/>
  <c r="FD31" i="20" a="1"/>
  <c r="FD9" i="20" a="1"/>
  <c r="FD25" i="20" a="1"/>
  <c r="FD17" i="20" a="1"/>
  <c r="DT28" i="20" a="1"/>
  <c r="DT22" i="20" a="1"/>
  <c r="DT23" i="20" a="1"/>
  <c r="DT10" i="20" a="1"/>
  <c r="DT20" i="20" a="1"/>
  <c r="DT31" i="20" a="1"/>
  <c r="FD5" i="18" a="1"/>
  <c r="FD8" i="18" a="1"/>
  <c r="FD41" i="18" a="1"/>
  <c r="FD27" i="18" a="1"/>
  <c r="FD86" i="18" a="1"/>
  <c r="FD80" i="18" a="1"/>
  <c r="FD39" i="18" a="1"/>
  <c r="FD47" i="18" a="1"/>
  <c r="FD26" i="18" a="1"/>
  <c r="FD38" i="18" a="1"/>
  <c r="FD70" i="18" a="1"/>
  <c r="FD74" i="18" a="1"/>
  <c r="FD11" i="18" a="1"/>
  <c r="FD85" i="18" a="1"/>
  <c r="FD73" i="18" a="1"/>
  <c r="FD49" i="18" a="1"/>
  <c r="FD77" i="18" a="1"/>
  <c r="FD16" i="18" a="1"/>
  <c r="FD60" i="18" a="1"/>
  <c r="FD10" i="18" a="1"/>
  <c r="FD20" i="18" a="1"/>
  <c r="HX26" i="19" a="1"/>
  <c r="HX14" i="19" a="1"/>
  <c r="HX22" i="19" a="1"/>
  <c r="HX20" i="19" a="1"/>
  <c r="HX31" i="19" a="1"/>
  <c r="HX29" i="19" a="1"/>
  <c r="HX35" i="19" a="1"/>
  <c r="HX32" i="19" a="1"/>
  <c r="DT32" i="18" a="1"/>
  <c r="DT99" i="18" a="1"/>
  <c r="DT62" i="18" a="1"/>
  <c r="DT28" i="18" a="1"/>
  <c r="DT89" i="18" a="1"/>
  <c r="DT100" i="18" a="1"/>
  <c r="DT15" i="18" a="1"/>
  <c r="DT36" i="18" a="1"/>
  <c r="DT79" i="18" a="1"/>
  <c r="DT10" i="18" a="1"/>
  <c r="DT92" i="18" a="1"/>
  <c r="DT56" i="18" a="1"/>
  <c r="DT77" i="18" a="1"/>
  <c r="DT33" i="18" a="1"/>
  <c r="HX20" i="22" a="1"/>
  <c r="HX14" i="22" a="1"/>
  <c r="HX19" i="22" a="1"/>
  <c r="GN11" i="22" a="1"/>
  <c r="GN24" i="22" a="1"/>
  <c r="GN17" i="22" a="1"/>
  <c r="FD17" i="22" a="1"/>
  <c r="FD23" i="22" a="1"/>
  <c r="DT21" i="22" a="1"/>
  <c r="DT11" i="22" a="1"/>
  <c r="DT8" i="22" a="1"/>
  <c r="HX16" i="17" a="1"/>
  <c r="HX18" i="17" a="1"/>
  <c r="HX28" i="17" a="1"/>
  <c r="HX9" i="17" a="1"/>
  <c r="GN24" i="17" a="1"/>
  <c r="GN17" i="17" a="1"/>
  <c r="GN15" i="17" a="1"/>
  <c r="AZ11" i="22" a="1"/>
  <c r="AZ12" i="22" a="1"/>
  <c r="AZ13" i="22" a="1"/>
  <c r="FD11" i="17" a="1"/>
  <c r="FD24" i="17" a="1"/>
  <c r="FD6" i="17" a="1"/>
  <c r="FD14" i="17" a="1"/>
  <c r="HX31" i="20" a="1"/>
  <c r="HX18" i="20" a="1"/>
  <c r="HX15" i="20" a="1"/>
  <c r="HX8" i="20" a="1"/>
  <c r="DT14" i="17" a="1"/>
  <c r="DT7" i="17" a="1"/>
  <c r="DT21" i="17" a="1"/>
  <c r="GN18" i="20" a="1"/>
  <c r="GN28" i="20" a="1"/>
  <c r="GN33" i="20" a="1"/>
  <c r="GN29" i="20" a="1"/>
  <c r="GN32" i="20" a="1"/>
  <c r="CJ18" i="17" a="1"/>
  <c r="CJ5" i="17" a="1"/>
  <c r="CJ15" i="17" a="1"/>
  <c r="HX66" i="18" a="1"/>
  <c r="HX25" i="18" a="1"/>
  <c r="HX100" i="18" a="1"/>
  <c r="HX64" i="18" a="1"/>
  <c r="HX90" i="18" a="1"/>
  <c r="HX51" i="18" a="1"/>
  <c r="HX85" i="18" a="1"/>
  <c r="HX76" i="18" a="1"/>
  <c r="HX101" i="18" a="1"/>
  <c r="HX89" i="18" a="1"/>
  <c r="HX22" i="18" a="1"/>
  <c r="HX6" i="18" a="1"/>
  <c r="HX83" i="18" a="1"/>
  <c r="HX87" i="18" a="1"/>
  <c r="AZ10" i="17" a="1"/>
  <c r="AZ18" i="17" a="1"/>
  <c r="AZ22" i="17" a="1"/>
  <c r="AZ23" i="17" a="1"/>
  <c r="GN68" i="18" a="1"/>
  <c r="GN74" i="18" a="1"/>
  <c r="GN78" i="18" a="1"/>
  <c r="GN40" i="18" a="1"/>
  <c r="GN71" i="18" a="1"/>
  <c r="GN97" i="18" a="1"/>
  <c r="GN12" i="18" a="1"/>
  <c r="GN90" i="18" a="1"/>
  <c r="GN73" i="18" a="1"/>
  <c r="GN57" i="18" a="1"/>
  <c r="GN9" i="18" a="1"/>
  <c r="GN84" i="18" a="1"/>
  <c r="GN39" i="18" a="1"/>
  <c r="GN94" i="18" a="1"/>
  <c r="FD6" i="20" a="1"/>
  <c r="FD5" i="20" a="1"/>
  <c r="FD29" i="20" a="1"/>
  <c r="FD19" i="20" a="1"/>
  <c r="FD16" i="20" a="1"/>
  <c r="FD34" i="20" a="1"/>
  <c r="DT29" i="20" a="1"/>
  <c r="DT8" i="20" a="1"/>
  <c r="DT30" i="20" a="1"/>
  <c r="DT17" i="20" a="1"/>
  <c r="DT21" i="20" a="1"/>
  <c r="DT34" i="20" a="1"/>
  <c r="FD61" i="18" a="1"/>
  <c r="FD102" i="18" a="1"/>
  <c r="FD31" i="18" a="1"/>
  <c r="FD30" i="18" a="1"/>
  <c r="FD48" i="18" a="1"/>
  <c r="FD57" i="18" a="1"/>
  <c r="FD7" i="18" a="1"/>
  <c r="FD42" i="18" a="1"/>
  <c r="FD23" i="18" a="1"/>
  <c r="FD98" i="18" a="1"/>
  <c r="FD79" i="18" a="1"/>
  <c r="FD82" i="18" a="1"/>
  <c r="FD37" i="18" a="1"/>
  <c r="FD29" i="18" a="1"/>
  <c r="FD53" i="18" a="1"/>
  <c r="FD89" i="18" a="1"/>
  <c r="FD87" i="18" a="1"/>
  <c r="FD88" i="18" a="1"/>
  <c r="FD92" i="18" a="1"/>
  <c r="FD97" i="18" a="1"/>
  <c r="FD90" i="18" a="1"/>
  <c r="HX17" i="19" a="1"/>
  <c r="HX16" i="19" a="1"/>
  <c r="HX10" i="19" a="1"/>
  <c r="HX30" i="19" a="1"/>
  <c r="HX7" i="19" a="1"/>
  <c r="HX5" i="19" a="1"/>
  <c r="HX25" i="19" a="1"/>
  <c r="HX8" i="19" a="1"/>
  <c r="DT30" i="18" a="1"/>
  <c r="DT20" i="18" a="1"/>
  <c r="DT13" i="18" a="1"/>
  <c r="DT64" i="18" a="1"/>
  <c r="DT53" i="18" a="1"/>
  <c r="DT75" i="18" a="1"/>
  <c r="DT82" i="18" a="1"/>
  <c r="DT42" i="18" a="1"/>
  <c r="DT63" i="18" a="1"/>
  <c r="DT55" i="18" a="1"/>
  <c r="DT73" i="18" a="1"/>
  <c r="DT11" i="18" a="1"/>
  <c r="DT41" i="18" a="1"/>
  <c r="DT98" i="18" a="1"/>
  <c r="DT43" i="18" a="1"/>
  <c r="DT74" i="18" a="1"/>
  <c r="DT65" i="18" a="1"/>
  <c r="DT83" i="18" a="1"/>
  <c r="DT14" i="18" a="1"/>
  <c r="DT45" i="18" a="1"/>
  <c r="DT80" i="18" a="1"/>
  <c r="DT58" i="18" a="1"/>
  <c r="DT90" i="18" a="1"/>
  <c r="DT103" i="18" a="1"/>
  <c r="DT26" i="18" a="1"/>
  <c r="HX10" i="22" a="1"/>
  <c r="GN6" i="22" a="1"/>
  <c r="FD8" i="22" a="1"/>
  <c r="FD6" i="22" a="1"/>
  <c r="DT5" i="22" a="1"/>
  <c r="HX24" i="17" a="1"/>
  <c r="HX11" i="17" a="1"/>
  <c r="GN10" i="17" a="1"/>
  <c r="GN13" i="17" a="1"/>
  <c r="AZ14" i="22" a="1"/>
  <c r="FD5" i="17" a="1"/>
  <c r="FD7" i="17" a="1"/>
  <c r="HX32" i="20" a="1"/>
  <c r="HX14" i="20" a="1"/>
  <c r="DT13" i="17" a="1"/>
  <c r="DT11" i="17" a="1"/>
  <c r="GN13" i="20" a="1"/>
  <c r="GN7" i="20" a="1"/>
  <c r="CJ7" i="17" a="1"/>
  <c r="CJ11" i="17" a="1"/>
  <c r="HX72" i="18" a="1"/>
  <c r="HX52" i="18" a="1"/>
  <c r="HX98" i="18" a="1"/>
  <c r="HX104" i="18" a="1"/>
  <c r="HX29" i="18" a="1"/>
  <c r="HX35" i="18" a="1"/>
  <c r="HX75" i="18" a="1"/>
  <c r="AZ28" i="17" a="1"/>
  <c r="AZ29" i="17" a="1"/>
  <c r="GN55" i="18" a="1"/>
  <c r="GN61" i="18" a="1"/>
  <c r="GN24" i="18" a="1"/>
  <c r="GN70" i="18" a="1"/>
  <c r="GN59" i="18" a="1"/>
  <c r="GN56" i="18" a="1"/>
  <c r="GN6" i="18" a="1"/>
  <c r="FD8" i="20" a="1"/>
  <c r="FD21" i="20" a="1"/>
  <c r="FD14" i="20" a="1"/>
  <c r="DT19" i="20" a="1"/>
  <c r="DT9" i="20" a="1"/>
  <c r="DT15" i="20" a="1"/>
  <c r="FD76" i="18" a="1"/>
  <c r="FD25" i="18" a="1"/>
  <c r="FD65" i="18" a="1"/>
  <c r="FD67" i="18" a="1"/>
  <c r="FD34" i="18" a="1"/>
  <c r="FD91" i="18" a="1"/>
  <c r="FD96" i="18" a="1"/>
  <c r="FD9" i="18" a="1"/>
  <c r="FD22" i="18" a="1"/>
  <c r="FD104" i="18" a="1"/>
  <c r="HX13" i="19" a="1"/>
  <c r="HX27" i="19" a="1"/>
  <c r="HX11" i="19" a="1"/>
  <c r="HX6" i="19" a="1"/>
  <c r="DT44" i="18" a="1"/>
  <c r="DT38" i="18" a="1"/>
  <c r="DT66" i="18" a="1"/>
  <c r="DT19" i="18" a="1"/>
  <c r="DT60" i="18" a="1"/>
  <c r="DT104" i="18" a="1"/>
  <c r="DT102" i="18" a="1"/>
  <c r="DT81" i="18" a="1"/>
  <c r="DT7" i="18" a="1"/>
  <c r="DT67" i="18" a="1"/>
  <c r="DT86" i="18" a="1"/>
  <c r="DT6" i="18" a="1"/>
  <c r="DT37" i="18" a="1"/>
  <c r="DT87" i="18" a="1"/>
  <c r="DT8" i="18" a="1"/>
  <c r="GN18" i="19" a="1"/>
  <c r="GN16" i="19" a="1"/>
  <c r="GN34" i="19" a="1"/>
  <c r="GN29" i="19" a="1"/>
  <c r="GN21" i="19" a="1"/>
  <c r="GN25" i="19" a="1"/>
  <c r="GN20" i="19" a="1"/>
  <c r="GN32" i="19" a="1"/>
  <c r="HX10" i="21" a="1"/>
  <c r="HX6" i="21" a="1"/>
  <c r="HX15" i="21" a="1"/>
  <c r="HX13" i="21" a="1"/>
  <c r="HX12" i="21" a="1"/>
  <c r="GN22" i="21" a="1"/>
  <c r="GN7" i="21" a="1"/>
  <c r="GN21" i="21" a="1"/>
  <c r="GN24" i="21" a="1"/>
  <c r="GN5" i="21" a="1"/>
  <c r="CJ26" i="20" a="1"/>
  <c r="CJ20" i="20" a="1"/>
  <c r="CJ28" i="20" a="1"/>
  <c r="CJ24" i="20" a="1"/>
  <c r="CJ17" i="20" a="1"/>
  <c r="CJ33" i="20" a="1"/>
  <c r="CJ22" i="20" a="1"/>
  <c r="CJ7" i="20" a="1"/>
  <c r="FD30" i="19" a="1"/>
  <c r="FD11" i="19" a="1"/>
  <c r="FD22" i="19" a="1"/>
  <c r="FD35" i="19" a="1"/>
  <c r="FD29" i="19" a="1"/>
  <c r="FD33" i="19" a="1"/>
  <c r="FD18" i="19" a="1"/>
  <c r="FD15" i="21" a="1"/>
  <c r="FD11" i="21" a="1"/>
  <c r="FD8" i="21" a="1"/>
  <c r="FD18" i="21" a="1"/>
  <c r="FD17" i="21" a="1"/>
  <c r="AZ19" i="20" a="1"/>
  <c r="AZ21" i="20" a="1"/>
  <c r="AZ29" i="20" a="1"/>
  <c r="AZ13" i="20" a="1"/>
  <c r="AZ22" i="20" a="1"/>
  <c r="AZ23" i="20" a="1"/>
  <c r="AZ17" i="20" a="1"/>
  <c r="AZ35" i="20" a="1"/>
  <c r="DT5" i="21" a="1"/>
  <c r="DT24" i="21" a="1"/>
  <c r="DT10" i="21" a="1"/>
  <c r="DT22" i="21" a="1"/>
  <c r="DT6" i="21" a="1"/>
  <c r="DT15" i="19" a="1"/>
  <c r="DT31" i="19" a="1"/>
  <c r="DT7" i="19" a="1"/>
  <c r="DT11" i="19" a="1"/>
  <c r="DT26" i="19" a="1"/>
  <c r="DT14" i="19" a="1"/>
  <c r="DT8" i="19" a="1"/>
  <c r="DT20" i="19" a="1"/>
  <c r="CJ6" i="21" a="1"/>
  <c r="CJ15" i="21" a="1"/>
  <c r="CJ20" i="21" a="1"/>
  <c r="CJ5" i="21" a="1"/>
  <c r="CJ12" i="21" a="1"/>
  <c r="AZ22" i="21" a="1"/>
  <c r="AZ23" i="21" a="1"/>
  <c r="AZ9" i="21" a="1"/>
  <c r="AZ19" i="21" a="1"/>
  <c r="AZ13" i="21" a="1"/>
  <c r="CJ31" i="19" a="1"/>
  <c r="CJ11" i="19" a="1"/>
  <c r="CJ10" i="19" a="1"/>
  <c r="CJ8" i="19" a="1"/>
  <c r="CJ28" i="19" a="1"/>
  <c r="CJ23" i="19" a="1"/>
  <c r="CJ32" i="19" a="1"/>
  <c r="CJ21" i="19" a="1"/>
  <c r="AZ34" i="19" a="1"/>
  <c r="AZ10" i="19" a="1"/>
  <c r="AZ20" i="19" a="1"/>
  <c r="AZ13" i="19" a="1"/>
  <c r="AZ16" i="19" a="1"/>
  <c r="AZ28" i="19" a="1"/>
  <c r="AZ19" i="19" a="1"/>
  <c r="CJ73" i="18" a="1"/>
  <c r="CJ22" i="18" a="1"/>
  <c r="CJ93" i="18" a="1"/>
  <c r="CJ63" i="18" a="1"/>
  <c r="CJ81" i="18" a="1"/>
  <c r="CJ47" i="18" a="1"/>
  <c r="CJ86" i="18" a="1"/>
  <c r="CJ82" i="18" a="1"/>
  <c r="CJ5" i="18" a="1"/>
  <c r="CJ103" i="18" a="1"/>
  <c r="CJ94" i="18" a="1"/>
  <c r="CJ65" i="18" a="1"/>
  <c r="CJ59" i="18" a="1"/>
  <c r="CJ38" i="18" a="1"/>
  <c r="CJ28" i="18" a="1"/>
  <c r="CJ83" i="18" a="1"/>
  <c r="CJ39" i="18" a="1"/>
  <c r="CJ54" i="18" a="1"/>
  <c r="CJ76" i="18" a="1"/>
  <c r="CJ15" i="18" a="1"/>
  <c r="CJ33" i="18" a="1"/>
  <c r="CJ85" i="18" a="1"/>
  <c r="CJ20" i="18" a="1"/>
  <c r="CJ7" i="18" a="1"/>
  <c r="CJ67" i="18" a="1"/>
  <c r="AZ76" i="18" a="1"/>
  <c r="AZ62" i="18" a="1"/>
  <c r="AZ12" i="18" a="1"/>
  <c r="AZ20" i="18" a="1"/>
  <c r="AZ55" i="18" a="1"/>
  <c r="AZ52" i="18" a="1"/>
  <c r="AZ83" i="18" a="1"/>
  <c r="AZ38" i="18" a="1"/>
  <c r="AZ91" i="18" a="1"/>
  <c r="AZ56" i="18" a="1"/>
  <c r="AZ17" i="18" a="1"/>
  <c r="AZ82" i="18" a="1"/>
  <c r="AZ57" i="18" a="1"/>
  <c r="AZ18" i="18" a="1"/>
  <c r="AZ32" i="18" a="1"/>
  <c r="AZ53" i="18" a="1"/>
  <c r="AZ46" i="18" a="1"/>
  <c r="AZ79" i="18" a="1"/>
  <c r="AZ72" i="18" a="1"/>
  <c r="AZ100" i="18" a="1"/>
  <c r="AZ92" i="18" a="1"/>
  <c r="AZ30" i="18" a="1"/>
  <c r="AZ29" i="18" a="1"/>
  <c r="AZ48" i="18" a="1"/>
  <c r="AZ45" i="18" a="1"/>
  <c r="FD23" i="20" a="1"/>
  <c r="FD28" i="18" a="1"/>
  <c r="FD19" i="18" a="1"/>
  <c r="FD103" i="18" a="1"/>
  <c r="FD66" i="18" a="1"/>
  <c r="HX12" i="19" a="1"/>
  <c r="HX34" i="19" a="1"/>
  <c r="DT93" i="18" a="1"/>
  <c r="DT35" i="18" a="1"/>
  <c r="DT94" i="18" a="1"/>
  <c r="DT9" i="18" a="1"/>
  <c r="HX24" i="22" a="1"/>
  <c r="GN18" i="22" a="1"/>
  <c r="FD14" i="22" a="1"/>
  <c r="FD24" i="22" a="1"/>
  <c r="DT16" i="22" a="1"/>
  <c r="HX17" i="17" a="1"/>
  <c r="HX22" i="17" a="1"/>
  <c r="GN26" i="17" a="1"/>
  <c r="GN29" i="17" a="1"/>
  <c r="AZ8" i="22" a="1"/>
  <c r="FD9" i="17" a="1"/>
  <c r="FD19" i="17" a="1"/>
  <c r="HX9" i="20" a="1"/>
  <c r="HX11" i="20" a="1"/>
  <c r="DT27" i="17" a="1"/>
  <c r="DT23" i="17" a="1"/>
  <c r="GN20" i="20" a="1"/>
  <c r="GN15" i="20" a="1"/>
  <c r="CJ29" i="17" a="1"/>
  <c r="CJ14" i="17" a="1"/>
  <c r="HX102" i="18" a="1"/>
  <c r="HX5" i="18" a="1"/>
  <c r="HX33" i="18" a="1"/>
  <c r="HX38" i="18" a="1"/>
  <c r="HX71" i="18" a="1"/>
  <c r="HX44" i="18" a="1"/>
  <c r="HX26" i="18" a="1"/>
  <c r="AZ14" i="17" a="1"/>
  <c r="GN25" i="18" a="1"/>
  <c r="GN77" i="18" a="1"/>
  <c r="GN21" i="18" a="1"/>
  <c r="GN8" i="18" a="1"/>
  <c r="GN14" i="18" a="1"/>
  <c r="GN29" i="18" a="1"/>
  <c r="GN32" i="18" a="1"/>
  <c r="GN76" i="18" a="1"/>
  <c r="FD18" i="20" a="1"/>
  <c r="FD28" i="20" a="1"/>
  <c r="FD27" i="20" a="1"/>
  <c r="DT24" i="20" a="1"/>
  <c r="DT7" i="20" a="1"/>
  <c r="FD36" i="18" a="1"/>
  <c r="FD84" i="18" a="1"/>
  <c r="FD94" i="18" a="1"/>
  <c r="FD13" i="18" a="1"/>
  <c r="FD95" i="18" a="1"/>
  <c r="FD58" i="18" a="1"/>
  <c r="FD81" i="18" a="1"/>
  <c r="FD24" i="18" a="1"/>
  <c r="FD59" i="18" a="1"/>
  <c r="FD21" i="18" a="1"/>
  <c r="FD71" i="18" a="1"/>
  <c r="HX19" i="19" a="1"/>
  <c r="HX23" i="19" a="1"/>
  <c r="HX24" i="19" a="1"/>
  <c r="HX9" i="19" a="1"/>
  <c r="DT101" i="18" a="1"/>
  <c r="DT22" i="18" a="1"/>
  <c r="DT34" i="18" a="1"/>
  <c r="DT29" i="18" a="1"/>
  <c r="DT50" i="18" a="1"/>
  <c r="DT57" i="18" a="1"/>
  <c r="DT72" i="18" a="1"/>
  <c r="DT85" i="18" a="1"/>
  <c r="DT61" i="18" a="1"/>
  <c r="DT88" i="18" a="1"/>
  <c r="DT16" i="18" a="1"/>
  <c r="DT48" i="18" a="1"/>
  <c r="DT59" i="18" a="1"/>
  <c r="DT23" i="18" a="1"/>
  <c r="DT54" i="18" a="1"/>
  <c r="GN11" i="19" a="1"/>
  <c r="GN14" i="19" a="1"/>
  <c r="GN28" i="19" a="1"/>
  <c r="GN22" i="19" a="1"/>
  <c r="GN13" i="19" a="1"/>
  <c r="GN27" i="19" a="1"/>
  <c r="GN24" i="19" a="1"/>
  <c r="GN23" i="19" a="1"/>
  <c r="HX21" i="21" a="1"/>
  <c r="HX20" i="21" a="1"/>
  <c r="HX18" i="21" a="1"/>
  <c r="HX11" i="21" a="1"/>
  <c r="HX16" i="21" a="1"/>
  <c r="GN6" i="21" a="1"/>
  <c r="GN15" i="21" a="1"/>
  <c r="GN10" i="21" a="1"/>
  <c r="GN8" i="21" a="1"/>
  <c r="GN17" i="21" a="1"/>
  <c r="CJ34" i="20" a="1"/>
  <c r="CJ32" i="20" a="1"/>
  <c r="CJ30" i="20" a="1"/>
  <c r="CJ11" i="20" a="1"/>
  <c r="CJ35" i="20" a="1"/>
  <c r="CJ8" i="20" a="1"/>
  <c r="CJ13" i="20" a="1"/>
  <c r="FD17" i="19" a="1"/>
  <c r="FD34" i="19" a="1"/>
  <c r="FD12" i="19" a="1"/>
  <c r="FD28" i="19" a="1"/>
  <c r="FD26" i="19" a="1"/>
  <c r="FD9" i="19" a="1"/>
  <c r="FD25" i="19" a="1"/>
  <c r="FD15" i="19" a="1"/>
  <c r="FD12" i="21" a="1"/>
  <c r="FD7" i="21" a="1"/>
  <c r="FD6" i="21" a="1"/>
  <c r="FD21" i="21" a="1"/>
  <c r="FD14" i="21" a="1"/>
  <c r="AZ31" i="20" a="1"/>
  <c r="AZ24" i="20" a="1"/>
  <c r="AZ8" i="20" a="1"/>
  <c r="AZ26" i="20" a="1"/>
  <c r="AZ30" i="20" a="1"/>
  <c r="AZ11" i="20" a="1"/>
  <c r="AZ5" i="20" a="1"/>
  <c r="AZ18" i="20" a="1"/>
  <c r="DT14" i="21" a="1"/>
  <c r="DT16" i="21" a="1"/>
  <c r="DT21" i="21" a="1"/>
  <c r="DT13" i="21" a="1"/>
  <c r="DT11" i="21" a="1"/>
  <c r="DT9" i="19" a="1"/>
  <c r="DT23" i="19" a="1"/>
  <c r="DT5" i="19" a="1"/>
  <c r="DT22" i="19" a="1"/>
  <c r="DT10" i="19" a="1"/>
  <c r="DT18" i="19" a="1"/>
  <c r="DT25" i="19" a="1"/>
  <c r="DT29" i="19" a="1"/>
  <c r="CJ19" i="21" a="1"/>
  <c r="CJ8" i="21" a="1"/>
  <c r="CJ17" i="21" a="1"/>
  <c r="CJ18" i="21" a="1"/>
  <c r="CJ23" i="21" a="1"/>
  <c r="AZ21" i="21" a="1"/>
  <c r="AZ11" i="21" a="1"/>
  <c r="AZ10" i="21" a="1"/>
  <c r="AZ20" i="21" a="1"/>
  <c r="AZ24" i="21" a="1"/>
  <c r="CJ6" i="19" a="1"/>
  <c r="CJ35" i="19" a="1"/>
  <c r="CJ17" i="19" a="1"/>
  <c r="CJ7" i="19" a="1"/>
  <c r="CJ34" i="19" a="1"/>
  <c r="CJ30" i="19" a="1"/>
  <c r="CJ18" i="19" a="1"/>
  <c r="AZ18" i="19" a="1"/>
  <c r="AZ27" i="19" a="1"/>
  <c r="AZ15" i="19" a="1"/>
  <c r="AZ30" i="19" a="1"/>
  <c r="AZ33" i="19" a="1"/>
  <c r="AZ17" i="19" a="1"/>
  <c r="AZ24" i="19" a="1"/>
  <c r="AZ32" i="19" a="1"/>
  <c r="CJ32" i="18" a="1"/>
  <c r="CJ6" i="18" a="1"/>
  <c r="CJ17" i="18" a="1"/>
  <c r="CJ57" i="18" a="1"/>
  <c r="CJ96" i="18" a="1"/>
  <c r="CJ78" i="18" a="1"/>
  <c r="CJ100" i="18" a="1"/>
  <c r="CJ12" i="18" a="1"/>
  <c r="CJ36" i="18" a="1"/>
  <c r="CJ34" i="18" a="1"/>
  <c r="CJ8" i="18" a="1"/>
  <c r="CJ23" i="18" a="1"/>
  <c r="CJ70" i="18" a="1"/>
  <c r="CJ58" i="18" a="1"/>
  <c r="CJ53" i="18" a="1"/>
  <c r="CJ60" i="18" a="1"/>
  <c r="CJ84" i="18" a="1"/>
  <c r="CJ80" i="18" a="1"/>
  <c r="CJ90" i="18" a="1"/>
  <c r="CJ91" i="18" a="1"/>
  <c r="CJ43" i="18" a="1"/>
  <c r="CJ61" i="18" a="1"/>
  <c r="CJ89" i="18" a="1"/>
  <c r="CJ62" i="18" a="1"/>
  <c r="CJ44" i="18" a="1"/>
  <c r="AZ19" i="18" a="1"/>
  <c r="AZ93" i="18" a="1"/>
  <c r="AZ64" i="18" a="1"/>
  <c r="AZ102" i="18" a="1"/>
  <c r="AZ78" i="18" a="1"/>
  <c r="AZ71" i="18" a="1"/>
  <c r="AZ104" i="18" a="1"/>
  <c r="AZ70" i="18" a="1"/>
  <c r="AZ69" i="18" a="1"/>
  <c r="AZ25" i="18" a="1"/>
  <c r="AZ101" i="18" a="1"/>
  <c r="AZ24" i="18" a="1"/>
  <c r="AZ37" i="18" a="1"/>
  <c r="AZ35" i="18" a="1"/>
  <c r="AZ88" i="18" a="1"/>
  <c r="AZ21" i="18" a="1"/>
  <c r="AZ9" i="18" a="1"/>
  <c r="AZ41" i="18" a="1"/>
  <c r="AZ90" i="18" a="1"/>
  <c r="AZ50" i="18" a="1"/>
  <c r="AZ28" i="18" a="1"/>
  <c r="AZ36" i="18" a="1"/>
  <c r="AZ27" i="18" a="1"/>
  <c r="AZ54" i="18" a="1"/>
  <c r="AZ60" i="18" a="1"/>
  <c r="HX17" i="22" a="1"/>
  <c r="HX6" i="22" a="1"/>
  <c r="GN21" i="22" a="1"/>
  <c r="FD19" i="22" a="1"/>
  <c r="DT17" i="22" a="1"/>
  <c r="DT13" i="22" a="1"/>
  <c r="HX20" i="17" a="1"/>
  <c r="HX25" i="17" a="1"/>
  <c r="GN21" i="17" a="1"/>
  <c r="AZ20" i="22" a="1"/>
  <c r="AZ9" i="22" a="1"/>
  <c r="FD23" i="17" a="1"/>
  <c r="HX17" i="20" a="1"/>
  <c r="HX13" i="20" a="1"/>
  <c r="HX27" i="20" a="1"/>
  <c r="DT5" i="17" a="1"/>
  <c r="GN9" i="20" a="1"/>
  <c r="GN5" i="20" a="1"/>
  <c r="GN11" i="20" a="1"/>
  <c r="CJ19" i="17" a="1"/>
  <c r="HX24" i="18" a="1"/>
  <c r="HX11" i="18" a="1"/>
  <c r="HX48" i="18" a="1"/>
  <c r="HX41" i="18" a="1"/>
  <c r="HX10" i="18" a="1"/>
  <c r="HX74" i="18" a="1"/>
  <c r="HX47" i="18" a="1"/>
  <c r="AZ6" i="17" a="1"/>
  <c r="AZ27" i="17" a="1"/>
  <c r="GN101" i="18" a="1"/>
  <c r="GN18" i="18" a="1"/>
  <c r="GN93" i="18" a="1"/>
  <c r="GN104" i="18" a="1"/>
  <c r="GN95" i="18" a="1"/>
  <c r="GN52" i="18" a="1"/>
  <c r="GN100" i="18" a="1"/>
  <c r="FD11" i="20" a="1"/>
  <c r="FD24" i="20" a="1"/>
  <c r="DT12" i="20" a="1"/>
  <c r="DT16" i="20" a="1"/>
  <c r="DT35" i="20" a="1"/>
  <c r="FD93" i="18" a="1"/>
  <c r="FD35" i="18" a="1"/>
  <c r="FD101" i="18" a="1"/>
  <c r="FD32" i="18" a="1"/>
  <c r="FD72" i="18" a="1"/>
  <c r="FD63" i="18" a="1"/>
  <c r="FD100" i="18" a="1"/>
  <c r="HX15" i="19" a="1"/>
  <c r="DT47" i="18" a="1"/>
  <c r="GN5" i="22" a="1"/>
  <c r="DT15" i="22" a="1"/>
  <c r="AZ23" i="22" a="1"/>
  <c r="HX26" i="20" a="1"/>
  <c r="GN27" i="20" a="1"/>
  <c r="HX86" i="18" a="1"/>
  <c r="HX73" i="18" a="1"/>
  <c r="GN48" i="18" a="1"/>
  <c r="GN46" i="18" a="1"/>
  <c r="FD12" i="20" a="1"/>
  <c r="DT25" i="20" a="1"/>
  <c r="FD46" i="18" a="1"/>
  <c r="FD99" i="18" a="1"/>
  <c r="HX21" i="19" a="1"/>
  <c r="DT68" i="18" a="1"/>
  <c r="DT91" i="18" a="1"/>
  <c r="DT27" i="18" a="1"/>
  <c r="DT17" i="18" a="1"/>
  <c r="DT31" i="18" a="1"/>
  <c r="DT46" i="18" a="1"/>
  <c r="DT84" i="18" a="1"/>
  <c r="GN5" i="19" a="1"/>
  <c r="GN12" i="19" a="1"/>
  <c r="GN33" i="19" a="1"/>
  <c r="HX7" i="21" a="1"/>
  <c r="HX24" i="21" a="1"/>
  <c r="HX9" i="21" a="1"/>
  <c r="GN19" i="21" a="1"/>
  <c r="GN16" i="21" a="1"/>
  <c r="CJ27" i="20" a="1"/>
  <c r="CJ25" i="20" a="1"/>
  <c r="CJ10" i="20" a="1"/>
  <c r="CJ5" i="20" a="1"/>
  <c r="FD21" i="19" a="1"/>
  <c r="FD19" i="19" a="1"/>
  <c r="FD16" i="19" a="1"/>
  <c r="FD10" i="19" a="1"/>
  <c r="FD19" i="21" a="1"/>
  <c r="FD5" i="21" a="1"/>
  <c r="FD10" i="21" a="1"/>
  <c r="AZ34" i="20" a="1"/>
  <c r="AZ12" i="20" a="1"/>
  <c r="AZ28" i="20" a="1"/>
  <c r="AZ14" i="20" a="1"/>
  <c r="DT19" i="21" a="1"/>
  <c r="DT15" i="21" a="1"/>
  <c r="DT12" i="19" a="1"/>
  <c r="DT32" i="19" a="1"/>
  <c r="DT35" i="19" a="1"/>
  <c r="DT28" i="19" a="1"/>
  <c r="CJ16" i="21" a="1"/>
  <c r="CJ9" i="21" a="1"/>
  <c r="AZ6" i="21" a="1"/>
  <c r="AZ16" i="21" a="1"/>
  <c r="AZ7" i="21" a="1"/>
  <c r="CJ29" i="19" a="1"/>
  <c r="CJ26" i="19" a="1"/>
  <c r="CJ20" i="19" a="1"/>
  <c r="CJ25" i="19" a="1"/>
  <c r="AZ9" i="19" a="1"/>
  <c r="AZ6" i="19" a="1"/>
  <c r="AZ8" i="19" a="1"/>
  <c r="AZ21" i="19" a="1"/>
  <c r="CJ27" i="18" a="1"/>
  <c r="CJ68" i="18" a="1"/>
  <c r="CJ102" i="18" a="1"/>
  <c r="CJ74" i="18" a="1"/>
  <c r="CJ55" i="18" a="1"/>
  <c r="CJ75" i="18" a="1"/>
  <c r="CJ29" i="18" a="1"/>
  <c r="CJ30" i="18" a="1"/>
  <c r="CJ51" i="18" a="1"/>
  <c r="CJ66" i="18" a="1"/>
  <c r="CJ99" i="18" a="1"/>
  <c r="CJ35" i="18" a="1"/>
  <c r="AZ43" i="18" a="1"/>
  <c r="AZ47" i="18" a="1"/>
  <c r="AZ58" i="18" a="1"/>
  <c r="AZ103" i="18" a="1"/>
  <c r="AZ98" i="18" a="1"/>
  <c r="AZ22" i="18" a="1"/>
  <c r="AZ44" i="18" a="1"/>
  <c r="AZ6" i="18" a="1"/>
  <c r="AZ51" i="18" a="1"/>
  <c r="AZ5" i="18" a="1"/>
  <c r="AZ84" i="18" a="1"/>
  <c r="AZ7" i="18" a="1"/>
  <c r="AZ75" i="18" a="1"/>
  <c r="CJ26" i="17" a="1"/>
  <c r="DT76" i="18" a="1"/>
  <c r="DT25" i="18" a="1"/>
  <c r="GN17" i="19" a="1"/>
  <c r="HX14" i="21" a="1"/>
  <c r="GN9" i="21" a="1"/>
  <c r="CJ12" i="20" a="1"/>
  <c r="FD20" i="19" a="1"/>
  <c r="FD14" i="19" a="1"/>
  <c r="FD22" i="21" a="1"/>
  <c r="AZ16" i="20" a="1"/>
  <c r="AZ32" i="20" a="1"/>
  <c r="DT8" i="21" a="1"/>
  <c r="DT27" i="19" a="1"/>
  <c r="CJ22" i="21" a="1"/>
  <c r="AZ12" i="21" a="1"/>
  <c r="CJ19" i="19" a="1"/>
  <c r="CJ24" i="19" a="1"/>
  <c r="AZ35" i="19" a="1"/>
  <c r="AZ14" i="19" a="1"/>
  <c r="CJ72" i="18" a="1"/>
  <c r="CJ24" i="18" a="1"/>
  <c r="CJ42" i="18" a="1"/>
  <c r="CJ41" i="18" a="1"/>
  <c r="CJ71" i="18" a="1"/>
  <c r="CJ25" i="18" a="1"/>
  <c r="CJ26" i="18" a="1"/>
  <c r="AZ49" i="18" a="1"/>
  <c r="AZ68" i="18" a="1"/>
  <c r="AZ65" i="18" a="1"/>
  <c r="AZ61" i="18" a="1"/>
  <c r="AZ99" i="18" a="1"/>
  <c r="AZ11" i="18" a="1"/>
  <c r="HX15" i="22" a="1"/>
  <c r="GN5" i="17" a="1"/>
  <c r="GN34" i="20" a="1"/>
  <c r="AZ13" i="17" a="1"/>
  <c r="FD33" i="20" a="1"/>
  <c r="FD83" i="18" a="1"/>
  <c r="DT5" i="18" a="1"/>
  <c r="DT49" i="18" a="1"/>
  <c r="DT39" i="18" a="1"/>
  <c r="DT71" i="18" a="1"/>
  <c r="GN10" i="19" a="1"/>
  <c r="GN6" i="19" a="1"/>
  <c r="GN23" i="21" a="1"/>
  <c r="GN20" i="21" a="1"/>
  <c r="CJ9" i="20" a="1"/>
  <c r="CJ14" i="20" a="1"/>
  <c r="FD13" i="19" a="1"/>
  <c r="FD6" i="19" a="1"/>
  <c r="FD23" i="21" a="1"/>
  <c r="AZ20" i="20" a="1"/>
  <c r="AZ10" i="20" a="1"/>
  <c r="AZ25" i="20" a="1"/>
  <c r="DT34" i="19" a="1"/>
  <c r="DT6" i="19" a="1"/>
  <c r="CJ14" i="21" a="1"/>
  <c r="CJ13" i="21" a="1"/>
  <c r="AZ18" i="21" a="1"/>
  <c r="CJ15" i="19" a="1"/>
  <c r="CJ14" i="19" a="1"/>
  <c r="CJ22" i="19" a="1"/>
  <c r="AZ29" i="19" a="1"/>
  <c r="AZ5" i="19" a="1"/>
  <c r="CJ45" i="18" a="1"/>
  <c r="CJ92" i="18" a="1"/>
  <c r="CJ101" i="18" a="1"/>
  <c r="CJ77" i="18" a="1"/>
  <c r="CJ48" i="18" a="1"/>
  <c r="CJ52" i="18" a="1"/>
  <c r="CJ40" i="18" a="1"/>
  <c r="CJ11" i="18" a="1"/>
  <c r="AZ26" i="18" a="1"/>
  <c r="AZ13" i="18" a="1"/>
  <c r="AZ31" i="18" a="1"/>
  <c r="AZ14" i="18" a="1"/>
  <c r="AZ42" i="18" a="1"/>
  <c r="AZ81" i="18" a="1"/>
  <c r="GN15" i="22" a="1"/>
  <c r="HX21" i="17" a="1"/>
  <c r="AZ5" i="22" a="1"/>
  <c r="DT20" i="17" a="1"/>
  <c r="CJ25" i="17" a="1"/>
  <c r="HX45" i="18" a="1"/>
  <c r="HX96" i="18" a="1"/>
  <c r="GN50" i="18" a="1"/>
  <c r="GN34" i="18" a="1"/>
  <c r="FD26" i="20" a="1"/>
  <c r="FD43" i="18" a="1"/>
  <c r="FD55" i="18" a="1"/>
  <c r="FD54" i="18" a="1"/>
  <c r="HX28" i="19" a="1"/>
  <c r="DT70" i="18" a="1"/>
  <c r="DT69" i="18" a="1"/>
  <c r="DT97" i="18" a="1"/>
  <c r="DT18" i="18" a="1"/>
  <c r="DT52" i="18" a="1"/>
  <c r="DT78" i="18" a="1"/>
  <c r="GN26" i="19" a="1"/>
  <c r="GN31" i="19" a="1"/>
  <c r="GN7" i="19" a="1"/>
  <c r="GN15" i="19" a="1"/>
  <c r="HX22" i="21" a="1"/>
  <c r="HX8" i="21" a="1"/>
  <c r="HX5" i="21" a="1"/>
  <c r="GN13" i="21" a="1"/>
  <c r="GN18" i="21" a="1"/>
  <c r="CJ6" i="20" a="1"/>
  <c r="CJ23" i="20" a="1"/>
  <c r="CJ19" i="20" a="1"/>
  <c r="CJ29" i="20" a="1"/>
  <c r="FD8" i="19" a="1"/>
  <c r="FD31" i="19" a="1"/>
  <c r="FD24" i="19" a="1"/>
  <c r="FD23" i="19" a="1"/>
  <c r="FD16" i="21" a="1"/>
  <c r="FD20" i="21" a="1"/>
  <c r="FD13" i="21" a="1"/>
  <c r="AZ33" i="20" a="1"/>
  <c r="AZ9" i="20" a="1"/>
  <c r="AZ7" i="20" a="1"/>
  <c r="DT20" i="21" a="1"/>
  <c r="DT12" i="21" a="1"/>
  <c r="DT7" i="21" a="1"/>
  <c r="DT30" i="19" a="1"/>
  <c r="DT24" i="19" a="1"/>
  <c r="DT16" i="19" a="1"/>
  <c r="DT19" i="19" a="1"/>
  <c r="CJ7" i="21" a="1"/>
  <c r="CJ11" i="21" a="1"/>
  <c r="AZ14" i="21" a="1"/>
  <c r="AZ8" i="21" a="1"/>
  <c r="AZ15" i="21" a="1"/>
  <c r="CJ5" i="19" a="1"/>
  <c r="CJ9" i="19" a="1"/>
  <c r="CJ33" i="19" a="1"/>
  <c r="CJ27" i="19" a="1"/>
  <c r="AZ23" i="19" a="1"/>
  <c r="AZ12" i="19" a="1"/>
  <c r="AZ26" i="19" a="1"/>
  <c r="AZ31" i="19" a="1"/>
  <c r="CJ31" i="18" a="1"/>
  <c r="CJ10" i="18" a="1"/>
  <c r="CJ37" i="18" a="1"/>
  <c r="CJ88" i="18" a="1"/>
  <c r="CJ98" i="18" a="1"/>
  <c r="CJ64" i="18" a="1"/>
  <c r="CJ21" i="18" a="1"/>
  <c r="CJ46" i="18" a="1"/>
  <c r="CJ18" i="18" a="1"/>
  <c r="CJ95" i="18" a="1"/>
  <c r="CJ69" i="18" a="1"/>
  <c r="CJ19" i="18" a="1"/>
  <c r="AZ16" i="18" a="1"/>
  <c r="AZ77" i="18" a="1"/>
  <c r="AZ39" i="18" a="1"/>
  <c r="AZ10" i="18" a="1"/>
  <c r="AZ40" i="18" a="1"/>
  <c r="AZ63" i="18" a="1"/>
  <c r="AZ74" i="18" a="1"/>
  <c r="AZ23" i="18" a="1"/>
  <c r="AZ66" i="18" a="1"/>
  <c r="AZ67" i="18" a="1"/>
  <c r="AZ8" i="18" a="1"/>
  <c r="AZ97" i="18" a="1"/>
  <c r="AZ80" i="18" a="1"/>
  <c r="FD10" i="22" a="1"/>
  <c r="GN11" i="17" a="1"/>
  <c r="FD13" i="17" a="1"/>
  <c r="DT22" i="17" a="1"/>
  <c r="HX60" i="18" a="1"/>
  <c r="AZ20" i="17" a="1"/>
  <c r="GN20" i="18" a="1"/>
  <c r="GN33" i="18" a="1"/>
  <c r="DT18" i="20" a="1"/>
  <c r="FD14" i="18" a="1"/>
  <c r="FD44" i="18" a="1"/>
  <c r="FD52" i="18" a="1"/>
  <c r="HX18" i="19" a="1"/>
  <c r="DT21" i="18" a="1"/>
  <c r="DT95" i="18" a="1"/>
  <c r="DT51" i="18" a="1"/>
  <c r="DT96" i="18" a="1"/>
  <c r="GN19" i="19" a="1"/>
  <c r="GN35" i="19" a="1"/>
  <c r="GN8" i="19" a="1"/>
  <c r="HX19" i="21" a="1"/>
  <c r="GN14" i="21" a="1"/>
  <c r="GN11" i="21" a="1"/>
  <c r="CJ18" i="20" a="1"/>
  <c r="CJ15" i="20" a="1"/>
  <c r="CJ16" i="20" a="1"/>
  <c r="FD7" i="19" a="1"/>
  <c r="FD32" i="19" a="1"/>
  <c r="FD9" i="21" a="1"/>
  <c r="AZ27" i="20" a="1"/>
  <c r="AZ6" i="20" a="1"/>
  <c r="DT17" i="21" a="1"/>
  <c r="DT18" i="21" a="1"/>
  <c r="DT21" i="19" a="1"/>
  <c r="DT33" i="19" a="1"/>
  <c r="CJ21" i="21" a="1"/>
  <c r="CJ10" i="21" a="1"/>
  <c r="AZ17" i="21" a="1"/>
  <c r="CJ12" i="19" a="1"/>
  <c r="CJ13" i="19" a="1"/>
  <c r="AZ22" i="19" a="1"/>
  <c r="AZ25" i="19" a="1"/>
  <c r="CJ79" i="18" a="1"/>
  <c r="CJ50" i="18" a="1"/>
  <c r="CJ16" i="18" a="1"/>
  <c r="CJ87" i="18" a="1"/>
  <c r="CJ49" i="18" a="1"/>
  <c r="CJ14" i="18" a="1"/>
  <c r="AZ59" i="18" a="1"/>
  <c r="AZ89" i="18" a="1"/>
  <c r="AZ73" i="18" a="1"/>
  <c r="AZ94" i="18" a="1"/>
  <c r="AZ33" i="18" a="1"/>
  <c r="AZ95" i="18" a="1"/>
  <c r="DT23" i="22" a="1"/>
  <c r="HX35" i="20" a="1"/>
  <c r="HX15" i="18" a="1"/>
  <c r="HX53" i="18" a="1"/>
  <c r="GN92" i="18" a="1"/>
  <c r="DT27" i="20" a="1"/>
  <c r="FD18" i="18" a="1"/>
  <c r="HX33" i="19" a="1"/>
  <c r="DT12" i="18" a="1"/>
  <c r="DT40" i="18" a="1"/>
  <c r="DT24" i="18" a="1"/>
  <c r="GN9" i="19" a="1"/>
  <c r="GN30" i="19" a="1"/>
  <c r="HX23" i="21" a="1"/>
  <c r="HX17" i="21" a="1"/>
  <c r="GN12" i="21" a="1"/>
  <c r="CJ31" i="20" a="1"/>
  <c r="CJ21" i="20" a="1"/>
  <c r="FD5" i="19" a="1"/>
  <c r="FD27" i="19" a="1"/>
  <c r="FD24" i="21" a="1"/>
  <c r="AZ15" i="20" a="1"/>
  <c r="DT9" i="21" a="1"/>
  <c r="DT23" i="21" a="1"/>
  <c r="DT13" i="19" a="1"/>
  <c r="DT17" i="19" a="1"/>
  <c r="CJ24" i="21" a="1"/>
  <c r="AZ5" i="21" a="1"/>
  <c r="CJ16" i="19" a="1"/>
  <c r="AZ11" i="19" a="1"/>
  <c r="AZ7" i="19" a="1"/>
  <c r="CJ104" i="18" a="1"/>
  <c r="CJ56" i="18" a="1"/>
  <c r="CJ97" i="18" a="1"/>
  <c r="CJ13" i="18" a="1"/>
  <c r="CJ9" i="18" a="1"/>
  <c r="AZ15" i="18" a="1"/>
  <c r="AZ85" i="18" a="1"/>
  <c r="AZ96" i="18" a="1"/>
  <c r="AZ87" i="18" a="1"/>
  <c r="AZ34" i="18" a="1"/>
  <c r="AZ86" i="18" a="1"/>
  <c r="DT17" i="18" l="1"/>
  <c r="GN26" i="20"/>
  <c r="AZ18" i="21"/>
  <c r="CJ56" i="18"/>
  <c r="AZ21" i="17"/>
  <c r="FD34" i="18"/>
  <c r="GN39" i="18"/>
  <c r="AZ12" i="17"/>
  <c r="FD102" i="18"/>
  <c r="FD38" i="18"/>
  <c r="FD54" i="18"/>
  <c r="FD18" i="19"/>
  <c r="FD25" i="17"/>
  <c r="GN41" i="18"/>
  <c r="CJ29" i="17"/>
  <c r="GN54" i="18"/>
  <c r="GN15" i="20"/>
  <c r="CJ26" i="19"/>
  <c r="CJ41" i="18"/>
  <c r="CJ27" i="17"/>
  <c r="FD31" i="19"/>
  <c r="GN16" i="21"/>
  <c r="GN100" i="18"/>
  <c r="DT10" i="17"/>
  <c r="GN19" i="17"/>
  <c r="CJ60" i="18"/>
  <c r="GN59" i="18"/>
  <c r="CJ15" i="17"/>
  <c r="DT19" i="19"/>
  <c r="HX92" i="18"/>
  <c r="AZ45" i="18"/>
  <c r="HX37" i="18"/>
  <c r="DT11" i="18"/>
  <c r="FD94" i="18"/>
  <c r="FD35" i="19"/>
  <c r="FD20" i="18"/>
  <c r="FD50" i="18"/>
  <c r="DT66" i="18"/>
  <c r="AZ24" i="18"/>
  <c r="AZ96" i="18"/>
  <c r="CJ16" i="18"/>
  <c r="HX52" i="18"/>
  <c r="DT51" i="18"/>
  <c r="HX56" i="18"/>
  <c r="AZ22" i="18"/>
  <c r="CJ28" i="17"/>
  <c r="AZ63" i="18"/>
  <c r="GN50" i="18"/>
  <c r="GN8" i="20"/>
  <c r="FD28" i="18"/>
  <c r="AZ39" i="18"/>
  <c r="GN20" i="19"/>
  <c r="HX8" i="17"/>
  <c r="GN34" i="20"/>
  <c r="AZ80" i="18"/>
  <c r="FD42" i="18"/>
  <c r="FD26" i="17"/>
  <c r="HX41" i="18"/>
  <c r="FD18" i="20"/>
  <c r="FD18" i="17"/>
  <c r="GN40" i="18"/>
  <c r="GN9" i="17"/>
  <c r="GN92" i="18"/>
  <c r="AZ20" i="17"/>
  <c r="FD20" i="17"/>
  <c r="GN78" i="18"/>
  <c r="GN38" i="18"/>
  <c r="CJ33" i="18"/>
  <c r="HX33" i="20"/>
  <c r="CJ70" i="18"/>
  <c r="CJ14" i="18"/>
  <c r="DT48" i="18"/>
  <c r="DT74" i="18"/>
  <c r="DT26" i="19"/>
  <c r="GN23" i="18"/>
  <c r="DT26" i="17"/>
  <c r="CJ30" i="18"/>
  <c r="HX101" i="18"/>
  <c r="GN81" i="18"/>
  <c r="DT82" i="18"/>
  <c r="AZ46" i="18"/>
  <c r="AZ13" i="21"/>
  <c r="AZ24" i="21"/>
  <c r="CJ23" i="20"/>
  <c r="CJ97" i="18"/>
  <c r="CJ67" i="18"/>
  <c r="HX16" i="20"/>
  <c r="DT65" i="18"/>
  <c r="HX48" i="18"/>
  <c r="DT5" i="17"/>
  <c r="CJ13" i="19"/>
  <c r="AZ14" i="17"/>
  <c r="HX6" i="18"/>
  <c r="FD55" i="18"/>
  <c r="DT19" i="22"/>
  <c r="DT54" i="18"/>
  <c r="DT13" i="18"/>
  <c r="HX10" i="21"/>
  <c r="HX27" i="18"/>
  <c r="FD20" i="20"/>
  <c r="DT17" i="17"/>
  <c r="FD60" i="18"/>
  <c r="GN51" i="18"/>
  <c r="HX29" i="20"/>
  <c r="GN28" i="18"/>
  <c r="CJ96" i="18"/>
  <c r="HX14" i="17"/>
  <c r="AZ32" i="20"/>
  <c r="FD14" i="18"/>
  <c r="GN53" i="18"/>
  <c r="HX62" i="18"/>
  <c r="CJ18" i="17"/>
  <c r="HX72" i="18"/>
  <c r="DT12" i="17"/>
  <c r="DT18" i="17"/>
  <c r="FD26" i="18"/>
  <c r="GN67" i="18"/>
  <c r="AZ32" i="19"/>
  <c r="FD69" i="18"/>
  <c r="AZ12" i="19"/>
  <c r="DT22" i="17"/>
  <c r="AZ77" i="18"/>
  <c r="DT31" i="19"/>
  <c r="AZ16" i="21"/>
  <c r="DT100" i="18"/>
  <c r="HX31" i="18"/>
  <c r="DT26" i="18"/>
  <c r="HX15" i="19"/>
  <c r="AZ8" i="17"/>
  <c r="HX35" i="18"/>
  <c r="DT34" i="18"/>
  <c r="HX60" i="18"/>
  <c r="HX25" i="17"/>
  <c r="HX23" i="20"/>
  <c r="HX94" i="18"/>
  <c r="DT32" i="20"/>
  <c r="DT40" i="18"/>
  <c r="GN26" i="17"/>
  <c r="HX51" i="18"/>
  <c r="HX76" i="18"/>
  <c r="AZ28" i="17"/>
  <c r="GN64" i="18"/>
  <c r="HX11" i="17"/>
  <c r="FD72" i="18"/>
  <c r="HX59" i="18"/>
  <c r="GN29" i="19"/>
  <c r="HX15" i="20"/>
  <c r="DT72" i="18"/>
  <c r="DT23" i="18"/>
  <c r="FD17" i="21"/>
  <c r="AZ6" i="18"/>
  <c r="DT20" i="20"/>
  <c r="GN34" i="18"/>
  <c r="DT41" i="18"/>
  <c r="DT29" i="17"/>
  <c r="HX8" i="20"/>
  <c r="DT23" i="19"/>
  <c r="HX19" i="18"/>
  <c r="AZ15" i="17"/>
  <c r="HX86" i="18"/>
  <c r="CJ101" i="18"/>
  <c r="FD11" i="18"/>
  <c r="CJ36" i="18"/>
  <c r="GN71" i="18"/>
  <c r="DT14" i="17"/>
  <c r="HX10" i="17"/>
  <c r="GN18" i="18"/>
  <c r="CJ8" i="18"/>
  <c r="DT8" i="19"/>
  <c r="FD16" i="17"/>
  <c r="GN13" i="17"/>
  <c r="DT29" i="18"/>
  <c r="AZ101" i="18"/>
  <c r="DT21" i="20"/>
  <c r="DT21" i="17"/>
  <c r="DT9" i="17"/>
  <c r="DT62" i="18"/>
  <c r="DT53" i="18"/>
  <c r="DT21" i="18"/>
  <c r="FD87" i="18"/>
  <c r="CJ22" i="18"/>
  <c r="DT88" i="18"/>
  <c r="AZ27" i="19"/>
  <c r="FD47" i="18"/>
  <c r="FD15" i="18"/>
  <c r="CJ7" i="18"/>
  <c r="HX89" i="18"/>
  <c r="DT84" i="18"/>
  <c r="DT15" i="21"/>
  <c r="AZ14" i="22"/>
  <c r="CJ11" i="17"/>
  <c r="GN13" i="18"/>
  <c r="CJ25" i="18"/>
  <c r="GN58" i="18"/>
  <c r="HX22" i="17"/>
  <c r="CJ87" i="18"/>
  <c r="HX8" i="19"/>
  <c r="AZ65" i="18"/>
  <c r="FD21" i="18"/>
  <c r="FD41" i="18"/>
  <c r="HX30" i="18"/>
  <c r="FD9" i="20"/>
  <c r="HX6" i="19"/>
  <c r="DT10" i="21"/>
  <c r="GN44" i="18"/>
  <c r="HX21" i="22"/>
  <c r="FD12" i="17"/>
  <c r="GN85" i="18"/>
  <c r="AZ13" i="17"/>
  <c r="DT15" i="20"/>
  <c r="DT33" i="18"/>
  <c r="CJ5" i="18"/>
  <c r="AZ5" i="19"/>
  <c r="HX26" i="18"/>
  <c r="AZ74" i="18"/>
  <c r="CJ83" i="18"/>
  <c r="HX8" i="18"/>
  <c r="GN65" i="18"/>
  <c r="CJ68" i="18"/>
  <c r="DT59" i="18"/>
  <c r="FD58" i="18"/>
  <c r="GN70" i="18"/>
  <c r="GN20" i="18"/>
  <c r="GN12" i="20"/>
  <c r="HX22" i="21"/>
  <c r="CJ85" i="18"/>
  <c r="AZ5" i="22"/>
  <c r="FD95" i="18"/>
  <c r="FD10" i="19"/>
  <c r="AZ28" i="19"/>
  <c r="CJ30" i="19"/>
  <c r="CJ95" i="18"/>
  <c r="AZ98" i="18"/>
  <c r="CJ42" i="18"/>
  <c r="FD98" i="18"/>
  <c r="FD52" i="18"/>
  <c r="CJ62" i="18"/>
  <c r="HX63" i="18"/>
  <c r="GN66" i="18"/>
  <c r="GN63" i="18"/>
  <c r="DT63" i="18"/>
  <c r="AZ30" i="20"/>
  <c r="DT98" i="18"/>
  <c r="AZ49" i="18"/>
  <c r="GN11" i="17"/>
  <c r="DT67" i="18"/>
  <c r="HX32" i="18"/>
  <c r="GN84" i="18"/>
  <c r="GN88" i="18"/>
  <c r="CJ74" i="18"/>
  <c r="GN22" i="19"/>
  <c r="CJ84" i="18"/>
  <c r="AZ81" i="18"/>
  <c r="DT83" i="18"/>
  <c r="GN34" i="19"/>
  <c r="AZ6" i="20"/>
  <c r="CJ89" i="18"/>
  <c r="AZ18" i="18"/>
  <c r="HX79" i="18"/>
  <c r="AZ29" i="17"/>
  <c r="HX6" i="17"/>
  <c r="GN11" i="22"/>
  <c r="DT27" i="17"/>
  <c r="DT50" i="18"/>
  <c r="HX53" i="18"/>
  <c r="FD7" i="17"/>
  <c r="FD83" i="18"/>
  <c r="CJ44" i="18"/>
  <c r="HX100" i="18"/>
  <c r="GN18" i="17"/>
  <c r="CJ19" i="17"/>
  <c r="FD45" i="18"/>
  <c r="FD21" i="17"/>
  <c r="DT5" i="19"/>
  <c r="DT15" i="18"/>
  <c r="HX11" i="18"/>
  <c r="GN6" i="18"/>
  <c r="AZ9" i="17"/>
  <c r="HX14" i="20"/>
  <c r="CJ13" i="21"/>
  <c r="DT20" i="22"/>
  <c r="GN5" i="18"/>
  <c r="FD33" i="18"/>
  <c r="GN12" i="19"/>
  <c r="HX104" i="18"/>
  <c r="GN22" i="17"/>
  <c r="DT28" i="17"/>
  <c r="FD28" i="17"/>
  <c r="CJ7" i="21"/>
  <c r="FD21" i="22"/>
  <c r="HX5" i="17"/>
  <c r="FD77" i="18"/>
  <c r="GN5" i="20"/>
  <c r="DT71" i="18"/>
  <c r="GN33" i="18"/>
  <c r="CJ66" i="18"/>
  <c r="AZ69" i="18"/>
  <c r="HX78" i="18"/>
  <c r="FD13" i="19"/>
  <c r="AZ72" i="18"/>
  <c r="CJ13" i="17"/>
  <c r="CJ40" i="18"/>
  <c r="HX40" i="18"/>
  <c r="HX44" i="18"/>
  <c r="DT68" i="18"/>
  <c r="GN25" i="17"/>
  <c r="AZ51" i="18"/>
  <c r="AZ102" i="18"/>
  <c r="FD46" i="18"/>
  <c r="AZ35" i="18"/>
  <c r="DT8" i="17"/>
  <c r="AZ47" i="18"/>
  <c r="GN48" i="18"/>
  <c r="GN15" i="17"/>
  <c r="FD24" i="20"/>
  <c r="GN24" i="17"/>
  <c r="HX95" i="18"/>
  <c r="FD70" i="18"/>
  <c r="CJ38" i="18"/>
  <c r="AZ41" i="18"/>
  <c r="HX8" i="22"/>
  <c r="HX38" i="18"/>
  <c r="DT69" i="18"/>
  <c r="FD30" i="20"/>
  <c r="FD27" i="19"/>
  <c r="HX21" i="17"/>
  <c r="CJ17" i="17"/>
  <c r="GN27" i="17"/>
  <c r="FD24" i="18"/>
  <c r="CJ75" i="18"/>
  <c r="AZ19" i="19"/>
  <c r="FD49" i="18"/>
  <c r="GN22" i="20"/>
  <c r="DT13" i="17"/>
  <c r="GN20" i="17"/>
  <c r="CJ12" i="18"/>
  <c r="CJ15" i="18"/>
  <c r="CJ65" i="18"/>
  <c r="AZ37" i="18"/>
  <c r="HX5" i="20"/>
  <c r="FD28" i="20"/>
  <c r="HX80" i="18"/>
  <c r="GN83" i="18"/>
  <c r="AZ9" i="19"/>
  <c r="CJ10" i="19"/>
  <c r="DT25" i="18"/>
  <c r="DT32" i="19"/>
  <c r="GN62" i="18"/>
  <c r="AZ17" i="17"/>
  <c r="GN36" i="18"/>
  <c r="AZ23" i="17"/>
  <c r="CJ10" i="18"/>
  <c r="AZ73" i="18"/>
  <c r="CJ12" i="20"/>
  <c r="HX7" i="20"/>
  <c r="GN27" i="19"/>
  <c r="AZ21" i="21"/>
  <c r="CJ15" i="20"/>
  <c r="GN35" i="20"/>
  <c r="CJ25" i="20"/>
  <c r="GN5" i="21"/>
  <c r="FD22" i="22"/>
  <c r="AZ90" i="18"/>
  <c r="DT49" i="18"/>
  <c r="DT27" i="19"/>
  <c r="DT58" i="18"/>
  <c r="DT16" i="20"/>
  <c r="FD14" i="17"/>
  <c r="AZ19" i="17"/>
  <c r="FD23" i="18"/>
  <c r="CJ9" i="17"/>
  <c r="GN72" i="18"/>
  <c r="AZ27" i="18"/>
  <c r="GN27" i="18"/>
  <c r="DT92" i="18"/>
  <c r="DT21" i="19"/>
  <c r="GN11" i="21"/>
  <c r="AZ22" i="21"/>
  <c r="GN16" i="19"/>
  <c r="DT23" i="20"/>
  <c r="AZ21" i="22"/>
  <c r="GN6" i="19"/>
  <c r="DT39" i="18"/>
  <c r="GN79" i="18"/>
  <c r="DT22" i="22"/>
  <c r="HX29" i="19"/>
  <c r="HX15" i="21"/>
  <c r="CJ79" i="18"/>
  <c r="HX19" i="17"/>
  <c r="GN6" i="22"/>
  <c r="DT5" i="20"/>
  <c r="HX34" i="20"/>
  <c r="DT57" i="18"/>
  <c r="AZ11" i="17"/>
  <c r="AZ7" i="19"/>
  <c r="DT15" i="17"/>
  <c r="CJ17" i="19"/>
  <c r="DT9" i="18"/>
  <c r="AZ9" i="22"/>
  <c r="GN28" i="17"/>
  <c r="CJ53" i="18"/>
  <c r="CJ33" i="19"/>
  <c r="DT23" i="17"/>
  <c r="AZ15" i="18"/>
  <c r="DT60" i="18"/>
  <c r="CJ63" i="18"/>
  <c r="CJ8" i="19"/>
  <c r="GN31" i="19"/>
  <c r="AZ20" i="22"/>
  <c r="GN23" i="22"/>
  <c r="FD8" i="21"/>
  <c r="CJ20" i="21"/>
  <c r="CJ23" i="19"/>
  <c r="FD24" i="19"/>
  <c r="HX5" i="18"/>
  <c r="DT29" i="19"/>
  <c r="CJ13" i="18"/>
  <c r="AZ15" i="20"/>
  <c r="FD81" i="18"/>
  <c r="AZ30" i="18"/>
  <c r="DT24" i="18"/>
  <c r="HX24" i="22"/>
  <c r="HX17" i="22"/>
  <c r="AZ20" i="18"/>
  <c r="FD16" i="19"/>
  <c r="GN15" i="21"/>
  <c r="DT20" i="19"/>
  <c r="CJ82" i="18"/>
  <c r="CJ88" i="18"/>
  <c r="GN27" i="20"/>
  <c r="FD16" i="18"/>
  <c r="GN46" i="18"/>
  <c r="CJ18" i="21"/>
  <c r="DT30" i="20"/>
  <c r="FD10" i="20"/>
  <c r="FD13" i="22"/>
  <c r="AZ16" i="17"/>
  <c r="AZ24" i="17"/>
  <c r="AZ44" i="18"/>
  <c r="FD101" i="18"/>
  <c r="HX54" i="18"/>
  <c r="GN56" i="18"/>
  <c r="AZ75" i="18"/>
  <c r="DT19" i="17"/>
  <c r="CJ5" i="20"/>
  <c r="FD5" i="17"/>
  <c r="FD24" i="17"/>
  <c r="AZ55" i="18"/>
  <c r="HX22" i="22"/>
  <c r="AZ10" i="20"/>
  <c r="GN14" i="17"/>
  <c r="HX69" i="18"/>
  <c r="HX7" i="18"/>
  <c r="AZ87" i="18"/>
  <c r="AZ5" i="17"/>
  <c r="DT80" i="18"/>
  <c r="HX11" i="19"/>
  <c r="FD27" i="18"/>
  <c r="CJ57" i="18"/>
  <c r="GN7" i="19"/>
  <c r="HX15" i="17"/>
  <c r="FD29" i="19"/>
  <c r="AZ31" i="18"/>
  <c r="CJ6" i="17"/>
  <c r="FD63" i="18"/>
  <c r="HX20" i="18"/>
  <c r="CJ34" i="18"/>
  <c r="FD13" i="21"/>
  <c r="AZ64" i="18"/>
  <c r="DT37" i="18"/>
  <c r="AZ5" i="18"/>
  <c r="GN7" i="18"/>
  <c r="DT46" i="18"/>
  <c r="DT64" i="18"/>
  <c r="HX96" i="18"/>
  <c r="DT7" i="20"/>
  <c r="HX28" i="19"/>
  <c r="GN7" i="17"/>
  <c r="AZ89" i="18"/>
  <c r="CJ23" i="17"/>
  <c r="AZ11" i="21"/>
  <c r="DT24" i="21"/>
  <c r="HX20" i="22"/>
  <c r="AZ8" i="18"/>
  <c r="CJ8" i="20"/>
  <c r="GN7" i="21"/>
  <c r="CJ12" i="21"/>
  <c r="CJ93" i="18"/>
  <c r="FD91" i="18"/>
  <c r="AZ71" i="18"/>
  <c r="AZ33" i="20"/>
  <c r="DT19" i="21"/>
  <c r="CJ16" i="20"/>
  <c r="AZ94" i="18"/>
  <c r="FD7" i="18"/>
  <c r="CJ6" i="18"/>
  <c r="HX23" i="19"/>
  <c r="CJ27" i="19"/>
  <c r="HX25" i="20"/>
  <c r="AZ28" i="20"/>
  <c r="FD11" i="21"/>
  <c r="CJ98" i="18"/>
  <c r="HX73" i="18"/>
  <c r="GN30" i="18"/>
  <c r="GN87" i="18"/>
  <c r="FD90" i="18"/>
  <c r="CJ11" i="18"/>
  <c r="DT25" i="17"/>
  <c r="GN73" i="18"/>
  <c r="FD9" i="19"/>
  <c r="CJ49" i="18"/>
  <c r="FD103" i="18"/>
  <c r="CJ12" i="17"/>
  <c r="AZ33" i="19"/>
  <c r="CJ17" i="18"/>
  <c r="HX17" i="18"/>
  <c r="HX68" i="18"/>
  <c r="GN13" i="19"/>
  <c r="AZ7" i="18"/>
  <c r="DT6" i="19"/>
  <c r="FD7" i="19"/>
  <c r="FD19" i="20"/>
  <c r="HX6" i="20"/>
  <c r="HX67" i="18"/>
  <c r="HX9" i="18"/>
  <c r="GN17" i="17"/>
  <c r="AZ93" i="18"/>
  <c r="GN104" i="18"/>
  <c r="GN35" i="18"/>
  <c r="FD6" i="17"/>
  <c r="DT73" i="18"/>
  <c r="AZ59" i="18"/>
  <c r="HX46" i="18"/>
  <c r="FD74" i="18"/>
  <c r="CJ21" i="17"/>
  <c r="GN90" i="18"/>
  <c r="GN12" i="21"/>
  <c r="DT7" i="17"/>
  <c r="CJ92" i="18"/>
  <c r="GN12" i="18"/>
  <c r="HX6" i="22"/>
  <c r="CJ21" i="19"/>
  <c r="GN16" i="17"/>
  <c r="GN6" i="17"/>
  <c r="DT56" i="18"/>
  <c r="CJ59" i="18"/>
  <c r="DT87" i="18"/>
  <c r="CJ90" i="18"/>
  <c r="GN21" i="17"/>
  <c r="HX31" i="19"/>
  <c r="HX57" i="18"/>
  <c r="HX19" i="22"/>
  <c r="AZ13" i="22"/>
  <c r="GN43" i="18"/>
  <c r="CJ8" i="17"/>
  <c r="CJ16" i="21"/>
  <c r="HX29" i="17"/>
  <c r="AZ29" i="19"/>
  <c r="AZ95" i="18"/>
  <c r="FD22" i="18"/>
  <c r="GN14" i="22"/>
  <c r="FD22" i="19"/>
  <c r="FD66" i="18"/>
  <c r="HX16" i="21"/>
  <c r="DT15" i="22"/>
  <c r="GN8" i="17"/>
  <c r="HX87" i="18"/>
  <c r="GN31" i="20"/>
  <c r="CJ91" i="18"/>
  <c r="CJ48" i="18"/>
  <c r="CJ32" i="19"/>
  <c r="GN21" i="21"/>
  <c r="HX27" i="17"/>
  <c r="GN19" i="21"/>
  <c r="DT78" i="18"/>
  <c r="GN32" i="18"/>
  <c r="DT55" i="18"/>
  <c r="HX102" i="18"/>
  <c r="CJ9" i="18"/>
  <c r="FD25" i="18"/>
  <c r="HX28" i="17"/>
  <c r="AZ26" i="18"/>
  <c r="FD13" i="18"/>
  <c r="GN91" i="18"/>
  <c r="AZ79" i="18"/>
  <c r="AZ6" i="17"/>
  <c r="DT85" i="18"/>
  <c r="HX32" i="19"/>
  <c r="AZ54" i="18"/>
  <c r="FD31" i="18"/>
  <c r="DT11" i="22"/>
  <c r="AZ23" i="21"/>
  <c r="GN16" i="20"/>
  <c r="FD31" i="20"/>
  <c r="HX13" i="21"/>
  <c r="FD12" i="18"/>
  <c r="AZ57" i="18"/>
  <c r="CJ10" i="17"/>
  <c r="CJ77" i="18"/>
  <c r="FD13" i="17"/>
  <c r="DT89" i="18"/>
  <c r="CJ18" i="20"/>
  <c r="DT11" i="19"/>
  <c r="GN24" i="19"/>
  <c r="HX75" i="18"/>
  <c r="GN99" i="18"/>
  <c r="HX12" i="20"/>
  <c r="AZ7" i="22"/>
  <c r="GN10" i="22"/>
  <c r="DT96" i="18"/>
  <c r="HX12" i="19"/>
  <c r="AZ11" i="20"/>
  <c r="GN11" i="20"/>
  <c r="HX19" i="19"/>
  <c r="HX27" i="19"/>
  <c r="CJ24" i="20"/>
  <c r="HX24" i="20"/>
  <c r="DT35" i="19"/>
  <c r="DT47" i="18"/>
  <c r="DT30" i="19"/>
  <c r="AZ48" i="18"/>
  <c r="CJ46" i="18"/>
  <c r="AZ68" i="18"/>
  <c r="FD65" i="18"/>
  <c r="FD19" i="19"/>
  <c r="HX7" i="22"/>
  <c r="DT14" i="18"/>
  <c r="FD75" i="18"/>
  <c r="GN14" i="18"/>
  <c r="HX20" i="17"/>
  <c r="CJ19" i="18"/>
  <c r="CJ24" i="17"/>
  <c r="HX16" i="17"/>
  <c r="HX10" i="22"/>
  <c r="DT29" i="20"/>
  <c r="FD9" i="22"/>
  <c r="GN28" i="20"/>
  <c r="FD13" i="20"/>
  <c r="HX7" i="21"/>
  <c r="FD12" i="19"/>
  <c r="HX13" i="19"/>
  <c r="GN9" i="19"/>
  <c r="FD23" i="19"/>
  <c r="FD21" i="20"/>
  <c r="CJ22" i="20"/>
  <c r="DT33" i="20"/>
  <c r="DT12" i="20"/>
  <c r="GN8" i="21"/>
  <c r="DT9" i="21"/>
  <c r="DT61" i="18"/>
  <c r="FD82" i="18"/>
  <c r="CJ100" i="18"/>
  <c r="FD88" i="18"/>
  <c r="GN13" i="21"/>
  <c r="AZ11" i="19"/>
  <c r="CJ20" i="17"/>
  <c r="FD23" i="20"/>
  <c r="AZ66" i="18"/>
  <c r="HX33" i="19"/>
  <c r="AZ22" i="17"/>
  <c r="DT27" i="18"/>
  <c r="CJ35" i="20"/>
  <c r="AZ29" i="20"/>
  <c r="CJ47" i="18"/>
  <c r="AZ15" i="22"/>
  <c r="FD104" i="18"/>
  <c r="FD28" i="19"/>
  <c r="CJ34" i="19"/>
  <c r="FD32" i="19"/>
  <c r="DT75" i="18"/>
  <c r="CJ22" i="19"/>
  <c r="CJ37" i="18"/>
  <c r="DT90" i="18"/>
  <c r="FD35" i="18"/>
  <c r="HX88" i="18"/>
  <c r="DT11" i="20"/>
  <c r="FD10" i="17"/>
  <c r="HX61" i="18"/>
  <c r="FD53" i="18"/>
  <c r="AZ100" i="18"/>
  <c r="FD84" i="18"/>
  <c r="FD17" i="17"/>
  <c r="AZ12" i="22"/>
  <c r="HX45" i="18"/>
  <c r="GN42" i="18"/>
  <c r="CJ5" i="19"/>
  <c r="AZ70" i="18"/>
  <c r="DT6" i="17"/>
  <c r="HX7" i="17"/>
  <c r="DT6" i="18"/>
  <c r="AZ18" i="19"/>
  <c r="FD93" i="18"/>
  <c r="HX16" i="18"/>
  <c r="CJ7" i="17"/>
  <c r="HX30" i="20"/>
  <c r="DT25" i="20"/>
  <c r="GN5" i="17"/>
  <c r="GN16" i="18"/>
  <c r="CJ34" i="20"/>
  <c r="CJ6" i="19"/>
  <c r="GN60" i="18"/>
  <c r="CJ5" i="17"/>
  <c r="DT17" i="20"/>
  <c r="CJ69" i="18"/>
  <c r="CJ20" i="20"/>
  <c r="FD44" i="18"/>
  <c r="HX10" i="18"/>
  <c r="HX29" i="18"/>
  <c r="FD30" i="18"/>
  <c r="GN80" i="18"/>
  <c r="DT6" i="22"/>
  <c r="FD6" i="18"/>
  <c r="DT8" i="18"/>
  <c r="HX25" i="18"/>
  <c r="CJ86" i="18"/>
  <c r="CJ32" i="18"/>
  <c r="CJ72" i="18"/>
  <c r="FD59" i="18"/>
  <c r="FD5" i="22"/>
  <c r="HX32" i="20"/>
  <c r="DT7" i="19"/>
  <c r="FD26" i="20"/>
  <c r="AZ7" i="17"/>
  <c r="FD85" i="18"/>
  <c r="HX77" i="18"/>
  <c r="CJ103" i="18"/>
  <c r="AZ11" i="18"/>
  <c r="GN61" i="18"/>
  <c r="GN55" i="18"/>
  <c r="FD14" i="19"/>
  <c r="CJ35" i="19"/>
  <c r="DT13" i="19"/>
  <c r="GN103" i="18"/>
  <c r="HX20" i="19"/>
  <c r="AZ35" i="19"/>
  <c r="GN18" i="20"/>
  <c r="FD99" i="18"/>
  <c r="AZ13" i="19"/>
  <c r="CJ11" i="20"/>
  <c r="HX11" i="20"/>
  <c r="HX35" i="19"/>
  <c r="DT28" i="19"/>
  <c r="DT24" i="20"/>
  <c r="AZ25" i="20"/>
  <c r="GN45" i="18"/>
  <c r="DT45" i="18"/>
  <c r="GN5" i="19"/>
  <c r="FD32" i="18"/>
  <c r="GN74" i="18"/>
  <c r="FD56" i="18"/>
  <c r="CJ13" i="20"/>
  <c r="GN69" i="18"/>
  <c r="HX12" i="22"/>
  <c r="DT6" i="20"/>
  <c r="AZ53" i="18"/>
  <c r="FD5" i="19"/>
  <c r="AZ58" i="18"/>
  <c r="AZ14" i="19"/>
  <c r="HX25" i="19"/>
  <c r="HX82" i="18"/>
  <c r="AZ25" i="17"/>
  <c r="DT6" i="21"/>
  <c r="HX24" i="21"/>
  <c r="GN8" i="19"/>
  <c r="AZ17" i="20"/>
  <c r="AZ7" i="20"/>
  <c r="FD29" i="20"/>
  <c r="GN30" i="20"/>
  <c r="HX74" i="18"/>
  <c r="GN23" i="19"/>
  <c r="GN21" i="20"/>
  <c r="DT22" i="20"/>
  <c r="GN24" i="20"/>
  <c r="FD12" i="20"/>
  <c r="HX8" i="21"/>
  <c r="FD9" i="21"/>
  <c r="FD17" i="20"/>
  <c r="GN7" i="20"/>
  <c r="HX20" i="20"/>
  <c r="AZ35" i="20"/>
  <c r="HX64" i="18"/>
  <c r="HX47" i="18"/>
  <c r="GN12" i="22"/>
  <c r="HX11" i="21"/>
  <c r="GN102" i="18"/>
  <c r="CJ9" i="19"/>
  <c r="HX33" i="18"/>
  <c r="DT21" i="22"/>
  <c r="HX55" i="18"/>
  <c r="FD100" i="18"/>
  <c r="GN21" i="19"/>
  <c r="CJ15" i="21"/>
  <c r="FD6" i="19"/>
  <c r="AZ20" i="20"/>
  <c r="CJ26" i="20"/>
  <c r="GN12" i="17"/>
  <c r="GN23" i="20"/>
  <c r="AZ88" i="18"/>
  <c r="FD29" i="18"/>
  <c r="CJ102" i="18"/>
  <c r="DT11" i="17"/>
  <c r="DT8" i="22"/>
  <c r="AZ26" i="17"/>
  <c r="FD18" i="18"/>
  <c r="HX81" i="18"/>
  <c r="CJ94" i="18"/>
  <c r="GN20" i="20"/>
  <c r="GN98" i="18"/>
  <c r="FD21" i="21"/>
  <c r="CJ17" i="20"/>
  <c r="GN8" i="18"/>
  <c r="HX18" i="19"/>
  <c r="CJ23" i="18"/>
  <c r="CJ35" i="18"/>
  <c r="AZ38" i="18"/>
  <c r="DT26" i="20"/>
  <c r="AZ27" i="17"/>
  <c r="AZ31" i="19"/>
  <c r="DT42" i="18"/>
  <c r="AZ10" i="18"/>
  <c r="GN10" i="18"/>
  <c r="DT17" i="22"/>
  <c r="HX35" i="20"/>
  <c r="FD8" i="17"/>
  <c r="GN13" i="22"/>
  <c r="HX9" i="17"/>
  <c r="DT79" i="18"/>
  <c r="FD76" i="18"/>
  <c r="HX17" i="17"/>
  <c r="GN23" i="17"/>
  <c r="HX23" i="17"/>
  <c r="DT104" i="18"/>
  <c r="CJ45" i="18"/>
  <c r="HX18" i="18"/>
  <c r="AZ104" i="18"/>
  <c r="AZ16" i="18"/>
  <c r="CJ24" i="18"/>
  <c r="HX24" i="18"/>
  <c r="AZ8" i="19"/>
  <c r="AZ60" i="18"/>
  <c r="CJ9" i="21"/>
  <c r="HX18" i="21"/>
  <c r="FD17" i="22"/>
  <c r="FD15" i="21"/>
  <c r="FD32" i="20"/>
  <c r="GN25" i="20"/>
  <c r="FD14" i="21"/>
  <c r="AZ86" i="18"/>
  <c r="AZ61" i="18"/>
  <c r="HX10" i="19"/>
  <c r="HX85" i="18"/>
  <c r="CJ24" i="19"/>
  <c r="CJ18" i="19"/>
  <c r="HX13" i="18"/>
  <c r="FD96" i="18"/>
  <c r="HX99" i="18"/>
  <c r="GN14" i="19"/>
  <c r="DT36" i="18"/>
  <c r="AZ21" i="19"/>
  <c r="GN35" i="19"/>
  <c r="CJ19" i="20"/>
  <c r="FD40" i="18"/>
  <c r="AZ19" i="18"/>
  <c r="GN19" i="18"/>
  <c r="DT16" i="17"/>
  <c r="GN9" i="18"/>
  <c r="CJ39" i="18"/>
  <c r="AZ42" i="18"/>
  <c r="DT18" i="22"/>
  <c r="DT91" i="18"/>
  <c r="CJ29" i="18"/>
  <c r="AZ33" i="18"/>
  <c r="CJ29" i="20"/>
  <c r="CJ50" i="18"/>
  <c r="AZ8" i="22"/>
  <c r="HX23" i="21"/>
  <c r="CJ20" i="19"/>
  <c r="GN20" i="22"/>
  <c r="AZ67" i="18"/>
  <c r="FD9" i="17"/>
  <c r="HX15" i="18"/>
  <c r="HX28" i="20"/>
  <c r="CJ20" i="18"/>
  <c r="AZ12" i="21"/>
  <c r="DT11" i="21"/>
  <c r="AZ103" i="18"/>
  <c r="CJ14" i="20"/>
  <c r="DT34" i="20"/>
  <c r="DT9" i="19"/>
  <c r="FD8" i="19"/>
  <c r="CJ7" i="20"/>
  <c r="GN29" i="20"/>
  <c r="CJ31" i="20"/>
  <c r="HX93" i="18"/>
  <c r="GN29" i="18"/>
  <c r="CJ31" i="18"/>
  <c r="DT30" i="18"/>
  <c r="DT20" i="18"/>
  <c r="GN77" i="18"/>
  <c r="FD80" i="18"/>
  <c r="HX14" i="21"/>
  <c r="AZ43" i="18"/>
  <c r="GN68" i="18"/>
  <c r="DT35" i="18"/>
  <c r="AZ56" i="18"/>
  <c r="HX66" i="18"/>
  <c r="DT24" i="19"/>
  <c r="DT18" i="21"/>
  <c r="AZ16" i="22"/>
  <c r="GN25" i="19"/>
  <c r="HX9" i="19"/>
  <c r="HX22" i="18"/>
  <c r="FD6" i="22"/>
  <c r="FD16" i="22"/>
  <c r="GN52" i="18"/>
  <c r="AZ21" i="20"/>
  <c r="GN37" i="18"/>
  <c r="CJ7" i="19"/>
  <c r="CJ6" i="20"/>
  <c r="AZ97" i="18"/>
  <c r="FD12" i="21"/>
  <c r="GN14" i="21"/>
  <c r="HX22" i="19"/>
  <c r="DT43" i="18"/>
  <c r="GN26" i="18"/>
  <c r="HX97" i="18"/>
  <c r="FD15" i="17"/>
  <c r="AZ12" i="18"/>
  <c r="HX18" i="17"/>
  <c r="AZ14" i="21"/>
  <c r="CJ32" i="20"/>
  <c r="DT44" i="18"/>
  <c r="HX83" i="18"/>
  <c r="DT97" i="18"/>
  <c r="HX28" i="18"/>
  <c r="DT38" i="18"/>
  <c r="CJ43" i="18"/>
  <c r="HX65" i="18"/>
  <c r="AZ21" i="18"/>
  <c r="HX13" i="17"/>
  <c r="DT19" i="18"/>
  <c r="HX23" i="18"/>
  <c r="DT12" i="21"/>
  <c r="AZ14" i="18"/>
  <c r="GN6" i="20"/>
  <c r="DT17" i="21"/>
  <c r="GN18" i="21"/>
  <c r="FD11" i="17"/>
  <c r="FD33" i="20"/>
  <c r="AZ19" i="21"/>
  <c r="AZ20" i="21"/>
  <c r="HX24" i="17"/>
  <c r="FD7" i="22"/>
  <c r="HX16" i="22"/>
  <c r="GN18" i="22"/>
  <c r="HX71" i="18"/>
  <c r="DT76" i="18"/>
  <c r="HX21" i="18"/>
  <c r="CJ26" i="17"/>
  <c r="CJ26" i="18"/>
  <c r="FD29" i="17"/>
  <c r="FD43" i="18"/>
  <c r="GN19" i="19"/>
  <c r="GN10" i="19"/>
  <c r="FD6" i="21"/>
  <c r="HX21" i="21"/>
  <c r="CJ78" i="18"/>
  <c r="DT77" i="18"/>
  <c r="DT95" i="18"/>
  <c r="DT86" i="18"/>
  <c r="AZ13" i="20"/>
  <c r="CJ58" i="18"/>
  <c r="HX43" i="18"/>
  <c r="AZ62" i="18"/>
  <c r="DT18" i="20"/>
  <c r="CJ28" i="18"/>
  <c r="HX27" i="20"/>
  <c r="FD11" i="19"/>
  <c r="CJ12" i="19"/>
  <c r="CJ22" i="17"/>
  <c r="AZ10" i="21"/>
  <c r="AZ22" i="22"/>
  <c r="HX23" i="22"/>
  <c r="CJ81" i="18"/>
  <c r="DT22" i="21"/>
  <c r="AZ17" i="19"/>
  <c r="GN17" i="19"/>
  <c r="FD19" i="21"/>
  <c r="DT7" i="18"/>
  <c r="FD92" i="18"/>
  <c r="AZ76" i="18"/>
  <c r="CJ29" i="19"/>
  <c r="HX34" i="18"/>
  <c r="AZ6" i="22"/>
  <c r="DT24" i="22"/>
  <c r="FD26" i="19"/>
  <c r="CJ64" i="18"/>
  <c r="DT93" i="18"/>
  <c r="DT13" i="22"/>
  <c r="FD15" i="20"/>
  <c r="DT22" i="19"/>
  <c r="GN17" i="20"/>
  <c r="AZ23" i="19"/>
  <c r="FD37" i="18"/>
  <c r="DT16" i="19"/>
  <c r="AZ7" i="21"/>
  <c r="HX17" i="21"/>
  <c r="CJ14" i="19"/>
  <c r="FD48" i="18"/>
  <c r="HX14" i="19"/>
  <c r="CJ5" i="21"/>
  <c r="DT103" i="18"/>
  <c r="DT21" i="21"/>
  <c r="DT12" i="22"/>
  <c r="FD14" i="22"/>
  <c r="AZ34" i="19"/>
  <c r="GN11" i="18"/>
  <c r="AZ19" i="20"/>
  <c r="FD20" i="21"/>
  <c r="HX11" i="22"/>
  <c r="AZ6" i="19"/>
  <c r="FD79" i="18"/>
  <c r="FD21" i="19"/>
  <c r="FD9" i="18"/>
  <c r="DT10" i="20"/>
  <c r="HX17" i="20"/>
  <c r="FD27" i="20"/>
  <c r="CJ54" i="18"/>
  <c r="FD15" i="22"/>
  <c r="AZ10" i="19"/>
  <c r="DT28" i="20"/>
  <c r="HX31" i="20"/>
  <c r="FD16" i="21"/>
  <c r="FD5" i="21"/>
  <c r="CJ17" i="21"/>
  <c r="FD24" i="22"/>
  <c r="DT28" i="18"/>
  <c r="CJ30" i="20"/>
  <c r="GN28" i="19"/>
  <c r="HX19" i="21"/>
  <c r="GN30" i="19"/>
  <c r="GN22" i="21"/>
  <c r="AZ84" i="18"/>
  <c r="CJ14" i="17"/>
  <c r="FD33" i="19"/>
  <c r="DT7" i="21"/>
  <c r="DT31" i="20"/>
  <c r="FD11" i="22"/>
  <c r="CJ80" i="18"/>
  <c r="FD12" i="22"/>
  <c r="FD22" i="21"/>
  <c r="DT24" i="17"/>
  <c r="FD78" i="18"/>
  <c r="GN15" i="18"/>
  <c r="GN95" i="18"/>
  <c r="AZ29" i="18"/>
  <c r="AZ23" i="18"/>
  <c r="HX90" i="18"/>
  <c r="FD25" i="20"/>
  <c r="DT14" i="21"/>
  <c r="AZ82" i="18"/>
  <c r="FD34" i="19"/>
  <c r="DT17" i="19"/>
  <c r="HX5" i="21"/>
  <c r="AZ18" i="20"/>
  <c r="FD7" i="20"/>
  <c r="GN97" i="18"/>
  <c r="FD23" i="17"/>
  <c r="HX26" i="17"/>
  <c r="AZ23" i="22"/>
  <c r="FD19" i="17"/>
  <c r="CJ11" i="21"/>
  <c r="HX15" i="22"/>
  <c r="GN17" i="22"/>
  <c r="CJ16" i="19"/>
  <c r="AZ34" i="20"/>
  <c r="CJ19" i="21"/>
  <c r="GN20" i="21"/>
  <c r="HX20" i="21"/>
  <c r="DT9" i="22"/>
  <c r="AZ17" i="22"/>
  <c r="HX18" i="22"/>
  <c r="FD8" i="22"/>
  <c r="AZ28" i="18"/>
  <c r="AZ22" i="19"/>
  <c r="FD89" i="18"/>
  <c r="HX10" i="20"/>
  <c r="HX5" i="19"/>
  <c r="AZ83" i="18"/>
  <c r="FD11" i="20"/>
  <c r="FD20" i="22"/>
  <c r="FD6" i="20"/>
  <c r="GN57" i="18"/>
  <c r="GN15" i="22"/>
  <c r="CJ11" i="19"/>
  <c r="GN76" i="18"/>
  <c r="DT13" i="20"/>
  <c r="GN26" i="19"/>
  <c r="DT15" i="19"/>
  <c r="CJ61" i="18"/>
  <c r="HX36" i="18"/>
  <c r="AZ27" i="20"/>
  <c r="DT5" i="18"/>
  <c r="AZ15" i="21"/>
  <c r="GN11" i="19"/>
  <c r="DT12" i="19"/>
  <c r="AZ8" i="21"/>
  <c r="GN10" i="21"/>
  <c r="DT23" i="22"/>
  <c r="AZ24" i="22"/>
  <c r="CJ31" i="19"/>
  <c r="FD23" i="21"/>
  <c r="HX58" i="18"/>
  <c r="DT18" i="19"/>
  <c r="HX18" i="20"/>
  <c r="HX14" i="18"/>
  <c r="FD71" i="18"/>
  <c r="AZ8" i="20"/>
  <c r="FD36" i="18"/>
  <c r="DT8" i="21"/>
  <c r="FD22" i="20"/>
  <c r="GN22" i="22"/>
  <c r="GN9" i="22"/>
  <c r="FD18" i="22"/>
  <c r="GN24" i="21"/>
  <c r="FD30" i="19"/>
  <c r="DT9" i="20"/>
  <c r="CJ33" i="20"/>
  <c r="GN10" i="20"/>
  <c r="AZ5" i="21"/>
  <c r="CJ27" i="20"/>
  <c r="GN17" i="18"/>
  <c r="GN9" i="20"/>
  <c r="CJ71" i="18"/>
  <c r="AZ6" i="21"/>
  <c r="CJ76" i="18"/>
  <c r="GN6" i="21"/>
  <c r="GN75" i="18"/>
  <c r="AZ40" i="18"/>
  <c r="AZ34" i="18"/>
  <c r="HX22" i="20"/>
  <c r="GN19" i="20"/>
  <c r="GN23" i="21"/>
  <c r="FD73" i="18"/>
  <c r="DT7" i="22"/>
  <c r="AZ10" i="22"/>
  <c r="FD5" i="18"/>
  <c r="FD8" i="18"/>
  <c r="HX103" i="18"/>
  <c r="GN47" i="18"/>
  <c r="FD86" i="18"/>
  <c r="FD67" i="18"/>
  <c r="AZ50" i="18"/>
  <c r="FD18" i="21"/>
  <c r="GN82" i="18"/>
  <c r="DT16" i="22"/>
  <c r="GN24" i="22"/>
  <c r="DT16" i="18"/>
  <c r="DT8" i="20"/>
  <c r="AZ17" i="18"/>
  <c r="AZ9" i="20"/>
  <c r="AZ85" i="18"/>
  <c r="DT34" i="19"/>
  <c r="CJ104" i="18"/>
  <c r="FD19" i="22"/>
  <c r="FD10" i="21"/>
  <c r="AZ25" i="19"/>
  <c r="AZ22" i="20"/>
  <c r="AZ26" i="19"/>
  <c r="HX26" i="19"/>
  <c r="AZ13" i="18"/>
  <c r="AZ30" i="19"/>
  <c r="GN15" i="19"/>
  <c r="HX12" i="21"/>
  <c r="HX13" i="20"/>
  <c r="CJ14" i="21"/>
  <c r="FD14" i="20"/>
  <c r="DT32" i="18"/>
  <c r="HX49" i="18"/>
  <c r="FD97" i="18"/>
  <c r="GN17" i="21"/>
  <c r="AZ24" i="19"/>
  <c r="DT14" i="19"/>
  <c r="DT25" i="19"/>
  <c r="AZ15" i="19"/>
  <c r="DT99" i="18"/>
  <c r="DT102" i="18"/>
  <c r="HX7" i="19"/>
  <c r="DT14" i="22"/>
  <c r="AZ26" i="20"/>
  <c r="HX34" i="19"/>
  <c r="DT27" i="20"/>
  <c r="DT35" i="20"/>
  <c r="DT10" i="22"/>
  <c r="FD19" i="18"/>
  <c r="HX70" i="18"/>
  <c r="HX12" i="17"/>
  <c r="CJ28" i="19"/>
  <c r="CJ16" i="17"/>
  <c r="CJ22" i="21"/>
  <c r="HX26" i="20"/>
  <c r="GN49" i="18"/>
  <c r="GN32" i="19"/>
  <c r="CJ55" i="18"/>
  <c r="CJ28" i="20"/>
  <c r="HX91" i="18"/>
  <c r="DT16" i="21"/>
  <c r="GN94" i="18"/>
  <c r="AZ17" i="21"/>
  <c r="GN16" i="22"/>
  <c r="HX21" i="19"/>
  <c r="HX13" i="22"/>
  <c r="GN33" i="20"/>
  <c r="GN14" i="20"/>
  <c r="DT20" i="21"/>
  <c r="AZ16" i="20"/>
  <c r="CJ23" i="21"/>
  <c r="AZ92" i="18"/>
  <c r="HX30" i="19"/>
  <c r="FD20" i="19"/>
  <c r="FD7" i="21"/>
  <c r="DT5" i="21"/>
  <c r="AZ11" i="22"/>
  <c r="GN7" i="22"/>
  <c r="DT5" i="22"/>
  <c r="DT20" i="17"/>
  <c r="CJ25" i="17"/>
  <c r="HX21" i="20"/>
  <c r="GN29" i="17"/>
  <c r="AZ9" i="21"/>
  <c r="HX84" i="18"/>
  <c r="AZ25" i="18"/>
  <c r="CJ18" i="18"/>
  <c r="GN22" i="18"/>
  <c r="FD27" i="17"/>
  <c r="HX12" i="18"/>
  <c r="GN93" i="18"/>
  <c r="AZ99" i="18"/>
  <c r="DT101" i="18"/>
  <c r="FD68" i="18"/>
  <c r="CJ15" i="19"/>
  <c r="GN9" i="21"/>
  <c r="AZ31" i="20"/>
  <c r="CJ21" i="18"/>
  <c r="DT19" i="20"/>
  <c r="AZ18" i="22"/>
  <c r="GN21" i="22"/>
  <c r="FD62" i="18"/>
  <c r="GN10" i="17"/>
  <c r="AZ18" i="17"/>
  <c r="CJ25" i="19"/>
  <c r="FD22" i="17"/>
  <c r="AZ14" i="20"/>
  <c r="FD61" i="18"/>
  <c r="CJ10" i="20"/>
  <c r="HX42" i="18"/>
  <c r="HX9" i="21"/>
  <c r="FD51" i="18"/>
  <c r="CJ52" i="18"/>
  <c r="FD23" i="22"/>
  <c r="DT70" i="18"/>
  <c r="AZ36" i="18"/>
  <c r="FD10" i="18"/>
  <c r="AZ91" i="18"/>
  <c r="HX39" i="18"/>
  <c r="FD57" i="18"/>
  <c r="GN33" i="19"/>
  <c r="CJ27" i="18"/>
  <c r="GN86" i="18"/>
  <c r="GN18" i="19"/>
  <c r="AZ20" i="19"/>
  <c r="FD17" i="18"/>
  <c r="AZ12" i="20"/>
  <c r="GN5" i="22"/>
  <c r="GN8" i="22"/>
  <c r="CJ51" i="18"/>
  <c r="CJ10" i="21"/>
  <c r="HX16" i="19"/>
  <c r="FD17" i="19"/>
  <c r="FD16" i="20"/>
  <c r="CJ73" i="18"/>
  <c r="GN96" i="18"/>
  <c r="AZ32" i="18"/>
  <c r="DT31" i="18"/>
  <c r="AZ52" i="18"/>
  <c r="GN24" i="18"/>
  <c r="AZ19" i="22"/>
  <c r="FD39" i="18"/>
  <c r="FD10" i="22"/>
  <c r="GN25" i="18"/>
  <c r="DT23" i="21"/>
  <c r="HX98" i="18"/>
  <c r="GN32" i="20"/>
  <c r="GN101" i="18"/>
  <c r="FD35" i="20"/>
  <c r="AZ24" i="20"/>
  <c r="FD5" i="20"/>
  <c r="HX5" i="22"/>
  <c r="HX9" i="20"/>
  <c r="HX17" i="19"/>
  <c r="CJ6" i="21"/>
  <c r="CJ19" i="19"/>
  <c r="HX6" i="21"/>
  <c r="DT94" i="18"/>
  <c r="DT33" i="19"/>
  <c r="HX14" i="22"/>
  <c r="AZ23" i="20"/>
  <c r="HX19" i="20"/>
  <c r="CJ24" i="21"/>
  <c r="CJ21" i="20"/>
  <c r="HX9" i="22"/>
  <c r="DT13" i="21"/>
  <c r="AZ10" i="17"/>
  <c r="CJ99" i="18"/>
  <c r="DT10" i="18"/>
  <c r="DT81" i="18"/>
  <c r="DT18" i="18"/>
  <c r="DT12" i="18"/>
  <c r="DT52" i="18"/>
  <c r="AZ78" i="18"/>
  <c r="FD64" i="18"/>
  <c r="AZ16" i="19"/>
  <c r="DT10" i="19"/>
  <c r="FD24" i="21"/>
  <c r="FD8" i="20"/>
  <c r="FD34" i="20"/>
  <c r="CJ9" i="20"/>
  <c r="GN89" i="18"/>
  <c r="CJ8" i="21"/>
  <c r="CJ21" i="21"/>
  <c r="GN19" i="22"/>
  <c r="HX24" i="19"/>
  <c r="AZ9" i="18"/>
  <c r="FD25" i="19"/>
  <c r="GN31" i="18"/>
  <c r="AZ5" i="20"/>
  <c r="HX50" i="18"/>
  <c r="FD15" i="19"/>
  <c r="GN21" i="18"/>
  <c r="GN13" i="20"/>
  <c r="DT22" i="18"/>
  <c r="DT14"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<sst xmlns="http://schemas.openxmlformats.org/spreadsheetml/2006/main" count="4027" uniqueCount="457">
  <si>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</si>
  <si>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</si>
  <si>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</si>
  <si>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</si>
  <si>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</si>
  <si>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</si>
  <si>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</si>
  <si>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</si>
  <si>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</si>
  <si>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</si>
  <si>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</si>
  <si>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</si>
  <si>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</si>
  <si>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</si>
  <si>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</si>
  <si>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</si>
  <si>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</si>
  <si>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</si>
  <si>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</si>
  <si>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</si>
  <si>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</si>
  <si>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</si>
  <si>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</si>
  <si>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</si>
  <si>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</si>
  <si>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</si>
  <si>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</si>
  <si>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</si>
  <si>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</si>
  <si>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</si>
  <si>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</si>
  <si>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</si>
  <si>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</si>
  <si>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</si>
  <si>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</si>
  <si>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</si>
  <si>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</si>
  <si>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</si>
  <si>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</si>
  <si>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</si>
  <si>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</si>
  <si>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</si>
  <si>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</si>
  <si>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</si>
  <si>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</si>
  <si>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</si>
  <si>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</si>
  <si>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</si>
  <si>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</si>
  <si>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</si>
  <si>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</si>
  <si>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</si>
  <si>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</si>
  <si>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</si>
  <si>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</si>
  <si>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</si>
  <si>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</si>
  <si>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</si>
  <si>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</si>
  <si>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</si>
  <si>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</si>
  <si>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</si>
  <si>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</si>
  <si>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</si>
  <si>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</si>
  <si>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</si>
  <si>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</si>
  <si>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</si>
  <si>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</si>
  <si>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</si>
  <si>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</si>
  <si>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</si>
  <si>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</si>
  <si>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</si>
  <si>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</si>
  <si>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</si>
  <si>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</si>
  <si>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</si>
  <si>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</si>
  <si>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</si>
  <si>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</si>
  <si>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</si>
  <si>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</si>
  <si>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</si>
  <si>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</si>
  <si>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</si>
  <si>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</si>
  <si>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</si>
  <si>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</si>
  <si>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</si>
  <si>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</si>
  <si>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</si>
  <si>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</si>
  <si>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</si>
  <si>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</si>
  <si>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</si>
  <si>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</si>
  <si>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</si>
  <si>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</si>
  <si>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</si>
  <si>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</si>
  <si>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</si>
  <si>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</si>
  <si>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</si>
  <si>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</si>
  <si>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</si>
  <si>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</si>
  <si>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</si>
  <si>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</si>
  <si>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</si>
  <si>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</si>
  <si>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</si>
  <si>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</si>
  <si>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</si>
  <si>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</si>
  <si>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</si>
  <si>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</si>
  <si>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</si>
  <si>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</si>
  <si>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</si>
  <si>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</si>
  <si>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</si>
  <si>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</si>
  <si>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</si>
  <si>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</si>
  <si>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</si>
  <si>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</si>
  <si>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</si>
  <si>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</si>
  <si>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</si>
  <si>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</si>
  <si>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</si>
  <si>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</si>
  <si>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</si>
  <si>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</si>
  <si>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</si>
  <si>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</si>
  <si>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</si>
  <si>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</si>
  <si>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</si>
  <si>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</si>
  <si>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</si>
  <si>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</si>
  <si>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</si>
  <si>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</si>
  <si>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</si>
  <si>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</si>
  <si>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</si>
  <si>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</si>
  <si>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</si>
  <si>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</si>
  <si>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</si>
  <si>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</si>
  <si>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</si>
  <si>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</si>
  <si>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</si>
  <si>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</si>
  <si>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</si>
  <si>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</si>
  <si>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</si>
  <si>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</si>
  <si>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</si>
  <si>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</si>
  <si>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</si>
  <si>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</si>
  <si>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</si>
  <si>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</si>
  <si>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</si>
  <si>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</si>
  <si>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</si>
  <si>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</si>
  <si>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</si>
  <si>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</si>
  <si>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</si>
  <si>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</si>
  <si>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</si>
  <si>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</si>
  <si>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</si>
  <si>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</si>
  <si>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</si>
  <si>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</si>
  <si>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</si>
  <si>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</si>
  <si>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</si>
  <si>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</si>
  <si>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</si>
  <si>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</si>
  <si>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</si>
  <si>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</si>
  <si>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</si>
  <si>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</si>
  <si>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</si>
  <si>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</si>
  <si>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</si>
  <si>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</si>
  <si>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</si>
  <si>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</si>
  <si>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</si>
  <si>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</si>
  <si>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</si>
  <si>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</si>
  <si>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</si>
  <si>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</si>
  <si>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</si>
  <si>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</si>
  <si>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</si>
  <si>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</si>
  <si>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</si>
  <si>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</si>
  <si>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</si>
  <si>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</si>
  <si>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</si>
  <si>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</si>
  <si>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</si>
  <si>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</si>
  <si>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</si>
  <si>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</si>
  <si>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</si>
  <si>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</si>
  <si>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</si>
  <si>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</si>
  <si>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</si>
  <si>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</si>
  <si>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</si>
  <si>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</si>
  <si>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</si>
  <si>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</si>
  <si>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</si>
  <si>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PUMPING DOWN FEED TANK</t>
  </si>
  <si>
    <t>DRAINING FEED TANK</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</si>
  <si>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</si>
  <si>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</si>
  <si>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</si>
  <si>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</si>
  <si>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</si>
  <si>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</si>
  <si>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</si>
  <si>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</si>
  <si>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</si>
  <si>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</si>
  <si>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</si>
  <si>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</si>
  <si>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</si>
  <si>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</si>
  <si>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</si>
  <si>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</si>
  <si>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</si>
  <si>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</si>
  <si>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</si>
  <si>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</si>
  <si>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</si>
  <si>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</si>
  <si>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</si>
  <si>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</si>
  <si>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</si>
  <si>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</si>
  <si>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</si>
  <si>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</si>
  <si>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</si>
  <si>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</si>
  <si>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</si>
  <si>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</si>
  <si>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</si>
  <si>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</si>
  <si>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</si>
  <si>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</si>
  <si>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</si>
  <si>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</si>
  <si>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</si>
  <si>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</si>
  <si>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</si>
  <si>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</si>
  <si>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</si>
  <si>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</si>
  <si>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</si>
  <si>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</si>
  <si>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</si>
  <si>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</si>
  <si>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</si>
  <si>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</si>
  <si>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</si>
  <si>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</si>
  <si>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</si>
  <si>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</si>
  <si>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</si>
  <si>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</si>
  <si>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</si>
  <si>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</si>
  <si>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</si>
  <si>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</si>
  <si>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</si>
  <si>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</si>
  <si>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</si>
  <si>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</si>
  <si>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</si>
  <si>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</si>
  <si>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</si>
  <si>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</si>
  <si>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</si>
  <si>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</si>
  <si>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</si>
  <si>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</si>
  <si>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</si>
  <si>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</si>
  <si>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</si>
  <si>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</si>
  <si>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</si>
  <si>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</si>
  <si>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</si>
  <si>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</si>
  <si>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</si>
  <si>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</si>
  <si>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</si>
  <si>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</si>
  <si>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</si>
  <si>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</si>
  <si>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</si>
  <si>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</si>
  <si>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</si>
  <si>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</si>
  <si>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</si>
  <si>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</si>
  <si>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</si>
  <si>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</si>
  <si>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</si>
  <si>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</si>
  <si>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</si>
  <si>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</si>
  <si>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</si>
  <si>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</si>
  <si>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</si>
  <si>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</si>
  <si>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</si>
  <si>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</si>
  <si>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</si>
  <si>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</si>
  <si>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</si>
  <si>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</si>
  <si>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</si>
  <si>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</si>
  <si>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</si>
  <si>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</si>
  <si>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</si>
  <si>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</si>
  <si>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</si>
  <si>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</si>
  <si>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</si>
  <si>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</si>
  <si>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</si>
  <si>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</si>
  <si>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</si>
  <si>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</si>
  <si>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</si>
  <si>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</si>
  <si>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</si>
  <si>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</si>
  <si>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</si>
  <si>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</si>
  <si>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</si>
  <si>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</si>
  <si>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</si>
  <si>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</si>
  <si>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</si>
  <si>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</si>
  <si>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</si>
  <si>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</si>
  <si>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</si>
  <si>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</si>
  <si>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</si>
  <si>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</si>
  <si>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</si>
  <si>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</si>
  <si>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</si>
  <si>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</si>
  <si>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</si>
  <si>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</si>
  <si>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</si>
  <si>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</si>
  <si>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</si>
  <si>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</si>
  <si>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</si>
  <si>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</si>
  <si>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</si>
  <si>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</si>
  <si>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</si>
  <si>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</si>
  <si>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</si>
  <si>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</si>
  <si>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</si>
  <si>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</si>
  <si>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</si>
  <si>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</si>
  <si>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</si>
  <si>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</si>
  <si>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</si>
  <si>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</si>
  <si>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</si>
  <si>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</si>
  <si>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</si>
  <si>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</si>
  <si>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</si>
  <si>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</si>
  <si>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</si>
  <si>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</si>
  <si>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</si>
  <si>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</si>
  <si>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</si>
  <si>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</si>
  <si>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</si>
  <si>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</si>
  <si>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</si>
  <si>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</si>
  <si>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</si>
  <si>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</si>
  <si>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</si>
  <si>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</si>
  <si>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</si>
  <si>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</si>
  <si>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</si>
  <si>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Upload / Download Individual or a group of sheets</t>
  </si>
  <si>
    <t>Sheet List: Separated by a comma</t>
  </si>
  <si>
    <t>PINCHART-PROC, PINCHART-CIP</t>
  </si>
  <si>
    <t>PC5 Sheet List: Separated by a comma</t>
  </si>
  <si>
    <t>C:\Program Files (x86)\Python39-32\python.exe</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</si>
  <si>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</si>
  <si>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</si>
  <si>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</si>
  <si>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</si>
  <si>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</si>
  <si>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</si>
  <si>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</si>
  <si>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</si>
  <si>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</si>
  <si>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</si>
  <si>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</si>
  <si>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</si>
  <si>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</si>
  <si>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</si>
  <si>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</si>
  <si>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</si>
  <si>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</si>
  <si>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</si>
  <si>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</si>
  <si>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</si>
  <si>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HEATING TO TEMPERATURE (WASH 1)</t>
  </si>
  <si>
    <t>WASH 1</t>
  </si>
  <si>
    <t>HEATING TO TEMPERATURE (WASH 2)</t>
  </si>
  <si>
    <t>WASH 2</t>
  </si>
  <si>
    <t>HEATING TO TEMPERATURE (WASH 3)</t>
  </si>
  <si>
    <t>WASH 3</t>
  </si>
  <si>
    <t>HEATING TO TEMPERATURE (WASH 4)</t>
  </si>
  <si>
    <t>WASH 4</t>
  </si>
  <si>
    <t>PREPARING FOR FLUX CHECK</t>
  </si>
  <si>
    <t>FLUX CHECK</t>
  </si>
  <si>
    <t>RECORD FLUX CHECK  - HOLD FOR ACKNOWLEDGE</t>
  </si>
  <si>
    <t>EXTRA WASH ?  YES / NO 40</t>
  </si>
  <si>
    <t>PUMP DOWN FEED TANK? YES / NO 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</si>
</sst>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8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10" xfId="0"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30" xfId="0" applyBorder="1" applyAlignment="1">
      <alignment wrapText="1"/>
    </xf>
    <xf numFmtId="0" fontId="0" fillId="0" borderId="11" xfId="0" applyBorder="1" applyAlignment="1">
      <alignment wrapText="1"/>
    </xf>
    <xf numFmtId="0" fontId="0" fillId="0" borderId="11" xfId="0" applyBorder="1"/>
    <xf numFmtId="0" fontId="4" fillId="0" borderId="29" xfId="0" applyFont="1" applyBorder="1"/>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31" xfId="0" applyBorder="1" applyAlignment="1" applyProtection="1">
      <alignment horizontal="center" textRotation="90"/>
      <protection locked="0"/>
    </xf>
    <xf numFmtId="0" fontId="0" fillId="0" borderId="16" xfId="0" applyBorder="1"/>
    <xf numFmtId="0" fontId="0" fillId="0" borderId="12"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B13" sqref="B13:H18"/>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0"/>
      <c r="B1" s="140"/>
    </row>
    <row r="2" spans="1:18" ht="15.75" customHeight="1" thickBot="1" x14ac:dyDescent="0.3">
      <c r="B2" t="s">
        <v>0</v>
      </c>
    </row>
    <row r="3" spans="1:18" ht="14.25" customHeight="1" thickBot="1" x14ac:dyDescent="0.3">
      <c r="B3" s="146" t="s">
        <v>1</v>
      </c>
      <c r="C3" s="147"/>
      <c r="D3" s="147"/>
      <c r="E3" s="147"/>
      <c r="F3" s="147"/>
      <c r="G3" s="147"/>
      <c r="H3" s="147"/>
      <c r="I3" s="147"/>
      <c r="J3" s="147"/>
      <c r="K3" s="148"/>
      <c r="L3" t="s">
        <v>2</v>
      </c>
    </row>
    <row r="4" spans="1:18" ht="14.25" customHeight="1" thickBot="1" x14ac:dyDescent="0.3">
      <c r="B4" s="143"/>
      <c r="C4" s="142"/>
      <c r="D4" s="142"/>
      <c r="E4" s="142"/>
      <c r="F4" s="142"/>
      <c r="G4" s="142"/>
      <c r="H4" s="142"/>
      <c r="I4" s="142"/>
      <c r="J4" s="142"/>
      <c r="K4" s="149"/>
      <c r="L4">
        <v>1</v>
      </c>
      <c r="M4" t="s">
        <v>3</v>
      </c>
    </row>
    <row r="5" spans="1:18" ht="14.25" customHeight="1" thickBot="1" x14ac:dyDescent="0.3">
      <c r="B5" s="143"/>
      <c r="C5" s="142"/>
      <c r="D5" s="142"/>
      <c r="E5" s="142"/>
      <c r="F5" s="142"/>
      <c r="G5" s="142"/>
      <c r="H5" s="142"/>
      <c r="I5" s="142"/>
      <c r="J5" s="142"/>
      <c r="K5" s="149"/>
      <c r="L5">
        <v>2</v>
      </c>
      <c r="M5" t="s">
        <v>4</v>
      </c>
    </row>
    <row r="6" spans="1:18" ht="14.25" customHeight="1" thickBot="1" x14ac:dyDescent="0.3">
      <c r="B6" s="144"/>
      <c r="C6" s="145"/>
      <c r="D6" s="145"/>
      <c r="E6" s="145"/>
      <c r="F6" s="145"/>
      <c r="G6" s="145"/>
      <c r="H6" s="145"/>
      <c r="I6" s="145"/>
      <c r="J6" s="145"/>
      <c r="K6" s="150"/>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425</v>
      </c>
      <c r="C9" s="105" t="s">
        <v>427</v>
      </c>
      <c r="D9" s="29" t="s">
        <v>7</v>
      </c>
      <c r="E9" s="29"/>
      <c r="F9" s="29"/>
      <c r="G9" s="29"/>
      <c r="H9" s="29"/>
      <c r="I9" s="29"/>
      <c r="J9" s="29"/>
      <c r="K9" s="30"/>
      <c r="M9" s="156" t="s">
        <v>419</v>
      </c>
      <c r="N9" s="160"/>
      <c r="O9" s="160"/>
      <c r="P9" s="160"/>
      <c r="Q9" s="160"/>
      <c r="R9" s="161"/>
    </row>
    <row r="10" spans="1:18" s="102" customFormat="1" x14ac:dyDescent="0.25">
      <c r="B10" s="103" t="s">
        <v>426</v>
      </c>
      <c r="C10" s="106">
        <v>0</v>
      </c>
      <c r="D10" s="107" t="s">
        <v>7</v>
      </c>
      <c r="E10" s="86"/>
      <c r="F10" s="86"/>
      <c r="G10" s="86"/>
      <c r="H10" s="86"/>
      <c r="I10" s="86"/>
      <c r="J10" s="86"/>
      <c r="K10" s="104"/>
      <c r="M10" s="157"/>
      <c r="N10" s="158"/>
      <c r="O10" s="158"/>
      <c r="P10" s="158"/>
      <c r="Q10" s="158"/>
      <c r="R10" s="159"/>
    </row>
    <row r="11" spans="1:18" x14ac:dyDescent="0.25">
      <c r="B11" s="26" t="s">
        <v>428</v>
      </c>
      <c r="C11" t="s">
        <v>423</v>
      </c>
      <c r="D11" t="s">
        <v>7</v>
      </c>
      <c r="K11" s="31"/>
      <c r="M11" s="157"/>
      <c r="N11" s="158" t="s">
        <v>420</v>
      </c>
      <c r="O11" s="158"/>
      <c r="P11" s="158"/>
      <c r="Q11" s="158"/>
      <c r="R11" s="159"/>
    </row>
    <row r="12" spans="1:18" x14ac:dyDescent="0.25">
      <c r="B12" s="26" t="s">
        <v>8</v>
      </c>
      <c r="C12" t="s">
        <v>424</v>
      </c>
      <c r="D12" t="s">
        <v>7</v>
      </c>
      <c r="K12" s="31"/>
      <c r="M12" s="91"/>
      <c r="N12" s="152" t="s">
        <v>421</v>
      </c>
      <c r="O12" s="152"/>
      <c r="P12" s="152"/>
      <c r="Q12" s="152"/>
      <c r="R12" s="153"/>
    </row>
    <row r="13" spans="1:18" ht="15.75" customHeight="1" thickBot="1" x14ac:dyDescent="0.3">
      <c r="B13" s="141" t="s">
        <v>9</v>
      </c>
      <c r="C13" s="142"/>
      <c r="D13" s="142"/>
      <c r="E13" s="142"/>
      <c r="F13" s="142"/>
      <c r="G13" s="142"/>
      <c r="H13" s="142"/>
      <c r="I13" s="151"/>
      <c r="J13" s="142"/>
      <c r="K13" s="149"/>
      <c r="M13" s="91"/>
      <c r="N13" s="152"/>
      <c r="O13" s="152"/>
      <c r="P13" s="152"/>
      <c r="Q13" s="152"/>
      <c r="R13" s="153"/>
    </row>
    <row r="14" spans="1:18" x14ac:dyDescent="0.25">
      <c r="B14" s="143"/>
      <c r="C14" s="142"/>
      <c r="D14" s="142"/>
      <c r="E14" s="142"/>
      <c r="F14" s="142"/>
      <c r="G14" s="142"/>
      <c r="H14" s="142"/>
      <c r="I14" s="142"/>
      <c r="J14" s="142"/>
      <c r="K14" s="149"/>
      <c r="M14" s="91"/>
      <c r="N14" s="152"/>
      <c r="O14" s="152"/>
      <c r="P14" s="152"/>
      <c r="Q14" s="152"/>
      <c r="R14" s="153"/>
    </row>
    <row r="15" spans="1:18" x14ac:dyDescent="0.25">
      <c r="B15" s="143"/>
      <c r="C15" s="142"/>
      <c r="D15" s="142"/>
      <c r="E15" s="142"/>
      <c r="F15" s="142"/>
      <c r="G15" s="142"/>
      <c r="H15" s="142"/>
      <c r="I15" s="142"/>
      <c r="J15" s="142"/>
      <c r="K15" s="149"/>
      <c r="M15" s="91"/>
      <c r="N15" s="152"/>
      <c r="O15" s="152"/>
      <c r="P15" s="152"/>
      <c r="Q15" s="152"/>
      <c r="R15" s="153"/>
    </row>
    <row r="16" spans="1:18" x14ac:dyDescent="0.25">
      <c r="B16" s="143"/>
      <c r="C16" s="142"/>
      <c r="D16" s="142"/>
      <c r="E16" s="142"/>
      <c r="F16" s="142"/>
      <c r="G16" s="142"/>
      <c r="H16" s="142"/>
      <c r="I16" s="142"/>
      <c r="J16" s="142"/>
      <c r="K16" s="149"/>
      <c r="M16" s="91"/>
      <c r="N16" s="152"/>
      <c r="O16" s="152"/>
      <c r="P16" s="152"/>
      <c r="Q16" s="152"/>
      <c r="R16" s="153"/>
    </row>
    <row r="17" spans="2:18" x14ac:dyDescent="0.25">
      <c r="B17" s="143"/>
      <c r="C17" s="142"/>
      <c r="D17" s="142"/>
      <c r="E17" s="142"/>
      <c r="F17" s="142"/>
      <c r="G17" s="142"/>
      <c r="H17" s="142"/>
      <c r="I17" s="142"/>
      <c r="J17" s="142"/>
      <c r="K17" s="149"/>
      <c r="M17" s="91"/>
      <c r="N17" s="152"/>
      <c r="O17" s="152"/>
      <c r="P17" s="152"/>
      <c r="Q17" s="152"/>
      <c r="R17" s="153"/>
    </row>
    <row r="18" spans="2:18" ht="15.75" customHeight="1" thickBot="1" x14ac:dyDescent="0.3">
      <c r="B18" s="144"/>
      <c r="C18" s="145"/>
      <c r="D18" s="145"/>
      <c r="E18" s="145"/>
      <c r="F18" s="145"/>
      <c r="G18" s="145"/>
      <c r="H18" s="145"/>
      <c r="I18" s="145"/>
      <c r="J18" s="145"/>
      <c r="K18" s="150"/>
      <c r="M18" s="92"/>
      <c r="N18" s="154"/>
      <c r="O18" s="154"/>
      <c r="P18" s="154"/>
      <c r="Q18" s="154"/>
      <c r="R18" s="155"/>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56" t="s">
        <v>419</v>
      </c>
      <c r="N21" s="160"/>
      <c r="O21" s="160"/>
      <c r="P21" s="160"/>
      <c r="Q21" s="160"/>
      <c r="R21" s="161"/>
    </row>
    <row r="22" spans="2:18" ht="15" customHeight="1" x14ac:dyDescent="0.25">
      <c r="B22" s="101" t="s">
        <v>23</v>
      </c>
      <c r="C22" s="100"/>
      <c r="D22" s="100"/>
      <c r="E22" s="100"/>
      <c r="F22" s="100"/>
      <c r="G22" s="100"/>
      <c r="H22" s="100"/>
      <c r="I22" s="100"/>
      <c r="J22" s="100"/>
      <c r="K22" s="99"/>
      <c r="M22" s="157"/>
      <c r="N22" s="158" t="s">
        <v>422</v>
      </c>
      <c r="O22" s="158"/>
      <c r="P22" s="158"/>
      <c r="Q22" s="158"/>
      <c r="R22" s="159"/>
    </row>
    <row r="23" spans="2:18" x14ac:dyDescent="0.25">
      <c r="B23" s="95"/>
      <c r="C23" s="100"/>
      <c r="D23" s="100"/>
      <c r="E23" s="100"/>
      <c r="F23" s="100"/>
      <c r="G23" s="100"/>
      <c r="H23" s="100"/>
      <c r="I23" s="100"/>
      <c r="J23" s="100"/>
      <c r="K23" s="99"/>
      <c r="M23" s="91"/>
      <c r="N23" s="152"/>
      <c r="O23" s="152"/>
      <c r="P23" s="152"/>
      <c r="Q23" s="152"/>
      <c r="R23" s="153"/>
    </row>
    <row r="24" spans="2:18" x14ac:dyDescent="0.25">
      <c r="B24" s="95"/>
      <c r="C24" s="100"/>
      <c r="D24" s="100"/>
      <c r="E24" s="100"/>
      <c r="F24" s="100"/>
      <c r="G24" s="100"/>
      <c r="H24" s="100"/>
      <c r="I24" s="100"/>
      <c r="J24" s="100"/>
      <c r="K24" s="99"/>
      <c r="M24" s="91"/>
      <c r="N24" s="152"/>
      <c r="O24" s="152"/>
      <c r="P24" s="152"/>
      <c r="Q24" s="152"/>
      <c r="R24" s="153"/>
    </row>
    <row r="25" spans="2:18" x14ac:dyDescent="0.25">
      <c r="B25" s="95"/>
      <c r="C25" s="100"/>
      <c r="D25" s="100"/>
      <c r="E25" s="100"/>
      <c r="F25" s="100"/>
      <c r="G25" s="100"/>
      <c r="H25" s="100"/>
      <c r="I25" s="100"/>
      <c r="J25" s="100"/>
      <c r="K25" s="99"/>
      <c r="M25" s="91"/>
      <c r="N25" s="152"/>
      <c r="O25" s="152"/>
      <c r="P25" s="152"/>
      <c r="Q25" s="152"/>
      <c r="R25" s="153"/>
    </row>
    <row r="26" spans="2:18" x14ac:dyDescent="0.25">
      <c r="B26" s="95"/>
      <c r="C26" s="100"/>
      <c r="D26" s="100"/>
      <c r="E26" s="100"/>
      <c r="F26" s="100"/>
      <c r="G26" s="100"/>
      <c r="H26" s="100"/>
      <c r="I26" s="100"/>
      <c r="J26" s="100"/>
      <c r="K26" s="99"/>
      <c r="M26" s="91"/>
      <c r="N26" s="152"/>
      <c r="O26" s="152"/>
      <c r="P26" s="152"/>
      <c r="Q26" s="152"/>
      <c r="R26" s="153"/>
    </row>
    <row r="27" spans="2:18" s="90" customFormat="1" x14ac:dyDescent="0.25">
      <c r="B27" s="95"/>
      <c r="C27" s="100"/>
      <c r="D27" s="100"/>
      <c r="E27" s="100"/>
      <c r="F27" s="100"/>
      <c r="G27" s="100"/>
      <c r="H27" s="100"/>
      <c r="I27" s="100"/>
      <c r="J27" s="100"/>
      <c r="K27" s="99"/>
      <c r="M27" s="91"/>
      <c r="N27" s="152"/>
      <c r="O27" s="152"/>
      <c r="P27" s="152"/>
      <c r="Q27" s="152"/>
      <c r="R27" s="153"/>
    </row>
    <row r="28" spans="2:18" s="90" customFormat="1" x14ac:dyDescent="0.25">
      <c r="B28" s="95"/>
      <c r="C28" s="100"/>
      <c r="D28" s="100"/>
      <c r="E28" s="100"/>
      <c r="F28" s="100"/>
      <c r="G28" s="100"/>
      <c r="H28" s="100"/>
      <c r="I28" s="100"/>
      <c r="J28" s="100"/>
      <c r="K28" s="99"/>
      <c r="M28" s="91"/>
      <c r="N28" s="152"/>
      <c r="O28" s="152"/>
      <c r="P28" s="152"/>
      <c r="Q28" s="152"/>
      <c r="R28" s="153"/>
    </row>
    <row r="29" spans="2:18" ht="15.75" customHeight="1" thickBot="1" x14ac:dyDescent="0.3">
      <c r="B29" s="96"/>
      <c r="C29" s="97"/>
      <c r="D29" s="97"/>
      <c r="E29" s="97"/>
      <c r="F29" s="97"/>
      <c r="G29" s="97"/>
      <c r="H29" s="97"/>
      <c r="I29" s="97"/>
      <c r="J29" s="97"/>
      <c r="K29" s="98"/>
      <c r="M29" s="92"/>
      <c r="N29" s="154"/>
      <c r="O29" s="154"/>
      <c r="P29" s="154"/>
      <c r="Q29" s="154"/>
      <c r="R29" s="155"/>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410</v>
      </c>
      <c r="D33" s="25" t="s">
        <v>412</v>
      </c>
      <c r="K33" s="31"/>
    </row>
    <row r="34" spans="2:11" x14ac:dyDescent="0.25">
      <c r="B34" s="26" t="s">
        <v>15</v>
      </c>
      <c r="K34" s="31"/>
    </row>
    <row r="35" spans="2:11" s="87" customFormat="1" x14ac:dyDescent="0.25">
      <c r="B35" s="88" t="s">
        <v>411</v>
      </c>
      <c r="D35" s="87" t="s">
        <v>412</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403</v>
      </c>
      <c r="C39" s="80" t="s">
        <v>404</v>
      </c>
      <c r="D39" s="80" t="s">
        <v>405</v>
      </c>
      <c r="E39" s="80" t="s">
        <v>414</v>
      </c>
      <c r="F39" s="80"/>
      <c r="G39" s="80"/>
      <c r="H39" s="80"/>
      <c r="I39" s="80"/>
      <c r="J39" s="80"/>
      <c r="K39" s="81"/>
    </row>
    <row r="40" spans="2:11" x14ac:dyDescent="0.25">
      <c r="B40" s="77"/>
      <c r="C40" s="86" t="s">
        <v>406</v>
      </c>
      <c r="D40" s="86">
        <v>1</v>
      </c>
      <c r="E40" s="86" t="s">
        <v>415</v>
      </c>
      <c r="F40" s="86"/>
      <c r="G40" s="86"/>
      <c r="H40" s="86"/>
      <c r="I40" s="86"/>
      <c r="J40" s="86"/>
      <c r="K40" s="82"/>
    </row>
    <row r="41" spans="2:11" x14ac:dyDescent="0.25">
      <c r="B41" s="77"/>
      <c r="C41" s="86" t="s">
        <v>407</v>
      </c>
      <c r="D41" s="86">
        <v>2</v>
      </c>
      <c r="E41" s="86" t="s">
        <v>416</v>
      </c>
      <c r="F41" s="86"/>
      <c r="G41" s="86"/>
      <c r="H41" s="86"/>
      <c r="I41" s="86"/>
      <c r="J41" s="86"/>
      <c r="K41" s="82"/>
    </row>
    <row r="42" spans="2:11" x14ac:dyDescent="0.25">
      <c r="B42" s="77"/>
      <c r="C42" s="84" t="s">
        <v>408</v>
      </c>
      <c r="D42" s="86">
        <v>-32</v>
      </c>
      <c r="E42" s="84" t="s">
        <v>417</v>
      </c>
      <c r="F42" s="86"/>
      <c r="G42" s="86"/>
      <c r="H42" s="86"/>
      <c r="I42" s="86"/>
      <c r="J42" s="86"/>
      <c r="K42" s="82"/>
    </row>
    <row r="43" spans="2:11" x14ac:dyDescent="0.25">
      <c r="B43" s="77"/>
      <c r="C43" s="84" t="s">
        <v>409</v>
      </c>
      <c r="D43" s="84">
        <v>-16</v>
      </c>
      <c r="E43" s="84" t="s">
        <v>417</v>
      </c>
      <c r="F43" s="86"/>
      <c r="G43" s="86"/>
      <c r="H43" s="86"/>
      <c r="I43" s="86"/>
      <c r="J43" s="86"/>
      <c r="K43" s="82"/>
    </row>
    <row r="44" spans="2:11" x14ac:dyDescent="0.25">
      <c r="B44" s="77"/>
      <c r="C44" s="84" t="s">
        <v>413</v>
      </c>
      <c r="D44" s="84">
        <v>-1</v>
      </c>
      <c r="E44" s="84" t="s">
        <v>418</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tabSelected="1"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J11" sqref="AJ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68"/>
      <c r="G2" s="67" t="s">
        <v>107</v>
      </c>
      <c r="H2" s="177"/>
      <c r="I2" s="147"/>
      <c r="J2" s="148"/>
      <c r="K2" s="67" t="s">
        <v>110</v>
      </c>
      <c r="L2" s="177"/>
      <c r="M2" s="147"/>
      <c r="N2" s="148"/>
      <c r="O2" s="4" t="s">
        <v>106</v>
      </c>
      <c r="P2" s="178"/>
      <c r="Q2" s="147"/>
      <c r="R2" s="148"/>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329</v>
      </c>
      <c r="FI2" s="33" t="s">
        <v>330</v>
      </c>
      <c r="FJ2" s="33" t="s">
        <v>331</v>
      </c>
      <c r="FK2" s="33" t="s">
        <v>332</v>
      </c>
      <c r="FL2" s="33" t="s">
        <v>333</v>
      </c>
      <c r="FM2" s="33"/>
      <c r="FN2" s="33"/>
      <c r="FO2" s="33"/>
      <c r="FP2" s="33"/>
      <c r="FQ2" s="33"/>
      <c r="FR2" s="33"/>
      <c r="FS2" s="33"/>
      <c r="FT2" s="33"/>
      <c r="FU2" s="33"/>
      <c r="FV2" s="33"/>
      <c r="FW2" s="33"/>
      <c r="FX2" s="33"/>
      <c r="FY2" s="33"/>
      <c r="FZ2" s="33"/>
      <c r="GA2" s="33"/>
      <c r="GB2" s="33"/>
      <c r="GC2" s="33"/>
      <c r="GD2" s="33"/>
      <c r="GE2" s="33" t="s">
        <v>334</v>
      </c>
      <c r="GF2" s="33" t="s">
        <v>335</v>
      </c>
      <c r="GG2" s="33" t="s">
        <v>336</v>
      </c>
      <c r="GH2" s="33" t="s">
        <v>337</v>
      </c>
      <c r="GI2" s="33" t="s">
        <v>338</v>
      </c>
      <c r="GJ2" s="33" t="s">
        <v>339</v>
      </c>
      <c r="GK2" s="33" t="s">
        <v>340</v>
      </c>
      <c r="GL2" s="33" t="s">
        <v>341</v>
      </c>
      <c r="GM2" s="34" t="s">
        <v>342</v>
      </c>
      <c r="GN2" s="2"/>
      <c r="GO2" s="166"/>
      <c r="GP2" s="167"/>
      <c r="GQ2" s="168"/>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8"/>
      <c r="IB2" s="4" t="s">
        <v>18</v>
      </c>
      <c r="IC2" s="169"/>
      <c r="ID2" s="167"/>
      <c r="IE2" s="168"/>
    </row>
    <row r="3" spans="1:239" ht="15.75" customHeight="1" thickBot="1" x14ac:dyDescent="0.3">
      <c r="A3" s="113" t="s">
        <v>19</v>
      </c>
      <c r="B3" s="113"/>
      <c r="C3" s="113" t="s">
        <v>17</v>
      </c>
      <c r="D3" s="173" t="s">
        <v>20</v>
      </c>
      <c r="E3" s="171"/>
      <c r="F3" s="172"/>
      <c r="G3" s="114" t="s">
        <v>15</v>
      </c>
      <c r="H3" s="170" t="s">
        <v>20</v>
      </c>
      <c r="I3" s="171"/>
      <c r="J3" s="172"/>
      <c r="K3" s="119" t="s">
        <v>15</v>
      </c>
      <c r="L3" s="170" t="s">
        <v>20</v>
      </c>
      <c r="M3" s="171"/>
      <c r="N3" s="172"/>
      <c r="O3" s="119" t="s">
        <v>15</v>
      </c>
      <c r="P3" s="173" t="s">
        <v>20</v>
      </c>
      <c r="Q3" s="171"/>
      <c r="R3" s="172"/>
      <c r="S3" s="68"/>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411</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411</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411</v>
      </c>
      <c r="DU3" s="170" t="s">
        <v>20</v>
      </c>
      <c r="DV3" s="171"/>
      <c r="DW3" s="172"/>
      <c r="DX3" s="175"/>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411</v>
      </c>
      <c r="FE3" s="170" t="s">
        <v>20</v>
      </c>
      <c r="FF3" s="171"/>
      <c r="FG3" s="172"/>
      <c r="FH3" s="175"/>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411</v>
      </c>
      <c r="GO3" s="170" t="s">
        <v>20</v>
      </c>
      <c r="GP3" s="171"/>
      <c r="GQ3" s="172"/>
      <c r="GR3" s="175"/>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411</v>
      </c>
      <c r="HY3" s="170" t="s">
        <v>20</v>
      </c>
      <c r="HZ3" s="171"/>
      <c r="IA3" s="172"/>
      <c r="IB3" s="113" t="s">
        <v>17</v>
      </c>
      <c r="IC3" s="173" t="s">
        <v>20</v>
      </c>
      <c r="ID3" s="171"/>
      <c r="IE3" s="172"/>
    </row>
    <row r="4" spans="1:239" x14ac:dyDescent="0.25">
      <c r="A4" s="8" t="s">
        <v>21</v>
      </c>
      <c r="B4" s="8" t="s">
        <v>18</v>
      </c>
      <c r="C4" s="8"/>
      <c r="D4" s="162"/>
      <c r="E4" s="163"/>
      <c r="F4" s="165"/>
      <c r="G4" s="7"/>
      <c r="H4" s="162"/>
      <c r="I4" s="163"/>
      <c r="J4" s="165"/>
      <c r="K4" s="7"/>
      <c r="L4" s="162"/>
      <c r="M4" s="163"/>
      <c r="N4" s="165"/>
      <c r="O4" s="5"/>
      <c r="P4" s="162"/>
      <c r="Q4" s="163"/>
      <c r="R4" s="165"/>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5"/>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5"/>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5"/>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5"/>
      <c r="IB4" s="8"/>
      <c r="IC4" s="162"/>
      <c r="ID4" s="163"/>
      <c r="IE4" s="165"/>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zoomScale="80" zoomScaleNormal="80" workbookViewId="0">
      <pane xSplit="2" ySplit="4" topLeftCell="C59" activePane="bottomRight" state="frozen"/>
      <selection activeCell="ED4" sqref="ED4"/>
      <selection pane="topRight" activeCell="ED4" sqref="ED4"/>
      <selection pane="bottomLeft" activeCell="ED4" sqref="ED4"/>
      <selection pane="bottomRight" activeCell="W10" sqref="W10"/>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68"/>
      <c r="G2" s="67" t="s">
        <v>107</v>
      </c>
      <c r="H2" s="177"/>
      <c r="I2" s="147"/>
      <c r="J2" s="148"/>
      <c r="K2" s="67" t="s">
        <v>110</v>
      </c>
      <c r="L2" s="177"/>
      <c r="M2" s="147"/>
      <c r="N2" s="185"/>
      <c r="O2" s="4" t="s">
        <v>106</v>
      </c>
      <c r="P2" s="178"/>
      <c r="Q2" s="147"/>
      <c r="R2" s="148"/>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8"/>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8"/>
      <c r="GR2" s="33" t="s">
        <v>440</v>
      </c>
      <c r="GS2" s="33" t="s">
        <v>443</v>
      </c>
      <c r="GT2" s="33" t="s">
        <v>442</v>
      </c>
      <c r="GU2" s="33" t="s">
        <v>439</v>
      </c>
      <c r="GV2" s="33" t="s">
        <v>430</v>
      </c>
      <c r="GW2" s="33" t="s">
        <v>431</v>
      </c>
      <c r="GX2" s="33" t="s">
        <v>432</v>
      </c>
      <c r="GY2" s="33" t="s">
        <v>433</v>
      </c>
      <c r="GZ2" s="33"/>
      <c r="HA2" s="33"/>
      <c r="HB2" s="33"/>
      <c r="HC2" s="33"/>
      <c r="HD2" s="33"/>
      <c r="HE2" s="33"/>
      <c r="HF2" s="33"/>
      <c r="HG2" s="33"/>
      <c r="HH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68"/>
    </row>
    <row r="3" spans="1:239" ht="15.75" customHeight="1" thickBot="1" x14ac:dyDescent="0.3">
      <c r="A3" s="113" t="s">
        <v>19</v>
      </c>
      <c r="B3" s="113"/>
      <c r="C3" s="113" t="s">
        <v>17</v>
      </c>
      <c r="D3" s="173" t="s">
        <v>20</v>
      </c>
      <c r="E3" s="171"/>
      <c r="F3" s="172"/>
      <c r="G3" s="114" t="s">
        <v>15</v>
      </c>
      <c r="H3" s="170" t="s">
        <v>20</v>
      </c>
      <c r="I3" s="171"/>
      <c r="J3" s="172"/>
      <c r="K3" s="119" t="s">
        <v>15</v>
      </c>
      <c r="L3" s="170" t="s">
        <v>20</v>
      </c>
      <c r="M3" s="171"/>
      <c r="N3" s="172"/>
      <c r="O3" s="119" t="s">
        <v>15</v>
      </c>
      <c r="P3" s="173" t="s">
        <v>20</v>
      </c>
      <c r="Q3" s="171"/>
      <c r="R3" s="172"/>
      <c r="S3" s="68"/>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411</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411</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411</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3" t="s">
        <v>411</v>
      </c>
      <c r="FE3" s="170" t="s">
        <v>20</v>
      </c>
      <c r="FF3" s="171"/>
      <c r="FG3" s="172"/>
      <c r="FH3" s="175"/>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3" t="s">
        <v>411</v>
      </c>
      <c r="GO3" s="170" t="s">
        <v>20</v>
      </c>
      <c r="GP3" s="171"/>
      <c r="GQ3" s="172"/>
      <c r="GR3" s="175"/>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3" t="s">
        <v>411</v>
      </c>
      <c r="HY3" s="170" t="s">
        <v>20</v>
      </c>
      <c r="HZ3" s="171"/>
      <c r="IA3" s="172"/>
      <c r="IB3" s="113" t="s">
        <v>17</v>
      </c>
      <c r="IC3" s="173" t="s">
        <v>20</v>
      </c>
      <c r="ID3" s="171"/>
      <c r="IE3" s="172"/>
    </row>
    <row r="4" spans="1:239" x14ac:dyDescent="0.25">
      <c r="A4" s="73" t="s">
        <v>21</v>
      </c>
      <c r="B4" s="73" t="s">
        <v>18</v>
      </c>
      <c r="C4" s="117"/>
      <c r="D4" s="180"/>
      <c r="E4" s="181"/>
      <c r="F4" s="183"/>
      <c r="G4" s="74"/>
      <c r="H4" s="180"/>
      <c r="I4" s="181"/>
      <c r="J4" s="183"/>
      <c r="K4" s="74"/>
      <c r="L4" s="180"/>
      <c r="M4" s="181"/>
      <c r="N4" s="182"/>
      <c r="O4" s="75"/>
      <c r="P4" s="180"/>
      <c r="Q4" s="181"/>
      <c r="R4" s="183"/>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0"/>
      <c r="BB4" s="181"/>
      <c r="BC4" s="182"/>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0"/>
      <c r="CL4" s="181"/>
      <c r="CM4" s="182"/>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0"/>
      <c r="DV4" s="181"/>
      <c r="DW4" s="18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0"/>
      <c r="FF4" s="181"/>
      <c r="FG4" s="18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0"/>
      <c r="GP4" s="181"/>
      <c r="GQ4" s="18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0"/>
      <c r="HZ4" s="181"/>
      <c r="IA4" s="182"/>
      <c r="IB4" s="73"/>
      <c r="IC4" s="180"/>
      <c r="ID4" s="181"/>
      <c r="IE4" s="183"/>
    </row>
    <row r="5" spans="1:239" x14ac:dyDescent="0.25">
      <c r="A5" s="8">
        <v>0</v>
      </c>
      <c r="B5" s="8" t="str">
        <f t="shared" ref="B5:B68" si="0">IF($IB5&lt;&gt;"", $IB5, "")</f>
        <v>HOME</v>
      </c>
      <c r="C5" s="47"/>
      <c r="D5" s="22" t="s">
        <v>348</v>
      </c>
      <c r="E5" s="23">
        <v>0</v>
      </c>
      <c r="F5" s="112" t="s">
        <v>22</v>
      </c>
      <c r="G5" s="129">
        <v>0</v>
      </c>
      <c r="H5" s="22" t="s">
        <v>349</v>
      </c>
      <c r="I5" s="23">
        <v>0</v>
      </c>
      <c r="J5" s="112" t="s">
        <v>22</v>
      </c>
      <c r="K5" s="129">
        <v>0</v>
      </c>
      <c r="L5" s="22" t="s">
        <v>350</v>
      </c>
      <c r="M5" s="23">
        <v>0</v>
      </c>
      <c r="N5" s="112" t="s">
        <v>22</v>
      </c>
      <c r="O5" s="132">
        <v>0</v>
      </c>
      <c r="P5" s="22" t="s">
        <v>351</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352</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353</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354</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355</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356</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357</v>
      </c>
      <c r="HZ5" s="23">
        <v>0</v>
      </c>
      <c r="IA5" s="112" t="s">
        <v>22</v>
      </c>
      <c r="IB5" s="10" t="s">
        <v>206</v>
      </c>
      <c r="IC5" s="22" t="s">
        <v>358</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v>1</v>
      </c>
      <c r="HX12" s="8" cm="1">
        <f t="array" ref="HX12">Bin2DecRange($GR12:$HW12)</f>
        <v>16777217</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444</v>
      </c>
      <c r="IC13" s="6" t="str">
        <f t="shared" si="12"/>
        <v>RO_Data[2].STEP_DESC[</v>
      </c>
      <c r="ID13" s="23">
        <f t="shared" si="23"/>
        <v>8</v>
      </c>
      <c r="IE13" s="112" t="s">
        <v>22</v>
      </c>
    </row>
    <row r="14" spans="1:239" x14ac:dyDescent="0.25">
      <c r="A14" s="8">
        <v>9</v>
      </c>
      <c r="B14" s="8" t="str">
        <f t="shared" si="0"/>
        <v>CHECK PH - HOLD FOR ACKNOWLEDGE</v>
      </c>
      <c r="C14" s="47" t="s">
        <v>429</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RO_Data[2].ACT6[</v>
      </c>
      <c r="HZ14" s="23">
        <f t="shared" si="22"/>
        <v>9</v>
      </c>
      <c r="IA14" s="112" t="s">
        <v>22</v>
      </c>
      <c r="IB14" s="10" t="s">
        <v>344</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RO_Data[2].ACT6[</v>
      </c>
      <c r="HZ15" s="23">
        <f t="shared" si="22"/>
        <v>10</v>
      </c>
      <c r="IA15" s="112" t="s">
        <v>22</v>
      </c>
      <c r="IB15" s="10" t="s">
        <v>445</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228</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229</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v>1</v>
      </c>
      <c r="HW24" s="20"/>
      <c r="HX24" s="8" cm="1">
        <f t="array" ref="HX24">Bin2DecRange($GR24:$HW24)</f>
        <v>33554434</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446</v>
      </c>
      <c r="IC25" s="6" t="str">
        <f t="shared" si="12"/>
        <v>RO_Data[2].STEP_DESC[</v>
      </c>
      <c r="ID25" s="23">
        <f t="shared" si="23"/>
        <v>20</v>
      </c>
      <c r="IE25" s="112" t="s">
        <v>22</v>
      </c>
    </row>
    <row r="26" spans="1:239" x14ac:dyDescent="0.25">
      <c r="A26" s="8">
        <v>21</v>
      </c>
      <c r="B26" s="8" t="str">
        <f t="shared" si="0"/>
        <v>CHECK PH - HOLD FOR ACKNOWLEDGE</v>
      </c>
      <c r="C26" s="47" t="s">
        <v>429</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v>1</v>
      </c>
      <c r="HK26" s="19">
        <v>1</v>
      </c>
      <c r="HL26" s="19">
        <v>1</v>
      </c>
      <c r="HM26" s="19">
        <v>1</v>
      </c>
      <c r="HN26" s="19">
        <v>1</v>
      </c>
      <c r="HO26" s="19">
        <v>1</v>
      </c>
      <c r="HP26" s="19"/>
      <c r="HQ26" s="19"/>
      <c r="HR26" s="19"/>
      <c r="HS26" s="19"/>
      <c r="HT26" s="19"/>
      <c r="HU26" s="19"/>
      <c r="HV26" s="19"/>
      <c r="HW26" s="20"/>
      <c r="HX26" s="8" cm="1">
        <f t="array" ref="HX26">Bin2DecRange($GR26:$HW26)</f>
        <v>16128</v>
      </c>
      <c r="HY26" s="6" t="str">
        <f t="shared" si="11"/>
        <v>RO_Data[2].ACT6[</v>
      </c>
      <c r="HZ26" s="23">
        <f t="shared" si="22"/>
        <v>21</v>
      </c>
      <c r="IA26" s="112" t="s">
        <v>22</v>
      </c>
      <c r="IB26" s="10" t="s">
        <v>344</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v>1</v>
      </c>
      <c r="HK27" s="19">
        <v>1</v>
      </c>
      <c r="HL27" s="19">
        <v>1</v>
      </c>
      <c r="HM27" s="19">
        <v>1</v>
      </c>
      <c r="HN27" s="19">
        <v>1</v>
      </c>
      <c r="HO27" s="19">
        <v>1</v>
      </c>
      <c r="HP27" s="19"/>
      <c r="HQ27" s="19"/>
      <c r="HR27" s="19"/>
      <c r="HS27" s="19"/>
      <c r="HT27" s="19"/>
      <c r="HU27" s="19"/>
      <c r="HV27" s="19"/>
      <c r="HW27" s="20"/>
      <c r="HX27" s="8" cm="1">
        <f t="array" ref="HX27">Bin2DecRange($GR27:$HW27)</f>
        <v>16128</v>
      </c>
      <c r="HY27" s="6" t="str">
        <f t="shared" si="11"/>
        <v>RO_Data[2].ACT6[</v>
      </c>
      <c r="HZ27" s="23">
        <f t="shared" si="22"/>
        <v>22</v>
      </c>
      <c r="IA27" s="112" t="s">
        <v>22</v>
      </c>
      <c r="IB27" s="10" t="s">
        <v>447</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228</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229</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v>1</v>
      </c>
      <c r="HV36" s="16"/>
      <c r="HW36" s="17"/>
      <c r="HX36" s="8" cm="1">
        <f t="array" ref="HX36">Bin2DecRange($GR36:$HW36)</f>
        <v>67108868</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448</v>
      </c>
      <c r="IC37" s="6" t="str">
        <f t="shared" si="12"/>
        <v>RO_Data[2].STEP_DESC[</v>
      </c>
      <c r="ID37" s="23">
        <v>32</v>
      </c>
      <c r="IE37" s="112" t="s">
        <v>22</v>
      </c>
    </row>
    <row r="38" spans="1:239" x14ac:dyDescent="0.25">
      <c r="A38" s="8">
        <v>33</v>
      </c>
      <c r="B38" s="8" t="str">
        <f t="shared" si="0"/>
        <v>CHECK PH - HOLD FOR ACKNOWLEDGE</v>
      </c>
      <c r="C38" s="47" t="s">
        <v>429</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v>1</v>
      </c>
      <c r="HK38" s="19">
        <v>1</v>
      </c>
      <c r="HL38" s="19">
        <v>1</v>
      </c>
      <c r="HM38" s="19">
        <v>1</v>
      </c>
      <c r="HN38" s="19">
        <v>1</v>
      </c>
      <c r="HO38" s="19">
        <v>1</v>
      </c>
      <c r="HP38" s="16"/>
      <c r="HQ38" s="16"/>
      <c r="HR38" s="16"/>
      <c r="HS38" s="16"/>
      <c r="HT38" s="16"/>
      <c r="HU38" s="16"/>
      <c r="HV38" s="16"/>
      <c r="HW38" s="17"/>
      <c r="HX38" s="8" cm="1">
        <f t="array" ref="HX38">Bin2DecRange($GR38:$HW38)</f>
        <v>16128</v>
      </c>
      <c r="HY38" s="6" t="str">
        <f t="shared" si="11"/>
        <v>RO_Data[2].ACT6[</v>
      </c>
      <c r="HZ38" s="23">
        <v>33</v>
      </c>
      <c r="IA38" s="112" t="s">
        <v>22</v>
      </c>
      <c r="IB38" s="10" t="s">
        <v>344</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v>1</v>
      </c>
      <c r="HK39" s="19">
        <v>1</v>
      </c>
      <c r="HL39" s="19">
        <v>1</v>
      </c>
      <c r="HM39" s="19">
        <v>1</v>
      </c>
      <c r="HN39" s="19">
        <v>1</v>
      </c>
      <c r="HO39" s="19">
        <v>1</v>
      </c>
      <c r="HP39" s="16"/>
      <c r="HQ39" s="16"/>
      <c r="HR39" s="16"/>
      <c r="HS39" s="16"/>
      <c r="HT39" s="16"/>
      <c r="HU39" s="16"/>
      <c r="HV39" s="16"/>
      <c r="HW39" s="17"/>
      <c r="HX39" s="8" cm="1">
        <f t="array" ref="HX39">Bin2DecRange($GR39:$HW39)</f>
        <v>16128</v>
      </c>
      <c r="HY39" s="6" t="str">
        <f t="shared" si="11"/>
        <v>RO_Data[2].ACT6[</v>
      </c>
      <c r="HZ39" s="23">
        <v>34</v>
      </c>
      <c r="IA39" s="112" t="s">
        <v>22</v>
      </c>
      <c r="IB39" s="8" t="s">
        <v>449</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228</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229</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v>1</v>
      </c>
      <c r="HU48" s="16"/>
      <c r="HV48" s="16"/>
      <c r="HW48" s="17"/>
      <c r="HX48" s="8" cm="1">
        <f t="array" ref="HX48">Bin2DecRange($GR48:$HW48)</f>
        <v>134217736</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450</v>
      </c>
      <c r="IC49" s="6" t="str">
        <f t="shared" si="12"/>
        <v>RO_Data[2].STEP_DESC[</v>
      </c>
      <c r="ID49" s="23">
        <v>44</v>
      </c>
      <c r="IE49" s="112" t="s">
        <v>22</v>
      </c>
    </row>
    <row r="50" spans="1:239" x14ac:dyDescent="0.25">
      <c r="A50" s="8">
        <v>45</v>
      </c>
      <c r="B50" s="8" t="str">
        <f t="shared" si="0"/>
        <v>CHECK PH - HOLD FOR ACKNOWLEDGE</v>
      </c>
      <c r="C50" s="47" t="s">
        <v>429</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v>1</v>
      </c>
      <c r="HK50" s="19">
        <v>1</v>
      </c>
      <c r="HL50" s="19">
        <v>1</v>
      </c>
      <c r="HM50" s="19">
        <v>1</v>
      </c>
      <c r="HN50" s="19">
        <v>1</v>
      </c>
      <c r="HO50" s="19">
        <v>1</v>
      </c>
      <c r="HP50" s="16"/>
      <c r="HQ50" s="16"/>
      <c r="HR50" s="16"/>
      <c r="HS50" s="16"/>
      <c r="HT50" s="16"/>
      <c r="HU50" s="16"/>
      <c r="HV50" s="16"/>
      <c r="HW50" s="17"/>
      <c r="HX50" s="8" cm="1">
        <f t="array" ref="HX50">Bin2DecRange($GR50:$HW50)</f>
        <v>16128</v>
      </c>
      <c r="HY50" s="6" t="str">
        <f t="shared" si="11"/>
        <v>RO_Data[2].ACT6[</v>
      </c>
      <c r="HZ50" s="23">
        <v>45</v>
      </c>
      <c r="IA50" s="112" t="s">
        <v>22</v>
      </c>
      <c r="IB50" s="10" t="s">
        <v>344</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v>1</v>
      </c>
      <c r="HK51" s="19">
        <v>1</v>
      </c>
      <c r="HL51" s="19">
        <v>1</v>
      </c>
      <c r="HM51" s="19">
        <v>1</v>
      </c>
      <c r="HN51" s="19">
        <v>1</v>
      </c>
      <c r="HO51" s="19">
        <v>1</v>
      </c>
      <c r="HP51" s="16"/>
      <c r="HQ51" s="16"/>
      <c r="HR51" s="16"/>
      <c r="HS51" s="16"/>
      <c r="HT51" s="16"/>
      <c r="HU51" s="16"/>
      <c r="HV51" s="16"/>
      <c r="HW51" s="17"/>
      <c r="HX51" s="8" cm="1">
        <f t="array" ref="HX51">Bin2DecRange($GR51:$HW51)</f>
        <v>16128</v>
      </c>
      <c r="HY51" s="6" t="str">
        <f t="shared" si="11"/>
        <v>RO_Data[2].ACT6[</v>
      </c>
      <c r="HZ51" s="23">
        <v>46</v>
      </c>
      <c r="IA51" s="112" t="s">
        <v>22</v>
      </c>
      <c r="IB51" s="8" t="s">
        <v>451</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228</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229</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452</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453</v>
      </c>
      <c r="IC61" s="6" t="str">
        <f t="shared" si="12"/>
        <v>RO_Data[2].STEP_DESC[</v>
      </c>
      <c r="ID61" s="23">
        <v>56</v>
      </c>
      <c r="IE61" s="112" t="s">
        <v>22</v>
      </c>
    </row>
    <row r="62" spans="1:239" x14ac:dyDescent="0.25">
      <c r="A62" s="8">
        <v>57</v>
      </c>
      <c r="B62" s="8" t="str">
        <f t="shared" si="0"/>
        <v>RECORD FLUX CHECK  - HOLD FOR ACKNOWLEDGE</v>
      </c>
      <c r="C62" s="8" t="s">
        <v>345</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454</v>
      </c>
      <c r="IC62" s="6" t="str">
        <f t="shared" si="12"/>
        <v>RO_Data[2].STEP_DESC[</v>
      </c>
      <c r="ID62" s="23">
        <v>57</v>
      </c>
      <c r="IE62" s="112" t="s">
        <v>22</v>
      </c>
    </row>
    <row r="63" spans="1:239" x14ac:dyDescent="0.25">
      <c r="A63" s="8">
        <v>58</v>
      </c>
      <c r="B63" s="8" t="str">
        <f t="shared" si="0"/>
        <v>EXTRA WASH ?  YES / NO 40</v>
      </c>
      <c r="C63" s="8" t="s">
        <v>346</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455</v>
      </c>
      <c r="IC63" s="6" t="str">
        <f t="shared" si="12"/>
        <v>RO_Data[2].STEP_DESC[</v>
      </c>
      <c r="ID63" s="23">
        <v>58</v>
      </c>
      <c r="IE63" s="112" t="s">
        <v>22</v>
      </c>
    </row>
    <row r="64" spans="1:239" x14ac:dyDescent="0.25">
      <c r="A64" s="8">
        <v>59</v>
      </c>
      <c r="B64" s="8" t="str">
        <f t="shared" si="0"/>
        <v>PUMP DOWN FEED TANK? YES / NO 62</v>
      </c>
      <c r="C64" s="8" t="s">
        <v>347</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456</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228</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229</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GX11" sqref="GX11"/>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440</v>
      </c>
      <c r="GS2" s="33" t="s">
        <v>443</v>
      </c>
      <c r="GT2" s="33" t="s">
        <v>442</v>
      </c>
      <c r="GU2" s="33" t="s">
        <v>439</v>
      </c>
      <c r="GV2" s="33" t="s">
        <v>430</v>
      </c>
      <c r="GW2" s="33" t="s">
        <v>431</v>
      </c>
      <c r="GX2" s="33" t="s">
        <v>432</v>
      </c>
      <c r="GY2" s="33" t="s">
        <v>433</v>
      </c>
      <c r="GZ2" s="33"/>
      <c r="HA2" s="33"/>
      <c r="HB2" s="33"/>
      <c r="HC2" s="33"/>
      <c r="HD2" s="33"/>
      <c r="HE2" s="33"/>
      <c r="HF2" s="33"/>
      <c r="HG2" s="33"/>
      <c r="HH2" s="33"/>
      <c r="HI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411</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411</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411</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411</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411</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411</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35" si="0">IF($IB5&lt;&gt;"", $IB5, "")</f>
        <v>HOME</v>
      </c>
      <c r="C5" s="47"/>
      <c r="D5" s="22" t="s">
        <v>359</v>
      </c>
      <c r="E5" s="23">
        <v>0</v>
      </c>
      <c r="F5" s="112" t="s">
        <v>22</v>
      </c>
      <c r="G5" s="129">
        <v>0</v>
      </c>
      <c r="H5" s="22" t="s">
        <v>360</v>
      </c>
      <c r="I5" s="23">
        <v>0</v>
      </c>
      <c r="J5" s="112" t="s">
        <v>22</v>
      </c>
      <c r="K5" s="129">
        <v>0</v>
      </c>
      <c r="L5" s="22" t="s">
        <v>361</v>
      </c>
      <c r="M5" s="23">
        <v>0</v>
      </c>
      <c r="N5" s="112" t="s">
        <v>22</v>
      </c>
      <c r="O5" s="132">
        <v>0</v>
      </c>
      <c r="P5" s="22" t="s">
        <v>362</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363</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364</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365</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366</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367</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368</v>
      </c>
      <c r="HZ5" s="23">
        <v>0</v>
      </c>
      <c r="IA5" s="112" t="s">
        <v>22</v>
      </c>
      <c r="IB5" s="10" t="s">
        <v>206</v>
      </c>
      <c r="IC5" s="22" t="s">
        <v>369</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230</v>
      </c>
      <c r="IC13" s="6" t="str">
        <f t="shared" si="12"/>
        <v>RO_Data[3].STEP_DESC[</v>
      </c>
      <c r="ID13" s="23">
        <f t="shared" si="23"/>
        <v>8</v>
      </c>
      <c r="IE13" s="112" t="s">
        <v>22</v>
      </c>
    </row>
    <row r="14" spans="1:239" x14ac:dyDescent="0.25">
      <c r="A14" s="8">
        <v>9</v>
      </c>
      <c r="B14" s="8" t="str">
        <f t="shared" si="0"/>
        <v>CHECK PH - HOLD FOR ACKNOWLEDGE</v>
      </c>
      <c r="C14" s="47" t="s">
        <v>343</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v>1</v>
      </c>
      <c r="HK14" s="19">
        <v>1</v>
      </c>
      <c r="HL14" s="19">
        <v>1</v>
      </c>
      <c r="HM14" s="19">
        <v>1</v>
      </c>
      <c r="HN14" s="19">
        <v>1</v>
      </c>
      <c r="HO14" s="19">
        <v>1</v>
      </c>
      <c r="HP14" s="19"/>
      <c r="HQ14" s="19"/>
      <c r="HR14" s="19"/>
      <c r="HS14" s="19"/>
      <c r="HT14" s="19"/>
      <c r="HU14" s="19"/>
      <c r="HV14" s="19"/>
      <c r="HW14" s="20"/>
      <c r="HX14" s="8" cm="1">
        <f t="array" ref="HX14">Bin2DecRange($GR14:$HW14)</f>
        <v>16128</v>
      </c>
      <c r="HY14" s="6" t="str">
        <f t="shared" si="11"/>
        <v>RO_Data[3].ACT6[</v>
      </c>
      <c r="HZ14" s="23">
        <f t="shared" si="22"/>
        <v>9</v>
      </c>
      <c r="IA14" s="112" t="s">
        <v>22</v>
      </c>
      <c r="IB14" s="10" t="s">
        <v>344</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v>1</v>
      </c>
      <c r="HK15" s="19">
        <v>1</v>
      </c>
      <c r="HL15" s="19">
        <v>1</v>
      </c>
      <c r="HM15" s="19">
        <v>1</v>
      </c>
      <c r="HN15" s="19">
        <v>1</v>
      </c>
      <c r="HO15" s="19">
        <v>1</v>
      </c>
      <c r="HP15" s="19"/>
      <c r="HQ15" s="19"/>
      <c r="HR15" s="19"/>
      <c r="HS15" s="19"/>
      <c r="HT15" s="19"/>
      <c r="HU15" s="19"/>
      <c r="HV15" s="19"/>
      <c r="HW15" s="20"/>
      <c r="HX15" s="8" cm="1">
        <f t="array" ref="HX15">Bin2DecRange($GR15:$HW15)</f>
        <v>16128</v>
      </c>
      <c r="HY15" s="6" t="str">
        <f t="shared" si="11"/>
        <v>RO_Data[3].ACT6[</v>
      </c>
      <c r="HZ15" s="23">
        <f t="shared" si="22"/>
        <v>10</v>
      </c>
      <c r="IA15" s="112" t="s">
        <v>22</v>
      </c>
      <c r="IB15" s="10" t="s">
        <v>231</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228</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232</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228</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233</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GX13" sqref="GX1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440</v>
      </c>
      <c r="GS2" s="33" t="s">
        <v>443</v>
      </c>
      <c r="GT2" s="33" t="s">
        <v>442</v>
      </c>
      <c r="GU2" s="33" t="s">
        <v>439</v>
      </c>
      <c r="GV2" s="33" t="s">
        <v>430</v>
      </c>
      <c r="GW2" s="33" t="s">
        <v>431</v>
      </c>
      <c r="GX2" s="33" t="s">
        <v>432</v>
      </c>
      <c r="GY2" s="33" t="s">
        <v>433</v>
      </c>
      <c r="GZ2" s="33"/>
      <c r="HA2" s="33"/>
      <c r="HB2" s="33"/>
      <c r="HC2" s="33"/>
      <c r="HD2" s="33"/>
      <c r="HE2" s="33"/>
      <c r="HF2" s="33"/>
      <c r="HG2" s="33"/>
      <c r="HH2" s="33"/>
      <c r="HI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411</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411</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411</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411</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411</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411</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35" si="0">IF($IB5&lt;&gt;"", $IB5, "")</f>
        <v>HOME</v>
      </c>
      <c r="C5" s="47"/>
      <c r="D5" s="22" t="s">
        <v>370</v>
      </c>
      <c r="E5" s="23">
        <v>0</v>
      </c>
      <c r="F5" s="112" t="s">
        <v>22</v>
      </c>
      <c r="G5" s="129">
        <v>0</v>
      </c>
      <c r="H5" s="22" t="s">
        <v>371</v>
      </c>
      <c r="I5" s="23">
        <v>0</v>
      </c>
      <c r="J5" s="112" t="s">
        <v>22</v>
      </c>
      <c r="K5" s="129">
        <v>0</v>
      </c>
      <c r="L5" s="22" t="s">
        <v>372</v>
      </c>
      <c r="M5" s="23">
        <v>0</v>
      </c>
      <c r="N5" s="112" t="s">
        <v>22</v>
      </c>
      <c r="O5" s="132">
        <v>0</v>
      </c>
      <c r="P5" s="22" t="s">
        <v>373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379</v>
      </c>
      <c r="HZ5" s="23">
        <v>0</v>
      </c>
      <c r="IA5" s="112" t="s">
        <v>22</v>
      </c>
      <c r="IB5" s="10" t="s">
        <v>206</v>
      </c>
      <c r="IC5" s="22" t="s">
        <v>380</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343</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RO_Data[4].ACT6[</v>
      </c>
      <c r="HZ9" s="23">
        <f t="shared" si="22"/>
        <v>4</v>
      </c>
      <c r="IA9" s="112" t="s">
        <v>22</v>
      </c>
      <c r="IB9" s="10" t="s">
        <v>344</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RO_Data[4].ACT6[</v>
      </c>
      <c r="HZ10" s="23">
        <f t="shared" si="22"/>
        <v>5</v>
      </c>
      <c r="IA10" s="112" t="s">
        <v>22</v>
      </c>
      <c r="IB10" s="10" t="s">
        <v>234</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235</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228</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229</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228</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232</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GX11" sqref="GX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t="s">
        <v>440</v>
      </c>
      <c r="GS2" s="33" t="s">
        <v>443</v>
      </c>
      <c r="GT2" s="33" t="s">
        <v>442</v>
      </c>
      <c r="GU2" s="33" t="s">
        <v>439</v>
      </c>
      <c r="GV2" s="33" t="s">
        <v>430</v>
      </c>
      <c r="GW2" s="33" t="s">
        <v>431</v>
      </c>
      <c r="GX2" s="33" t="s">
        <v>432</v>
      </c>
      <c r="GY2" s="33" t="s">
        <v>433</v>
      </c>
      <c r="GZ2" s="33"/>
      <c r="HA2" s="33"/>
      <c r="HB2" s="33"/>
      <c r="HC2" s="33"/>
      <c r="HD2" s="33"/>
      <c r="HE2" s="33"/>
      <c r="HF2" s="33"/>
      <c r="HG2" s="33"/>
      <c r="HH2" s="33"/>
      <c r="HI2" s="33"/>
      <c r="HJ2" s="33" t="s">
        <v>434</v>
      </c>
      <c r="HK2" s="33" t="s">
        <v>441</v>
      </c>
      <c r="HL2" s="33" t="s">
        <v>435</v>
      </c>
      <c r="HM2" s="33" t="s">
        <v>436</v>
      </c>
      <c r="HN2" s="33" t="s">
        <v>437</v>
      </c>
      <c r="HO2" s="33" t="s">
        <v>438</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411</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411</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411</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411</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411</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411</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24" si="0">IF($IB5&lt;&gt;"", $IB5, "")</f>
        <v>HOME</v>
      </c>
      <c r="C5" s="47"/>
      <c r="D5" s="22" t="s">
        <v>381</v>
      </c>
      <c r="E5" s="23">
        <v>0</v>
      </c>
      <c r="F5" s="112" t="s">
        <v>22</v>
      </c>
      <c r="G5" s="129">
        <v>0</v>
      </c>
      <c r="H5" s="22" t="s">
        <v>382</v>
      </c>
      <c r="I5" s="23">
        <v>0</v>
      </c>
      <c r="J5" s="112" t="s">
        <v>22</v>
      </c>
      <c r="K5" s="129">
        <v>0</v>
      </c>
      <c r="L5" s="22" t="s">
        <v>383</v>
      </c>
      <c r="M5" s="23">
        <v>0</v>
      </c>
      <c r="N5" s="112" t="s">
        <v>22</v>
      </c>
      <c r="O5" s="132">
        <v>0</v>
      </c>
      <c r="P5" s="22" t="s">
        <v>384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389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390</v>
      </c>
      <c r="HZ5" s="23">
        <v>0</v>
      </c>
      <c r="IA5" s="112" t="s">
        <v>22</v>
      </c>
      <c r="IB5" s="10" t="s">
        <v>206</v>
      </c>
      <c r="IC5" s="22" t="s">
        <v>391</v>
      </c>
      <c r="ID5" s="23">
        <v>0</v>
      </c>
      <c r="IE5" s="112" t="s">
        <v>22</v>
      </c>
    </row>
    <row r="6" spans="1:239" x14ac:dyDescent="0.25">
      <c r="A6" s="8">
        <v>1</v>
      </c>
      <c r="B6" s="8" t="str">
        <f t="shared" si="0"/>
        <v>FILLING FEED TANK TO SET POINT LEVEL</v>
      </c>
      <c r="C6" s="47"/>
      <c r="D6" s="6" t="str">
        <f t="shared" ref="D6:D24" si="1">D$5</f>
        <v>RO_Data[5].ACK_DESC[</v>
      </c>
      <c r="E6" s="23">
        <f>E5+1</f>
        <v>1</v>
      </c>
      <c r="F6" s="112" t="s">
        <v>22</v>
      </c>
      <c r="G6" s="129">
        <v>0</v>
      </c>
      <c r="H6" s="6" t="str">
        <f t="shared" ref="H6:H24" si="2">H$5</f>
        <v>RO_Data[5].MIN[</v>
      </c>
      <c r="I6" s="23">
        <f>I5+1</f>
        <v>1</v>
      </c>
      <c r="J6" s="112" t="s">
        <v>22</v>
      </c>
      <c r="K6" s="129">
        <v>1</v>
      </c>
      <c r="L6" s="6" t="str">
        <f t="shared" ref="L6:L24" si="3">L$5</f>
        <v>RO_Data[5].SEC[</v>
      </c>
      <c r="M6" s="23">
        <f>M5+1</f>
        <v>1</v>
      </c>
      <c r="N6" s="112" t="s">
        <v>22</v>
      </c>
      <c r="O6" s="132">
        <v>0</v>
      </c>
      <c r="P6" s="6" t="str">
        <f t="shared" ref="P6:P24" si="4">P$5</f>
        <v>RO_Data[5].SETPOINT[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RO_Data[5].COND1[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RO_Data[5].COND2[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RO_Data[5].COND3[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RO_Data[5].ACT1[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RO_Data[5].ACT5[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RO_Data[5].ACT6[</v>
      </c>
      <c r="HZ6" s="23">
        <f>HZ5+1</f>
        <v>1</v>
      </c>
      <c r="IA6" s="112" t="s">
        <v>22</v>
      </c>
      <c r="IB6" s="10" t="s">
        <v>224</v>
      </c>
      <c r="IC6" s="6" t="str">
        <f t="shared" ref="IC6:IC24" si="12">IC$5</f>
        <v>RO_Data[5].STEP_DESC[</v>
      </c>
      <c r="ID6" s="23">
        <f>ID5+1</f>
        <v>1</v>
      </c>
      <c r="IE6" s="112" t="s">
        <v>22</v>
      </c>
    </row>
    <row r="7" spans="1:239" x14ac:dyDescent="0.25">
      <c r="A7" s="8">
        <v>2</v>
      </c>
      <c r="B7" s="8" t="str">
        <f t="shared" si="0"/>
        <v>STARTING PUMPS</v>
      </c>
      <c r="C7" s="47"/>
      <c r="D7" s="6" t="str">
        <f t="shared" si="1"/>
        <v>RO_Data[5].ACK_DESC[</v>
      </c>
      <c r="E7" s="23">
        <f t="shared" ref="E7:E24" si="13">E6+1</f>
        <v>2</v>
      </c>
      <c r="F7" s="112" t="s">
        <v>22</v>
      </c>
      <c r="G7" s="129">
        <v>0</v>
      </c>
      <c r="H7" s="6" t="str">
        <f t="shared" si="2"/>
        <v>RO_Data[5].MIN[</v>
      </c>
      <c r="I7" s="23">
        <f t="shared" ref="I7:I24" si="14">I6+1</f>
        <v>2</v>
      </c>
      <c r="J7" s="112" t="s">
        <v>22</v>
      </c>
      <c r="K7" s="129">
        <v>30</v>
      </c>
      <c r="L7" s="6" t="str">
        <f t="shared" si="3"/>
        <v>RO_Data[5].SEC[</v>
      </c>
      <c r="M7" s="23">
        <f t="shared" ref="M7:M24" si="15">M6+1</f>
        <v>2</v>
      </c>
      <c r="N7" s="112" t="s">
        <v>22</v>
      </c>
      <c r="O7" s="132">
        <v>0</v>
      </c>
      <c r="P7" s="6" t="str">
        <f t="shared" si="4"/>
        <v>RO_Data[5].SETPOINT[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RO_Data[5].COND1[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RO_Data[5].COND2[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RO_Data[5].ACT1[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4" si="22">HZ6+1</f>
        <v>2</v>
      </c>
      <c r="IA7" s="112" t="s">
        <v>22</v>
      </c>
      <c r="IB7" s="10" t="s">
        <v>225</v>
      </c>
      <c r="IC7" s="6" t="str">
        <f t="shared" si="12"/>
        <v>RO_Data[5].STEP_DESC[</v>
      </c>
      <c r="ID7" s="23">
        <f t="shared" ref="ID7:ID24" si="23">ID6+1</f>
        <v>2</v>
      </c>
      <c r="IE7" s="112" t="s">
        <v>22</v>
      </c>
    </row>
    <row r="8" spans="1:239" x14ac:dyDescent="0.25">
      <c r="A8" s="8">
        <v>3</v>
      </c>
      <c r="B8" s="8" t="str">
        <f t="shared" si="0"/>
        <v>RINSING STAGES</v>
      </c>
      <c r="C8" s="47"/>
      <c r="D8" s="6" t="str">
        <f t="shared" si="1"/>
        <v>RO_Data[5].ACK_DESC[</v>
      </c>
      <c r="E8" s="23">
        <f t="shared" si="13"/>
        <v>3</v>
      </c>
      <c r="F8" s="112" t="s">
        <v>22</v>
      </c>
      <c r="G8" s="129">
        <v>0</v>
      </c>
      <c r="H8" s="6" t="str">
        <f t="shared" si="2"/>
        <v>RO_Data[5].MIN[</v>
      </c>
      <c r="I8" s="23">
        <f t="shared" si="14"/>
        <v>3</v>
      </c>
      <c r="J8" s="112" t="s">
        <v>22</v>
      </c>
      <c r="K8" s="129">
        <v>1</v>
      </c>
      <c r="L8" s="6" t="str">
        <f t="shared" si="3"/>
        <v>RO_Data[5].SEC[</v>
      </c>
      <c r="M8" s="23">
        <f t="shared" si="15"/>
        <v>3</v>
      </c>
      <c r="N8" s="112" t="s">
        <v>22</v>
      </c>
      <c r="O8" s="132">
        <v>0</v>
      </c>
      <c r="P8" s="6" t="str">
        <f t="shared" si="4"/>
        <v>RO_Data[5].SETPOINT[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RO_Data[5].COND1[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RO_Data[5].COND2[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RO_Data[5].COND3[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RO_Data[5].ACT1[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RO_Data[5].ACT6[</v>
      </c>
      <c r="HZ8" s="23">
        <f t="shared" si="22"/>
        <v>3</v>
      </c>
      <c r="IA8" s="112" t="s">
        <v>22</v>
      </c>
      <c r="IB8" s="10" t="s">
        <v>226</v>
      </c>
      <c r="IC8" s="6" t="str">
        <f t="shared" si="12"/>
        <v>RO_Data[5].STEP_DESC[</v>
      </c>
      <c r="ID8" s="23">
        <f t="shared" si="23"/>
        <v>3</v>
      </c>
      <c r="IE8" s="112" t="s">
        <v>22</v>
      </c>
    </row>
    <row r="9" spans="1:239" x14ac:dyDescent="0.25">
      <c r="A9" s="8">
        <v>4</v>
      </c>
      <c r="B9" s="8" t="str">
        <f t="shared" si="0"/>
        <v>PUMPING DOWN FEED TANK</v>
      </c>
      <c r="C9" s="47"/>
      <c r="D9" s="6" t="str">
        <f t="shared" si="1"/>
        <v>RO_Data[5].ACK_DESC[</v>
      </c>
      <c r="E9" s="23">
        <f t="shared" si="13"/>
        <v>4</v>
      </c>
      <c r="F9" s="112" t="s">
        <v>22</v>
      </c>
      <c r="G9" s="129">
        <v>0</v>
      </c>
      <c r="H9" s="6" t="str">
        <f t="shared" si="2"/>
        <v>RO_Data[5].MIN[</v>
      </c>
      <c r="I9" s="23">
        <f t="shared" si="14"/>
        <v>4</v>
      </c>
      <c r="J9" s="112" t="s">
        <v>22</v>
      </c>
      <c r="K9" s="129">
        <v>1</v>
      </c>
      <c r="L9" s="6" t="str">
        <f t="shared" si="3"/>
        <v>RO_Data[5].SEC[</v>
      </c>
      <c r="M9" s="23">
        <f t="shared" si="15"/>
        <v>4</v>
      </c>
      <c r="N9" s="112" t="s">
        <v>22</v>
      </c>
      <c r="O9" s="132">
        <v>0</v>
      </c>
      <c r="P9" s="6" t="str">
        <f t="shared" si="4"/>
        <v>RO_Data[5].SETPOINT[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RO_Data[5].COND1[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RO_Data[5].COND2[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RO_Data[5].COND3[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RO_Data[5].ACT1[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RO_Data[5].ACT6[</v>
      </c>
      <c r="HZ9" s="23">
        <f t="shared" si="22"/>
        <v>4</v>
      </c>
      <c r="IA9" s="112" t="s">
        <v>22</v>
      </c>
      <c r="IB9" s="10" t="s">
        <v>228</v>
      </c>
      <c r="IC9" s="6" t="str">
        <f t="shared" si="12"/>
        <v>RO_Data[5].STEP_DESC[</v>
      </c>
      <c r="ID9" s="23">
        <f t="shared" si="23"/>
        <v>4</v>
      </c>
      <c r="IE9" s="112" t="s">
        <v>22</v>
      </c>
    </row>
    <row r="10" spans="1:239" x14ac:dyDescent="0.25">
      <c r="A10" s="8">
        <v>5</v>
      </c>
      <c r="B10" s="8" t="str">
        <f t="shared" si="0"/>
        <v>DRAINING FEED TANK</v>
      </c>
      <c r="C10" s="47"/>
      <c r="D10" s="6" t="str">
        <f t="shared" si="1"/>
        <v>RO_Data[5].ACK_DESC[</v>
      </c>
      <c r="E10" s="23">
        <f t="shared" si="13"/>
        <v>5</v>
      </c>
      <c r="F10" s="112" t="s">
        <v>22</v>
      </c>
      <c r="G10" s="129">
        <v>0</v>
      </c>
      <c r="H10" s="6" t="str">
        <f t="shared" si="2"/>
        <v>RO_Data[5].MIN[</v>
      </c>
      <c r="I10" s="23">
        <f t="shared" si="14"/>
        <v>5</v>
      </c>
      <c r="J10" s="112" t="s">
        <v>22</v>
      </c>
      <c r="K10" s="129">
        <v>1</v>
      </c>
      <c r="L10" s="6" t="str">
        <f t="shared" si="3"/>
        <v>RO_Data[5].SEC[</v>
      </c>
      <c r="M10" s="23">
        <f t="shared" si="15"/>
        <v>5</v>
      </c>
      <c r="N10" s="112" t="s">
        <v>22</v>
      </c>
      <c r="O10" s="132">
        <v>0</v>
      </c>
      <c r="P10" s="6" t="str">
        <f t="shared" si="4"/>
        <v>RO_Data[5].SETPOINT[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RO_Data[5].COND2[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RO_Data[5].ACT1[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RO_Data[5].ACT5[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RO_Data[5].ACT6[</v>
      </c>
      <c r="HZ10" s="23">
        <f t="shared" si="22"/>
        <v>5</v>
      </c>
      <c r="IA10" s="112" t="s">
        <v>22</v>
      </c>
      <c r="IB10" s="10" t="s">
        <v>229</v>
      </c>
      <c r="IC10" s="6" t="str">
        <f t="shared" si="12"/>
        <v>RO_Data[5].STEP_DESC[</v>
      </c>
      <c r="ID10" s="23">
        <f t="shared" si="23"/>
        <v>5</v>
      </c>
      <c r="IE10" s="112" t="s">
        <v>22</v>
      </c>
    </row>
    <row r="11" spans="1:239" x14ac:dyDescent="0.25">
      <c r="A11" s="8">
        <v>6</v>
      </c>
      <c r="B11" s="8" t="str">
        <f t="shared" si="0"/>
        <v>CYCLE COMPLETE</v>
      </c>
      <c r="C11" s="47"/>
      <c r="D11" s="6" t="str">
        <f t="shared" si="1"/>
        <v>RO_Data[5].ACK_DESC[</v>
      </c>
      <c r="E11" s="23">
        <f t="shared" si="13"/>
        <v>6</v>
      </c>
      <c r="F11" s="112" t="s">
        <v>22</v>
      </c>
      <c r="G11" s="129">
        <v>0</v>
      </c>
      <c r="H11" s="6" t="str">
        <f t="shared" si="2"/>
        <v>RO_Data[5].MIN[</v>
      </c>
      <c r="I11" s="23">
        <f t="shared" si="14"/>
        <v>6</v>
      </c>
      <c r="J11" s="112" t="s">
        <v>22</v>
      </c>
      <c r="K11" s="129">
        <v>0</v>
      </c>
      <c r="L11" s="6" t="str">
        <f t="shared" si="3"/>
        <v>RO_Data[5].SEC[</v>
      </c>
      <c r="M11" s="23">
        <f t="shared" si="15"/>
        <v>6</v>
      </c>
      <c r="N11" s="112" t="s">
        <v>22</v>
      </c>
      <c r="O11" s="132">
        <v>0</v>
      </c>
      <c r="P11" s="6" t="str">
        <f t="shared" si="4"/>
        <v>RO_Data[5].SETPOINT[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RO_Data[5].COND1[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RO_Data[5].ACT1[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12" t="s">
        <v>22</v>
      </c>
      <c r="IB11" s="10" t="s">
        <v>223</v>
      </c>
      <c r="IC11" s="6" t="str">
        <f t="shared" si="12"/>
        <v>RO_Data[5].STEP_DESC[</v>
      </c>
      <c r="ID11" s="23">
        <f t="shared" si="23"/>
        <v>6</v>
      </c>
      <c r="IE11" s="112" t="s">
        <v>22</v>
      </c>
    </row>
    <row r="12" spans="1:239" x14ac:dyDescent="0.25">
      <c r="A12" s="8">
        <v>7</v>
      </c>
      <c r="B12" s="8" t="str">
        <f t="shared" si="0"/>
        <v/>
      </c>
      <c r="C12" s="47"/>
      <c r="D12" s="6" t="str">
        <f t="shared" si="1"/>
        <v>RO_Data[5].ACK_DESC[</v>
      </c>
      <c r="E12" s="23">
        <f t="shared" si="13"/>
        <v>7</v>
      </c>
      <c r="F12" s="112" t="s">
        <v>22</v>
      </c>
      <c r="G12" s="129">
        <v>0</v>
      </c>
      <c r="H12" s="6" t="str">
        <f t="shared" si="2"/>
        <v>RO_Data[5].MIN[</v>
      </c>
      <c r="I12" s="23">
        <f t="shared" si="14"/>
        <v>7</v>
      </c>
      <c r="J12" s="112" t="s">
        <v>22</v>
      </c>
      <c r="K12" s="129">
        <v>0</v>
      </c>
      <c r="L12" s="6" t="str">
        <f t="shared" si="3"/>
        <v>RO_Data[5].SEC[</v>
      </c>
      <c r="M12" s="23">
        <f t="shared" si="15"/>
        <v>7</v>
      </c>
      <c r="N12" s="112" t="s">
        <v>22</v>
      </c>
      <c r="O12" s="132">
        <v>0</v>
      </c>
      <c r="P12" s="6" t="str">
        <f t="shared" si="4"/>
        <v>RO_Data[5].SETPOINT[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RO_Data[5].COND1[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RO_Data[5].ACT1[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12" t="s">
        <v>22</v>
      </c>
      <c r="IB12" s="10"/>
      <c r="IC12" s="6" t="str">
        <f t="shared" si="12"/>
        <v>RO_Data[5].STEP_DESC[</v>
      </c>
      <c r="ID12" s="23">
        <f t="shared" si="23"/>
        <v>7</v>
      </c>
      <c r="IE12" s="112" t="s">
        <v>22</v>
      </c>
    </row>
    <row r="13" spans="1:239" x14ac:dyDescent="0.25">
      <c r="A13" s="8">
        <v>8</v>
      </c>
      <c r="B13" s="8" t="str">
        <f t="shared" si="0"/>
        <v/>
      </c>
      <c r="C13" s="47"/>
      <c r="D13" s="6" t="str">
        <f t="shared" si="1"/>
        <v>RO_Data[5].ACK_DESC[</v>
      </c>
      <c r="E13" s="23">
        <f t="shared" si="13"/>
        <v>8</v>
      </c>
      <c r="F13" s="112" t="s">
        <v>22</v>
      </c>
      <c r="G13" s="129">
        <v>0</v>
      </c>
      <c r="H13" s="6" t="str">
        <f t="shared" si="2"/>
        <v>RO_Data[5].MIN[</v>
      </c>
      <c r="I13" s="23">
        <f t="shared" si="14"/>
        <v>8</v>
      </c>
      <c r="J13" s="112" t="s">
        <v>22</v>
      </c>
      <c r="K13" s="129">
        <v>0</v>
      </c>
      <c r="L13" s="6" t="str">
        <f t="shared" si="3"/>
        <v>RO_Data[5].SEC[</v>
      </c>
      <c r="M13" s="23">
        <f t="shared" si="15"/>
        <v>8</v>
      </c>
      <c r="N13" s="112" t="s">
        <v>22</v>
      </c>
      <c r="O13" s="132">
        <v>0</v>
      </c>
      <c r="P13" s="6" t="str">
        <f t="shared" si="4"/>
        <v>RO_Data[5].SETPOINT[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RO_Data[5].COND1[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RO_Data[5].COND2[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RO_Data[5].COND3[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RO_Data[5].ACT1[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RO_Data[5].ACT5[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12" t="s">
        <v>22</v>
      </c>
      <c r="IB13" s="10"/>
      <c r="IC13" s="6" t="str">
        <f t="shared" si="12"/>
        <v>RO_Data[5].STEP_DESC[</v>
      </c>
      <c r="ID13" s="23">
        <f t="shared" si="23"/>
        <v>8</v>
      </c>
      <c r="IE13" s="112" t="s">
        <v>22</v>
      </c>
    </row>
    <row r="14" spans="1:239" x14ac:dyDescent="0.25">
      <c r="A14" s="8">
        <v>9</v>
      </c>
      <c r="B14" s="8" t="str">
        <f t="shared" si="0"/>
        <v/>
      </c>
      <c r="C14" s="47"/>
      <c r="D14" s="6" t="str">
        <f t="shared" si="1"/>
        <v>RO_Data[5].ACK_DESC[</v>
      </c>
      <c r="E14" s="23">
        <f t="shared" si="13"/>
        <v>9</v>
      </c>
      <c r="F14" s="112" t="s">
        <v>22</v>
      </c>
      <c r="G14" s="129">
        <v>0</v>
      </c>
      <c r="H14" s="6" t="str">
        <f t="shared" si="2"/>
        <v>RO_Data[5].MIN[</v>
      </c>
      <c r="I14" s="23">
        <f t="shared" si="14"/>
        <v>9</v>
      </c>
      <c r="J14" s="112" t="s">
        <v>22</v>
      </c>
      <c r="K14" s="129">
        <v>0</v>
      </c>
      <c r="L14" s="6" t="str">
        <f t="shared" si="3"/>
        <v>RO_Data[5].SEC[</v>
      </c>
      <c r="M14" s="23">
        <f t="shared" si="15"/>
        <v>9</v>
      </c>
      <c r="N14" s="112" t="s">
        <v>22</v>
      </c>
      <c r="O14" s="132">
        <v>0</v>
      </c>
      <c r="P14" s="6" t="str">
        <f t="shared" si="4"/>
        <v>RO_Data[5].SETPOINT[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RO_Data[5].COND1[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RO_Data[5].COND2[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RO_Data[5].ACT1[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12" t="s">
        <v>22</v>
      </c>
      <c r="IB14" s="10"/>
      <c r="IC14" s="6" t="str">
        <f t="shared" si="12"/>
        <v>RO_Data[5].STEP_DESC[</v>
      </c>
      <c r="ID14" s="23">
        <f t="shared" si="23"/>
        <v>9</v>
      </c>
      <c r="IE14" s="112" t="s">
        <v>22</v>
      </c>
    </row>
    <row r="15" spans="1:239" x14ac:dyDescent="0.25">
      <c r="A15" s="8">
        <v>10</v>
      </c>
      <c r="B15" s="8" t="str">
        <f t="shared" si="0"/>
        <v/>
      </c>
      <c r="C15" s="47"/>
      <c r="D15" s="6" t="str">
        <f t="shared" si="1"/>
        <v>RO_Data[5].ACK_DESC[</v>
      </c>
      <c r="E15" s="23">
        <f t="shared" si="13"/>
        <v>10</v>
      </c>
      <c r="F15" s="112" t="s">
        <v>22</v>
      </c>
      <c r="G15" s="129">
        <v>0</v>
      </c>
      <c r="H15" s="6" t="str">
        <f t="shared" si="2"/>
        <v>RO_Data[5].MIN[</v>
      </c>
      <c r="I15" s="23">
        <f t="shared" si="14"/>
        <v>10</v>
      </c>
      <c r="J15" s="112" t="s">
        <v>22</v>
      </c>
      <c r="K15" s="129">
        <v>0</v>
      </c>
      <c r="L15" s="6" t="str">
        <f t="shared" si="3"/>
        <v>RO_Data[5].SEC[</v>
      </c>
      <c r="M15" s="23">
        <f t="shared" si="15"/>
        <v>10</v>
      </c>
      <c r="N15" s="112" t="s">
        <v>22</v>
      </c>
      <c r="O15" s="132">
        <v>0</v>
      </c>
      <c r="P15" s="6" t="str">
        <f t="shared" si="4"/>
        <v>RO_Data[5].SETPOINT[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RO_Data[5].COND1[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RO_Data[5].ACT1[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12" t="s">
        <v>22</v>
      </c>
      <c r="IB15" s="10"/>
      <c r="IC15" s="6" t="str">
        <f t="shared" si="12"/>
        <v>RO_Data[5].STEP_DESC[</v>
      </c>
      <c r="ID15" s="23">
        <f t="shared" si="23"/>
        <v>10</v>
      </c>
      <c r="IE15" s="112" t="s">
        <v>22</v>
      </c>
    </row>
    <row r="16" spans="1:239" x14ac:dyDescent="0.25">
      <c r="A16" s="8">
        <v>11</v>
      </c>
      <c r="B16" s="8" t="str">
        <f t="shared" si="0"/>
        <v/>
      </c>
      <c r="C16" s="47"/>
      <c r="D16" s="6" t="str">
        <f t="shared" si="1"/>
        <v>RO_Data[5].ACK_DESC[</v>
      </c>
      <c r="E16" s="23">
        <f t="shared" si="13"/>
        <v>11</v>
      </c>
      <c r="F16" s="112" t="s">
        <v>22</v>
      </c>
      <c r="G16" s="129">
        <v>0</v>
      </c>
      <c r="H16" s="6" t="str">
        <f t="shared" si="2"/>
        <v>RO_Data[5].MIN[</v>
      </c>
      <c r="I16" s="23">
        <f t="shared" si="14"/>
        <v>11</v>
      </c>
      <c r="J16" s="112" t="s">
        <v>22</v>
      </c>
      <c r="K16" s="129">
        <v>0</v>
      </c>
      <c r="L16" s="6" t="str">
        <f t="shared" si="3"/>
        <v>RO_Data[5].SEC[</v>
      </c>
      <c r="M16" s="23">
        <f t="shared" si="15"/>
        <v>11</v>
      </c>
      <c r="N16" s="112" t="s">
        <v>22</v>
      </c>
      <c r="O16" s="132">
        <v>0</v>
      </c>
      <c r="P16" s="6" t="str">
        <f t="shared" si="4"/>
        <v>RO_Data[5].SETPOINT[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RO_Data[5].COND1[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RO_Data[5].COND2[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RO_Data[5].ACT1[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RO_Data[5].ACT5[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12" t="s">
        <v>22</v>
      </c>
      <c r="IB16" s="10"/>
      <c r="IC16" s="6" t="str">
        <f t="shared" si="12"/>
        <v>RO_Data[5].STEP_DESC[</v>
      </c>
      <c r="ID16" s="23">
        <f t="shared" si="23"/>
        <v>11</v>
      </c>
      <c r="IE16" s="112" t="s">
        <v>22</v>
      </c>
    </row>
    <row r="17" spans="1:239" x14ac:dyDescent="0.25">
      <c r="A17" s="8">
        <v>12</v>
      </c>
      <c r="B17" s="8" t="str">
        <f t="shared" si="0"/>
        <v/>
      </c>
      <c r="C17" s="47"/>
      <c r="D17" s="6" t="str">
        <f t="shared" si="1"/>
        <v>RO_Data[5].ACK_DESC[</v>
      </c>
      <c r="E17" s="23">
        <f t="shared" si="13"/>
        <v>12</v>
      </c>
      <c r="F17" s="112" t="s">
        <v>22</v>
      </c>
      <c r="G17" s="129">
        <v>0</v>
      </c>
      <c r="H17" s="6" t="str">
        <f t="shared" si="2"/>
        <v>RO_Data[5].MIN[</v>
      </c>
      <c r="I17" s="23">
        <f t="shared" si="14"/>
        <v>12</v>
      </c>
      <c r="J17" s="112" t="s">
        <v>22</v>
      </c>
      <c r="K17" s="129">
        <v>0</v>
      </c>
      <c r="L17" s="6" t="str">
        <f t="shared" si="3"/>
        <v>RO_Data[5].SEC[</v>
      </c>
      <c r="M17" s="23">
        <f t="shared" si="15"/>
        <v>12</v>
      </c>
      <c r="N17" s="112" t="s">
        <v>22</v>
      </c>
      <c r="O17" s="132">
        <v>0</v>
      </c>
      <c r="P17" s="6" t="str">
        <f t="shared" si="4"/>
        <v>RO_Data[5].SETPOINT[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RO_Data[5].COND1[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RO_Data[5].COND2[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RO_Data[5].COND3[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RO_Data[5].ACT1[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RO_Data[5].ACT5[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12" t="s">
        <v>22</v>
      </c>
      <c r="IB17" s="10"/>
      <c r="IC17" s="6" t="str">
        <f t="shared" si="12"/>
        <v>RO_Data[5].STEP_DESC[</v>
      </c>
      <c r="ID17" s="23">
        <f t="shared" si="23"/>
        <v>12</v>
      </c>
      <c r="IE17" s="112" t="s">
        <v>22</v>
      </c>
    </row>
    <row r="18" spans="1:239" x14ac:dyDescent="0.25">
      <c r="A18" s="8">
        <v>13</v>
      </c>
      <c r="B18" s="8" t="str">
        <f t="shared" si="0"/>
        <v/>
      </c>
      <c r="C18" s="47"/>
      <c r="D18" s="6" t="str">
        <f t="shared" si="1"/>
        <v>RO_Data[5].ACK_DESC[</v>
      </c>
      <c r="E18" s="23">
        <f t="shared" si="13"/>
        <v>13</v>
      </c>
      <c r="F18" s="112" t="s">
        <v>22</v>
      </c>
      <c r="G18" s="129">
        <v>0</v>
      </c>
      <c r="H18" s="6" t="str">
        <f t="shared" si="2"/>
        <v>RO_Data[5].MIN[</v>
      </c>
      <c r="I18" s="23">
        <f t="shared" si="14"/>
        <v>13</v>
      </c>
      <c r="J18" s="112" t="s">
        <v>22</v>
      </c>
      <c r="K18" s="129">
        <v>0</v>
      </c>
      <c r="L18" s="6" t="str">
        <f t="shared" si="3"/>
        <v>RO_Data[5].SEC[</v>
      </c>
      <c r="M18" s="23">
        <f t="shared" si="15"/>
        <v>13</v>
      </c>
      <c r="N18" s="112" t="s">
        <v>22</v>
      </c>
      <c r="O18" s="132">
        <v>0</v>
      </c>
      <c r="P18" s="6" t="str">
        <f t="shared" si="4"/>
        <v>RO_Data[5].SETPOINT[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RO_Data[5].COND1[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RO_Data[5].COND2[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RO_Data[5].COND3[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RO_Data[5].ACT1[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RO_Data[5].ACT5[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12" t="s">
        <v>22</v>
      </c>
      <c r="IB18" s="10"/>
      <c r="IC18" s="6" t="str">
        <f t="shared" si="12"/>
        <v>RO_Data[5].STEP_DESC[</v>
      </c>
      <c r="ID18" s="23">
        <f t="shared" si="23"/>
        <v>13</v>
      </c>
      <c r="IE18" s="112" t="s">
        <v>22</v>
      </c>
    </row>
    <row r="19" spans="1:239" x14ac:dyDescent="0.25">
      <c r="A19" s="8">
        <v>14</v>
      </c>
      <c r="B19" s="8" t="str">
        <f t="shared" si="0"/>
        <v/>
      </c>
      <c r="C19" s="47"/>
      <c r="D19" s="6" t="str">
        <f t="shared" si="1"/>
        <v>RO_Data[5].ACK_DESC[</v>
      </c>
      <c r="E19" s="23">
        <f t="shared" si="13"/>
        <v>14</v>
      </c>
      <c r="F19" s="112" t="s">
        <v>22</v>
      </c>
      <c r="G19" s="129">
        <v>0</v>
      </c>
      <c r="H19" s="6" t="str">
        <f t="shared" si="2"/>
        <v>RO_Data[5].MIN[</v>
      </c>
      <c r="I19" s="23">
        <f t="shared" si="14"/>
        <v>14</v>
      </c>
      <c r="J19" s="112" t="s">
        <v>22</v>
      </c>
      <c r="K19" s="129">
        <v>0</v>
      </c>
      <c r="L19" s="6" t="str">
        <f t="shared" si="3"/>
        <v>RO_Data[5].SEC[</v>
      </c>
      <c r="M19" s="23">
        <f t="shared" si="15"/>
        <v>14</v>
      </c>
      <c r="N19" s="112" t="s">
        <v>22</v>
      </c>
      <c r="O19" s="132">
        <v>0</v>
      </c>
      <c r="P19" s="6" t="str">
        <f t="shared" si="4"/>
        <v>RO_Data[5].SETPOINT[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RO_Data[5].COND1[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RO_Data[5].COND2[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RO_Data[5].ACT1[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12" t="s">
        <v>22</v>
      </c>
      <c r="IB19" s="10"/>
      <c r="IC19" s="6" t="str">
        <f t="shared" si="12"/>
        <v>RO_Data[5].STEP_DESC[</v>
      </c>
      <c r="ID19" s="23">
        <f t="shared" si="23"/>
        <v>14</v>
      </c>
      <c r="IE19" s="112" t="s">
        <v>22</v>
      </c>
    </row>
    <row r="20" spans="1:239" x14ac:dyDescent="0.25">
      <c r="A20" s="8">
        <v>15</v>
      </c>
      <c r="B20" s="8" t="str">
        <f t="shared" si="0"/>
        <v/>
      </c>
      <c r="C20" s="47"/>
      <c r="D20" s="6" t="str">
        <f t="shared" si="1"/>
        <v>RO_Data[5].ACK_DESC[</v>
      </c>
      <c r="E20" s="23">
        <f t="shared" si="13"/>
        <v>15</v>
      </c>
      <c r="F20" s="112" t="s">
        <v>22</v>
      </c>
      <c r="G20" s="129">
        <v>0</v>
      </c>
      <c r="H20" s="6" t="str">
        <f t="shared" si="2"/>
        <v>RO_Data[5].MIN[</v>
      </c>
      <c r="I20" s="23">
        <f t="shared" si="14"/>
        <v>15</v>
      </c>
      <c r="J20" s="112" t="s">
        <v>22</v>
      </c>
      <c r="K20" s="129">
        <v>0</v>
      </c>
      <c r="L20" s="6" t="str">
        <f t="shared" si="3"/>
        <v>RO_Data[5].SEC[</v>
      </c>
      <c r="M20" s="23">
        <f t="shared" si="15"/>
        <v>15</v>
      </c>
      <c r="N20" s="112" t="s">
        <v>22</v>
      </c>
      <c r="O20" s="132">
        <v>0</v>
      </c>
      <c r="P20" s="6" t="str">
        <f t="shared" si="4"/>
        <v>RO_Data[5].SETPOINT[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RO_Data[5].COND1[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12" t="s">
        <v>22</v>
      </c>
      <c r="IB20" s="10"/>
      <c r="IC20" s="6" t="str">
        <f t="shared" si="12"/>
        <v>RO_Data[5].STEP_DESC[</v>
      </c>
      <c r="ID20" s="23">
        <f t="shared" si="23"/>
        <v>15</v>
      </c>
      <c r="IE20" s="112" t="s">
        <v>22</v>
      </c>
    </row>
    <row r="21" spans="1:239" x14ac:dyDescent="0.25">
      <c r="A21" s="8">
        <v>16</v>
      </c>
      <c r="B21" s="8" t="str">
        <f t="shared" si="0"/>
        <v/>
      </c>
      <c r="C21" s="47"/>
      <c r="D21" s="6" t="str">
        <f t="shared" si="1"/>
        <v>RO_Data[5].ACK_DESC[</v>
      </c>
      <c r="E21" s="23">
        <f t="shared" si="13"/>
        <v>16</v>
      </c>
      <c r="F21" s="112" t="s">
        <v>22</v>
      </c>
      <c r="G21" s="129">
        <v>0</v>
      </c>
      <c r="H21" s="6" t="str">
        <f t="shared" si="2"/>
        <v>RO_Data[5].MIN[</v>
      </c>
      <c r="I21" s="23">
        <f t="shared" si="14"/>
        <v>16</v>
      </c>
      <c r="J21" s="112" t="s">
        <v>22</v>
      </c>
      <c r="K21" s="129">
        <v>0</v>
      </c>
      <c r="L21" s="6" t="str">
        <f t="shared" si="3"/>
        <v>RO_Data[5].SEC[</v>
      </c>
      <c r="M21" s="23">
        <f t="shared" si="15"/>
        <v>16</v>
      </c>
      <c r="N21" s="112" t="s">
        <v>22</v>
      </c>
      <c r="O21" s="132">
        <v>0</v>
      </c>
      <c r="P21" s="6" t="str">
        <f t="shared" si="4"/>
        <v>RO_Data[5].SETPOINT[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12" t="s">
        <v>22</v>
      </c>
      <c r="IB21" s="10"/>
      <c r="IC21" s="6" t="str">
        <f t="shared" si="12"/>
        <v>RO_Data[5].STEP_DESC[</v>
      </c>
      <c r="ID21" s="23">
        <f t="shared" si="23"/>
        <v>16</v>
      </c>
      <c r="IE21" s="112" t="s">
        <v>22</v>
      </c>
    </row>
    <row r="22" spans="1:239" x14ac:dyDescent="0.25">
      <c r="A22" s="8">
        <v>17</v>
      </c>
      <c r="B22" s="8" t="str">
        <f t="shared" si="0"/>
        <v/>
      </c>
      <c r="C22" s="47"/>
      <c r="D22" s="6" t="str">
        <f t="shared" si="1"/>
        <v>RO_Data[5].ACK_DESC[</v>
      </c>
      <c r="E22" s="23">
        <f t="shared" si="13"/>
        <v>17</v>
      </c>
      <c r="F22" s="112" t="s">
        <v>22</v>
      </c>
      <c r="G22" s="129">
        <v>0</v>
      </c>
      <c r="H22" s="6" t="str">
        <f t="shared" si="2"/>
        <v>RO_Data[5].MIN[</v>
      </c>
      <c r="I22" s="23">
        <f t="shared" si="14"/>
        <v>17</v>
      </c>
      <c r="J22" s="112" t="s">
        <v>22</v>
      </c>
      <c r="K22" s="129">
        <v>0</v>
      </c>
      <c r="L22" s="6" t="str">
        <f t="shared" si="3"/>
        <v>RO_Data[5].SEC[</v>
      </c>
      <c r="M22" s="23">
        <f t="shared" si="15"/>
        <v>17</v>
      </c>
      <c r="N22" s="112" t="s">
        <v>22</v>
      </c>
      <c r="O22" s="132">
        <v>0</v>
      </c>
      <c r="P22" s="6" t="str">
        <f t="shared" si="4"/>
        <v>RO_Data[5].SETPOINT[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12" t="s">
        <v>22</v>
      </c>
      <c r="IB22" s="10"/>
      <c r="IC22" s="6" t="str">
        <f t="shared" si="12"/>
        <v>RO_Data[5].STEP_DESC[</v>
      </c>
      <c r="ID22" s="23">
        <f t="shared" si="23"/>
        <v>17</v>
      </c>
      <c r="IE22" s="112" t="s">
        <v>22</v>
      </c>
    </row>
    <row r="23" spans="1:239" x14ac:dyDescent="0.25">
      <c r="A23" s="8">
        <v>18</v>
      </c>
      <c r="B23" s="8" t="str">
        <f t="shared" si="0"/>
        <v/>
      </c>
      <c r="C23" s="47"/>
      <c r="D23" s="6" t="str">
        <f t="shared" si="1"/>
        <v>RO_Data[5].ACK_DESC[</v>
      </c>
      <c r="E23" s="23">
        <f t="shared" si="13"/>
        <v>18</v>
      </c>
      <c r="F23" s="112" t="s">
        <v>22</v>
      </c>
      <c r="G23" s="129">
        <v>0</v>
      </c>
      <c r="H23" s="6" t="str">
        <f t="shared" si="2"/>
        <v>RO_Data[5].MIN[</v>
      </c>
      <c r="I23" s="23">
        <f t="shared" si="14"/>
        <v>18</v>
      </c>
      <c r="J23" s="112" t="s">
        <v>22</v>
      </c>
      <c r="K23" s="129">
        <v>0</v>
      </c>
      <c r="L23" s="6" t="str">
        <f t="shared" si="3"/>
        <v>RO_Data[5].SEC[</v>
      </c>
      <c r="M23" s="23">
        <f t="shared" si="15"/>
        <v>18</v>
      </c>
      <c r="N23" s="112" t="s">
        <v>22</v>
      </c>
      <c r="O23" s="132">
        <v>0</v>
      </c>
      <c r="P23" s="6" t="str">
        <f t="shared" si="4"/>
        <v>RO_Data[5].SETPOINT[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12" t="s">
        <v>22</v>
      </c>
      <c r="IB23" s="10"/>
      <c r="IC23" s="6" t="str">
        <f t="shared" si="12"/>
        <v>RO_Data[5].STEP_DESC[</v>
      </c>
      <c r="ID23" s="23">
        <f t="shared" si="23"/>
        <v>18</v>
      </c>
      <c r="IE23" s="112" t="s">
        <v>22</v>
      </c>
    </row>
    <row r="24" spans="1:239" ht="15.75" thickBot="1" x14ac:dyDescent="0.3">
      <c r="A24" s="42">
        <v>19</v>
      </c>
      <c r="B24" s="42" t="str">
        <f t="shared" si="0"/>
        <v/>
      </c>
      <c r="C24" s="54"/>
      <c r="D24" s="40" t="str">
        <f t="shared" si="1"/>
        <v>RO_Data[5].ACK_DESC[</v>
      </c>
      <c r="E24" s="41">
        <f t="shared" si="13"/>
        <v>19</v>
      </c>
      <c r="F24" s="44" t="s">
        <v>22</v>
      </c>
      <c r="G24" s="131">
        <v>0</v>
      </c>
      <c r="H24" s="40" t="str">
        <f t="shared" si="2"/>
        <v>RO_Data[5].MIN[</v>
      </c>
      <c r="I24" s="41">
        <f t="shared" si="14"/>
        <v>19</v>
      </c>
      <c r="J24" s="44" t="s">
        <v>22</v>
      </c>
      <c r="K24" s="131">
        <v>0</v>
      </c>
      <c r="L24" s="40" t="str">
        <f t="shared" si="3"/>
        <v>RO_Data[5].SEC[</v>
      </c>
      <c r="M24" s="41">
        <f t="shared" si="15"/>
        <v>19</v>
      </c>
      <c r="N24" s="44" t="s">
        <v>22</v>
      </c>
      <c r="O24" s="134">
        <v>0</v>
      </c>
      <c r="P24" s="40" t="str">
        <f t="shared" si="4"/>
        <v>RO_Data[5].SETPOINT[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RO_Data[5].COND1[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RO_Data[5].COND2[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RO_Data[5].COND3[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RO_Data[5].ACT1[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RO_Data[5].ACT5[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RO_Data[5].ACT6[</v>
      </c>
      <c r="HZ24" s="41">
        <f t="shared" si="22"/>
        <v>19</v>
      </c>
      <c r="IA24" s="44" t="s">
        <v>22</v>
      </c>
      <c r="IB24" s="43"/>
      <c r="IC24" s="40" t="str">
        <f t="shared" si="12"/>
        <v>RO_Data[5].STEP_DESC[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D4" activePane="bottomRight" state="frozen"/>
      <selection activeCell="ED4" sqref="ED4"/>
      <selection pane="topRight" activeCell="ED4" sqref="ED4"/>
      <selection pane="bottomLeft" activeCell="ED4" sqref="ED4"/>
      <selection pane="bottomRight" activeCell="HK11" sqref="HK11"/>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79" t="s">
        <v>134</v>
      </c>
      <c r="B1" s="173"/>
      <c r="C1" s="173" t="s">
        <v>123</v>
      </c>
      <c r="D1" s="171"/>
      <c r="E1" s="171"/>
      <c r="F1" s="172"/>
      <c r="G1" s="173" t="s">
        <v>124</v>
      </c>
      <c r="H1" s="171"/>
      <c r="I1" s="171"/>
      <c r="J1" s="172"/>
      <c r="K1" s="173" t="s">
        <v>125</v>
      </c>
      <c r="L1" s="171"/>
      <c r="M1" s="171"/>
      <c r="N1" s="172"/>
      <c r="O1" s="173" t="s">
        <v>126</v>
      </c>
      <c r="P1" s="171"/>
      <c r="Q1" s="171"/>
      <c r="R1" s="172"/>
      <c r="S1" s="113"/>
      <c r="T1" s="173" t="s">
        <v>127</v>
      </c>
      <c r="U1" s="173"/>
      <c r="V1" s="173"/>
      <c r="W1" s="173"/>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c r="BC1" s="173"/>
      <c r="BD1" s="173" t="s">
        <v>128</v>
      </c>
      <c r="BE1" s="173"/>
      <c r="BF1" s="173"/>
      <c r="BG1" s="173"/>
      <c r="BH1" s="173"/>
      <c r="BI1" s="173"/>
      <c r="BJ1" s="173"/>
      <c r="BK1" s="173"/>
      <c r="BL1" s="173"/>
      <c r="BM1" s="173"/>
      <c r="BN1" s="173"/>
      <c r="BO1" s="173"/>
      <c r="BP1" s="173"/>
      <c r="BQ1" s="173"/>
      <c r="BR1" s="173"/>
      <c r="BS1" s="173"/>
      <c r="BT1" s="173"/>
      <c r="BU1" s="173"/>
      <c r="BV1" s="173"/>
      <c r="BW1" s="173"/>
      <c r="BX1" s="173"/>
      <c r="BY1" s="173"/>
      <c r="BZ1" s="173"/>
      <c r="CA1" s="173"/>
      <c r="CB1" s="173"/>
      <c r="CC1" s="173"/>
      <c r="CD1" s="173"/>
      <c r="CE1" s="173"/>
      <c r="CF1" s="173"/>
      <c r="CG1" s="173"/>
      <c r="CH1" s="173"/>
      <c r="CI1" s="173"/>
      <c r="CJ1" s="173"/>
      <c r="CK1" s="173"/>
      <c r="CL1" s="173"/>
      <c r="CM1" s="173"/>
      <c r="CN1" s="173" t="s">
        <v>129</v>
      </c>
      <c r="CO1" s="173"/>
      <c r="CP1" s="173"/>
      <c r="CQ1" s="173"/>
      <c r="CR1" s="173"/>
      <c r="CS1" s="173"/>
      <c r="CT1" s="173"/>
      <c r="CU1" s="173"/>
      <c r="CV1" s="173"/>
      <c r="CW1" s="173"/>
      <c r="CX1" s="173"/>
      <c r="CY1" s="173"/>
      <c r="CZ1" s="173"/>
      <c r="DA1" s="173"/>
      <c r="DB1" s="173"/>
      <c r="DC1" s="173"/>
      <c r="DD1" s="173"/>
      <c r="DE1" s="173"/>
      <c r="DF1" s="173"/>
      <c r="DG1" s="173"/>
      <c r="DH1" s="173"/>
      <c r="DI1" s="173"/>
      <c r="DJ1" s="173"/>
      <c r="DK1" s="173"/>
      <c r="DL1" s="173"/>
      <c r="DM1" s="173"/>
      <c r="DN1" s="173"/>
      <c r="DO1" s="173"/>
      <c r="DP1" s="173"/>
      <c r="DQ1" s="173"/>
      <c r="DR1" s="173"/>
      <c r="DS1" s="173"/>
      <c r="DT1" s="173"/>
      <c r="DU1" s="173"/>
      <c r="DV1" s="173"/>
      <c r="DW1" s="173"/>
      <c r="DX1" s="173" t="s">
        <v>130</v>
      </c>
      <c r="DY1" s="173"/>
      <c r="DZ1" s="173"/>
      <c r="EA1" s="173"/>
      <c r="EB1" s="173"/>
      <c r="EC1" s="173"/>
      <c r="ED1" s="173"/>
      <c r="EE1" s="173"/>
      <c r="EF1" s="173"/>
      <c r="EG1" s="173"/>
      <c r="EH1" s="173"/>
      <c r="EI1" s="173"/>
      <c r="EJ1" s="173"/>
      <c r="EK1" s="173"/>
      <c r="EL1" s="173"/>
      <c r="EM1" s="173"/>
      <c r="EN1" s="173"/>
      <c r="EO1" s="173"/>
      <c r="EP1" s="173"/>
      <c r="EQ1" s="173"/>
      <c r="ER1" s="173"/>
      <c r="ES1" s="173"/>
      <c r="ET1" s="173"/>
      <c r="EU1" s="173"/>
      <c r="EV1" s="173"/>
      <c r="EW1" s="173"/>
      <c r="EX1" s="173"/>
      <c r="EY1" s="173"/>
      <c r="EZ1" s="173"/>
      <c r="FA1" s="173"/>
      <c r="FB1" s="173"/>
      <c r="FC1" s="173"/>
      <c r="FD1" s="173"/>
      <c r="FE1" s="173"/>
      <c r="FF1" s="173"/>
      <c r="FG1" s="173"/>
      <c r="FH1" s="173" t="s">
        <v>131</v>
      </c>
      <c r="FI1" s="173"/>
      <c r="FJ1" s="173"/>
      <c r="FK1" s="173"/>
      <c r="FL1" s="173"/>
      <c r="FM1" s="173"/>
      <c r="FN1" s="173"/>
      <c r="FO1" s="173"/>
      <c r="FP1" s="173"/>
      <c r="FQ1" s="173"/>
      <c r="FR1" s="173"/>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3" t="s">
        <v>132</v>
      </c>
      <c r="GS1" s="173"/>
      <c r="GT1" s="173"/>
      <c r="GU1" s="173"/>
      <c r="GV1" s="173"/>
      <c r="GW1" s="173"/>
      <c r="GX1" s="173"/>
      <c r="GY1" s="173"/>
      <c r="GZ1" s="173"/>
      <c r="HA1" s="173"/>
      <c r="HB1" s="173"/>
      <c r="HC1" s="173"/>
      <c r="HD1" s="173"/>
      <c r="HE1" s="173"/>
      <c r="HF1" s="173"/>
      <c r="HG1" s="173"/>
      <c r="HH1" s="173"/>
      <c r="HI1" s="173"/>
      <c r="HJ1" s="173"/>
      <c r="HK1" s="173"/>
      <c r="HL1" s="173"/>
      <c r="HM1" s="173"/>
      <c r="HN1" s="173"/>
      <c r="HO1" s="173"/>
      <c r="HP1" s="173"/>
      <c r="HQ1" s="173"/>
      <c r="HR1" s="173"/>
      <c r="HS1" s="173"/>
      <c r="HT1" s="173"/>
      <c r="HU1" s="173"/>
      <c r="HV1" s="173"/>
      <c r="HW1" s="173"/>
      <c r="HX1" s="173"/>
      <c r="HY1" s="173"/>
      <c r="HZ1" s="173"/>
      <c r="IA1" s="173"/>
      <c r="IB1" s="173" t="s">
        <v>133</v>
      </c>
      <c r="IC1" s="171"/>
      <c r="ID1" s="171"/>
      <c r="IE1" s="172"/>
    </row>
    <row r="2" spans="1:239" ht="312.75" thickBot="1" x14ac:dyDescent="0.3">
      <c r="A2" s="1"/>
      <c r="B2" s="2" t="s">
        <v>51</v>
      </c>
      <c r="C2" s="4" t="s">
        <v>109</v>
      </c>
      <c r="D2" s="169"/>
      <c r="E2" s="167"/>
      <c r="F2" s="186"/>
      <c r="G2" s="115" t="s">
        <v>107</v>
      </c>
      <c r="H2" s="177"/>
      <c r="I2" s="147"/>
      <c r="J2" s="185"/>
      <c r="K2" s="115" t="s">
        <v>110</v>
      </c>
      <c r="L2" s="177"/>
      <c r="M2" s="147"/>
      <c r="N2" s="185"/>
      <c r="O2" s="4" t="s">
        <v>106</v>
      </c>
      <c r="P2" s="178"/>
      <c r="Q2" s="147"/>
      <c r="R2" s="147"/>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76"/>
      <c r="BB2" s="171"/>
      <c r="BC2" s="172"/>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76"/>
      <c r="CL2" s="171"/>
      <c r="CM2" s="172"/>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76"/>
      <c r="DV2" s="171"/>
      <c r="DW2" s="172"/>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66"/>
      <c r="FF2" s="167"/>
      <c r="FG2" s="167"/>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66"/>
      <c r="GP2" s="167"/>
      <c r="GQ2" s="167"/>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66"/>
      <c r="HZ2" s="167"/>
      <c r="IA2" s="167"/>
      <c r="IB2" s="4" t="s">
        <v>18</v>
      </c>
      <c r="IC2" s="169"/>
      <c r="ID2" s="167"/>
      <c r="IE2" s="186"/>
    </row>
    <row r="3" spans="1:239" ht="15.75" customHeight="1" thickBot="1" x14ac:dyDescent="0.3">
      <c r="A3" s="113" t="s">
        <v>19</v>
      </c>
      <c r="B3" s="48"/>
      <c r="C3" s="113" t="s">
        <v>17</v>
      </c>
      <c r="D3" s="173" t="s">
        <v>20</v>
      </c>
      <c r="E3" s="171"/>
      <c r="F3" s="172"/>
      <c r="G3" s="113" t="s">
        <v>15</v>
      </c>
      <c r="H3" s="170" t="s">
        <v>20</v>
      </c>
      <c r="I3" s="171"/>
      <c r="J3" s="172"/>
      <c r="K3" s="118" t="s">
        <v>15</v>
      </c>
      <c r="L3" s="170" t="s">
        <v>20</v>
      </c>
      <c r="M3" s="171"/>
      <c r="N3" s="172"/>
      <c r="O3" s="118" t="s">
        <v>15</v>
      </c>
      <c r="P3" s="173" t="s">
        <v>20</v>
      </c>
      <c r="Q3" s="171"/>
      <c r="R3" s="172"/>
      <c r="S3" s="45"/>
      <c r="T3" s="174"/>
      <c r="U3" s="171"/>
      <c r="V3" s="171"/>
      <c r="W3" s="171"/>
      <c r="X3" s="171"/>
      <c r="Y3" s="171"/>
      <c r="Z3" s="171"/>
      <c r="AA3" s="171"/>
      <c r="AB3" s="171"/>
      <c r="AC3" s="171"/>
      <c r="AD3" s="171"/>
      <c r="AE3" s="171"/>
      <c r="AF3" s="171"/>
      <c r="AG3" s="171"/>
      <c r="AH3" s="171"/>
      <c r="AI3" s="171"/>
      <c r="AJ3" s="171"/>
      <c r="AK3" s="171"/>
      <c r="AL3" s="171"/>
      <c r="AM3" s="171"/>
      <c r="AN3" s="171"/>
      <c r="AO3" s="171"/>
      <c r="AP3" s="171"/>
      <c r="AQ3" s="171"/>
      <c r="AR3" s="171"/>
      <c r="AS3" s="171"/>
      <c r="AT3" s="171"/>
      <c r="AU3" s="171"/>
      <c r="AV3" s="171"/>
      <c r="AW3" s="171"/>
      <c r="AX3" s="171"/>
      <c r="AY3" s="172"/>
      <c r="AZ3" s="113" t="s">
        <v>411</v>
      </c>
      <c r="BA3" s="170" t="s">
        <v>20</v>
      </c>
      <c r="BB3" s="171"/>
      <c r="BC3" s="172"/>
      <c r="BD3" s="174"/>
      <c r="BE3" s="171"/>
      <c r="BF3" s="171"/>
      <c r="BG3" s="171"/>
      <c r="BH3" s="171"/>
      <c r="BI3" s="171"/>
      <c r="BJ3" s="171"/>
      <c r="BK3" s="171"/>
      <c r="BL3" s="171"/>
      <c r="BM3" s="171"/>
      <c r="BN3" s="171"/>
      <c r="BO3" s="171"/>
      <c r="BP3" s="171"/>
      <c r="BQ3" s="171"/>
      <c r="BR3" s="171"/>
      <c r="BS3" s="171"/>
      <c r="BT3" s="171"/>
      <c r="BU3" s="171"/>
      <c r="BV3" s="171"/>
      <c r="BW3" s="171"/>
      <c r="BX3" s="171"/>
      <c r="BY3" s="171"/>
      <c r="BZ3" s="171"/>
      <c r="CA3" s="171"/>
      <c r="CB3" s="171"/>
      <c r="CC3" s="171"/>
      <c r="CD3" s="171"/>
      <c r="CE3" s="171"/>
      <c r="CF3" s="171"/>
      <c r="CG3" s="171"/>
      <c r="CH3" s="171"/>
      <c r="CI3" s="172"/>
      <c r="CJ3" s="113" t="s">
        <v>15</v>
      </c>
      <c r="CK3" s="170" t="s">
        <v>20</v>
      </c>
      <c r="CL3" s="171"/>
      <c r="CM3" s="172"/>
      <c r="CN3" s="174"/>
      <c r="CO3" s="171"/>
      <c r="CP3" s="171"/>
      <c r="CQ3" s="171"/>
      <c r="CR3" s="171"/>
      <c r="CS3" s="171"/>
      <c r="CT3" s="171"/>
      <c r="CU3" s="171"/>
      <c r="CV3" s="171"/>
      <c r="CW3" s="171"/>
      <c r="CX3" s="171"/>
      <c r="CY3" s="171"/>
      <c r="CZ3" s="171"/>
      <c r="DA3" s="171"/>
      <c r="DB3" s="171"/>
      <c r="DC3" s="171"/>
      <c r="DD3" s="171"/>
      <c r="DE3" s="171"/>
      <c r="DF3" s="171"/>
      <c r="DG3" s="171"/>
      <c r="DH3" s="171"/>
      <c r="DI3" s="171"/>
      <c r="DJ3" s="171"/>
      <c r="DK3" s="171"/>
      <c r="DL3" s="171"/>
      <c r="DM3" s="171"/>
      <c r="DN3" s="171"/>
      <c r="DO3" s="171"/>
      <c r="DP3" s="171"/>
      <c r="DQ3" s="171"/>
      <c r="DR3" s="171"/>
      <c r="DS3" s="172"/>
      <c r="DT3" s="113" t="s">
        <v>411</v>
      </c>
      <c r="DU3" s="170" t="s">
        <v>20</v>
      </c>
      <c r="DV3" s="171"/>
      <c r="DW3" s="172"/>
      <c r="DX3" s="184"/>
      <c r="DY3" s="171"/>
      <c r="DZ3" s="171"/>
      <c r="EA3" s="171"/>
      <c r="EB3" s="171"/>
      <c r="EC3" s="171"/>
      <c r="ED3" s="171"/>
      <c r="EE3" s="171"/>
      <c r="EF3" s="171"/>
      <c r="EG3" s="171"/>
      <c r="EH3" s="171"/>
      <c r="EI3" s="171"/>
      <c r="EJ3" s="171"/>
      <c r="EK3" s="171"/>
      <c r="EL3" s="171"/>
      <c r="EM3" s="171"/>
      <c r="EN3" s="171"/>
      <c r="EO3" s="171"/>
      <c r="EP3" s="171"/>
      <c r="EQ3" s="171"/>
      <c r="ER3" s="171"/>
      <c r="ES3" s="171"/>
      <c r="ET3" s="171"/>
      <c r="EU3" s="171"/>
      <c r="EV3" s="171"/>
      <c r="EW3" s="171"/>
      <c r="EX3" s="171"/>
      <c r="EY3" s="171"/>
      <c r="EZ3" s="171"/>
      <c r="FA3" s="171"/>
      <c r="FB3" s="171"/>
      <c r="FC3" s="172"/>
      <c r="FD3" s="114" t="s">
        <v>411</v>
      </c>
      <c r="FE3" s="170" t="s">
        <v>20</v>
      </c>
      <c r="FF3" s="171"/>
      <c r="FG3" s="172"/>
      <c r="FH3" s="184"/>
      <c r="FI3" s="171"/>
      <c r="FJ3" s="171"/>
      <c r="FK3" s="171"/>
      <c r="FL3" s="171"/>
      <c r="FM3" s="171"/>
      <c r="FN3" s="171"/>
      <c r="FO3" s="171"/>
      <c r="FP3" s="171"/>
      <c r="FQ3" s="171"/>
      <c r="FR3" s="171"/>
      <c r="FS3" s="171"/>
      <c r="FT3" s="171"/>
      <c r="FU3" s="171"/>
      <c r="FV3" s="171"/>
      <c r="FW3" s="171"/>
      <c r="FX3" s="171"/>
      <c r="FY3" s="171"/>
      <c r="FZ3" s="171"/>
      <c r="GA3" s="171"/>
      <c r="GB3" s="171"/>
      <c r="GC3" s="171"/>
      <c r="GD3" s="171"/>
      <c r="GE3" s="171"/>
      <c r="GF3" s="171"/>
      <c r="GG3" s="171"/>
      <c r="GH3" s="171"/>
      <c r="GI3" s="171"/>
      <c r="GJ3" s="171"/>
      <c r="GK3" s="171"/>
      <c r="GL3" s="171"/>
      <c r="GM3" s="172"/>
      <c r="GN3" s="114" t="s">
        <v>411</v>
      </c>
      <c r="GO3" s="170" t="s">
        <v>20</v>
      </c>
      <c r="GP3" s="171"/>
      <c r="GQ3" s="172"/>
      <c r="GR3" s="184"/>
      <c r="GS3" s="171"/>
      <c r="GT3" s="171"/>
      <c r="GU3" s="171"/>
      <c r="GV3" s="171"/>
      <c r="GW3" s="171"/>
      <c r="GX3" s="171"/>
      <c r="GY3" s="171"/>
      <c r="GZ3" s="171"/>
      <c r="HA3" s="171"/>
      <c r="HB3" s="171"/>
      <c r="HC3" s="171"/>
      <c r="HD3" s="171"/>
      <c r="HE3" s="171"/>
      <c r="HF3" s="171"/>
      <c r="HG3" s="171"/>
      <c r="HH3" s="171"/>
      <c r="HI3" s="171"/>
      <c r="HJ3" s="171"/>
      <c r="HK3" s="171"/>
      <c r="HL3" s="171"/>
      <c r="HM3" s="171"/>
      <c r="HN3" s="171"/>
      <c r="HO3" s="171"/>
      <c r="HP3" s="171"/>
      <c r="HQ3" s="171"/>
      <c r="HR3" s="171"/>
      <c r="HS3" s="171"/>
      <c r="HT3" s="171"/>
      <c r="HU3" s="171"/>
      <c r="HV3" s="171"/>
      <c r="HW3" s="172"/>
      <c r="HX3" s="114" t="s">
        <v>411</v>
      </c>
      <c r="HY3" s="170" t="s">
        <v>20</v>
      </c>
      <c r="HZ3" s="171"/>
      <c r="IA3" s="172"/>
      <c r="IB3" s="113" t="s">
        <v>17</v>
      </c>
      <c r="IC3" s="173" t="s">
        <v>20</v>
      </c>
      <c r="ID3" s="171"/>
      <c r="IE3" s="172"/>
    </row>
    <row r="4" spans="1:239" x14ac:dyDescent="0.25">
      <c r="A4" s="8" t="s">
        <v>21</v>
      </c>
      <c r="B4" s="8" t="s">
        <v>18</v>
      </c>
      <c r="C4" s="112"/>
      <c r="D4" s="162"/>
      <c r="E4" s="163"/>
      <c r="F4" s="164"/>
      <c r="G4" s="7"/>
      <c r="H4" s="162"/>
      <c r="I4" s="163"/>
      <c r="J4" s="164"/>
      <c r="K4" s="7"/>
      <c r="L4" s="162"/>
      <c r="M4" s="163"/>
      <c r="N4" s="164"/>
      <c r="O4" s="5"/>
      <c r="P4" s="162"/>
      <c r="Q4" s="163"/>
      <c r="R4" s="164"/>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62"/>
      <c r="BB4" s="163"/>
      <c r="BC4" s="164"/>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62"/>
      <c r="CL4" s="163"/>
      <c r="CM4" s="164"/>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62"/>
      <c r="DV4" s="163"/>
      <c r="DW4" s="164"/>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62"/>
      <c r="FF4" s="163"/>
      <c r="FG4" s="164"/>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62"/>
      <c r="GP4" s="163"/>
      <c r="GQ4" s="164"/>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62"/>
      <c r="HZ4" s="163"/>
      <c r="IA4" s="164"/>
      <c r="IB4" s="8"/>
      <c r="IC4" s="162"/>
      <c r="ID4" s="163"/>
      <c r="IE4" s="164"/>
    </row>
    <row r="5" spans="1:239" x14ac:dyDescent="0.25">
      <c r="A5" s="8">
        <v>0</v>
      </c>
      <c r="B5" s="8" t="str">
        <f t="shared" ref="B5:B24" si="0">IF($IB5&lt;&gt;"", $IB5, "")</f>
        <v>HOME</v>
      </c>
      <c r="C5" s="47"/>
      <c r="D5" s="22" t="s">
        <v>392</v>
      </c>
      <c r="E5" s="23">
        <v>0</v>
      </c>
      <c r="F5" s="112" t="s">
        <v>22</v>
      </c>
      <c r="G5" s="129">
        <v>0</v>
      </c>
      <c r="H5" s="22" t="s">
        <v>393</v>
      </c>
      <c r="I5" s="23">
        <v>0</v>
      </c>
      <c r="J5" s="112" t="s">
        <v>22</v>
      </c>
      <c r="K5" s="129">
        <v>0</v>
      </c>
      <c r="L5" s="22" t="s">
        <v>394</v>
      </c>
      <c r="M5" s="23">
        <v>0</v>
      </c>
      <c r="N5" s="112" t="s">
        <v>22</v>
      </c>
      <c r="O5" s="132">
        <v>0</v>
      </c>
      <c r="P5" s="22" t="s">
        <v>395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397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399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401</v>
      </c>
      <c r="HZ5" s="23">
        <v>0</v>
      </c>
      <c r="IA5" s="112" t="s">
        <v>22</v>
      </c>
      <c r="IB5" s="10" t="s">
        <v>206</v>
      </c>
      <c r="IC5" s="22" t="s">
        <v>402</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RO_Data[6].COND1[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ADDING CHEMICALS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RO_Data[6].COND1[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RO_Data[6].COND3[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227</v>
      </c>
      <c r="IC8" s="6" t="str">
        <f t="shared" si="12"/>
        <v>RO_Data[6].STEP_DESC[</v>
      </c>
      <c r="ID8" s="23">
        <f t="shared" si="23"/>
        <v>3</v>
      </c>
      <c r="IE8" s="112" t="s">
        <v>22</v>
      </c>
    </row>
    <row r="9" spans="1:239" x14ac:dyDescent="0.25">
      <c r="A9" s="8">
        <v>4</v>
      </c>
      <c r="B9" s="8" t="str">
        <f t="shared" si="0"/>
        <v>CHECK PH - HOLD FOR ACKNOWLEDGE</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RO_Data[6].COND1[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RO_Data[6].COND3[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v>1</v>
      </c>
      <c r="HL9" s="19">
        <v>1</v>
      </c>
      <c r="HM9" s="19">
        <v>1</v>
      </c>
      <c r="HN9" s="19">
        <v>1</v>
      </c>
      <c r="HO9" s="19">
        <v>1</v>
      </c>
      <c r="HP9" s="19"/>
      <c r="HQ9" s="19"/>
      <c r="HR9" s="19"/>
      <c r="HS9" s="19"/>
      <c r="HT9" s="19"/>
      <c r="HU9" s="19"/>
      <c r="HV9" s="19"/>
      <c r="HW9" s="20"/>
      <c r="HX9" s="8" cm="1">
        <f t="array" ref="HX9">Bin2DecRange($GR9:$HW9)</f>
        <v>16128</v>
      </c>
      <c r="HY9" s="6" t="str">
        <f t="shared" si="11"/>
        <v>RO_Data[6].ACT6[</v>
      </c>
      <c r="HZ9" s="23">
        <f t="shared" si="22"/>
        <v>4</v>
      </c>
      <c r="IA9" s="112" t="s">
        <v>22</v>
      </c>
      <c r="IB9" s="10" t="s">
        <v>344</v>
      </c>
      <c r="IC9" s="6" t="str">
        <f t="shared" si="12"/>
        <v>RO_Data[6].STEP_DESC[</v>
      </c>
      <c r="ID9" s="23">
        <f t="shared" si="23"/>
        <v>4</v>
      </c>
      <c r="IE9" s="112" t="s">
        <v>22</v>
      </c>
    </row>
    <row r="10" spans="1:239" x14ac:dyDescent="0.25">
      <c r="A10" s="8">
        <v>5</v>
      </c>
      <c r="B10" s="8" t="str">
        <f t="shared" si="0"/>
        <v>SANITIZE</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v>1</v>
      </c>
      <c r="HL10" s="19">
        <v>1</v>
      </c>
      <c r="HM10" s="19">
        <v>1</v>
      </c>
      <c r="HN10" s="19">
        <v>1</v>
      </c>
      <c r="HO10" s="19">
        <v>1</v>
      </c>
      <c r="HP10" s="19"/>
      <c r="HQ10" s="19"/>
      <c r="HR10" s="19"/>
      <c r="HS10" s="19"/>
      <c r="HT10" s="19"/>
      <c r="HU10" s="19"/>
      <c r="HV10" s="19"/>
      <c r="HW10" s="20"/>
      <c r="HX10" s="8" cm="1">
        <f t="array" ref="HX10">Bin2DecRange($GR10:$HW10)</f>
        <v>16128</v>
      </c>
      <c r="HY10" s="6" t="str">
        <f t="shared" si="11"/>
        <v>RO_Data[6].ACT6[</v>
      </c>
      <c r="HZ10" s="23">
        <f t="shared" si="22"/>
        <v>5</v>
      </c>
      <c r="IA10" s="112" t="s">
        <v>22</v>
      </c>
      <c r="IB10" s="10" t="s">
        <v>111</v>
      </c>
      <c r="IC10" s="6" t="str">
        <f t="shared" si="12"/>
        <v>RO_Data[6].STEP_DESC[</v>
      </c>
      <c r="ID10" s="23">
        <f t="shared" si="23"/>
        <v>5</v>
      </c>
      <c r="IE10" s="112" t="s">
        <v>22</v>
      </c>
    </row>
    <row r="11" spans="1:239" x14ac:dyDescent="0.25">
      <c r="A11" s="8">
        <v>6</v>
      </c>
      <c r="B11" s="8" t="str">
        <f t="shared" si="0"/>
        <v>PUMPING DOWN FEED TANK</v>
      </c>
      <c r="C11" s="47"/>
      <c r="D11" s="6" t="str">
        <f t="shared" si="1"/>
        <v>RO_Data[6].ACK_DESC[</v>
      </c>
      <c r="E11" s="23">
        <f t="shared" si="13"/>
        <v>6</v>
      </c>
      <c r="F11" s="112" t="s">
        <v>22</v>
      </c>
      <c r="G11" s="129">
        <v>0</v>
      </c>
      <c r="H11" s="6" t="str">
        <f t="shared" si="2"/>
        <v>RO_Data[6].MIN[</v>
      </c>
      <c r="I11" s="23">
        <f t="shared" si="14"/>
        <v>6</v>
      </c>
      <c r="J11" s="112" t="s">
        <v>22</v>
      </c>
      <c r="K11" s="129">
        <v>1</v>
      </c>
      <c r="L11" s="6" t="str">
        <f t="shared" si="3"/>
        <v>RO_Data[6].SEC[</v>
      </c>
      <c r="M11" s="23">
        <f t="shared" si="15"/>
        <v>6</v>
      </c>
      <c r="N11" s="112" t="s">
        <v>22</v>
      </c>
      <c r="O11" s="132">
        <v>0</v>
      </c>
      <c r="P11" s="6" t="str">
        <f t="shared" si="4"/>
        <v>RO_Data[6].SETPOINT[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RO_Data[6].COND1[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RO_Data[6].COND3[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RO_Data[6].ACT5[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RO_Data[6].ACT6[</v>
      </c>
      <c r="HZ11" s="23">
        <f t="shared" si="22"/>
        <v>6</v>
      </c>
      <c r="IA11" s="112" t="s">
        <v>22</v>
      </c>
      <c r="IB11" s="10" t="s">
        <v>228</v>
      </c>
      <c r="IC11" s="6" t="str">
        <f t="shared" si="12"/>
        <v>RO_Data[6].STEP_DESC[</v>
      </c>
      <c r="ID11" s="23">
        <f t="shared" si="23"/>
        <v>6</v>
      </c>
      <c r="IE11" s="112" t="s">
        <v>22</v>
      </c>
    </row>
    <row r="12" spans="1:239" x14ac:dyDescent="0.25">
      <c r="A12" s="8">
        <v>7</v>
      </c>
      <c r="B12" s="8" t="str">
        <f t="shared" si="0"/>
        <v>DRAINING BALANCE TANKS</v>
      </c>
      <c r="C12" s="47"/>
      <c r="D12" s="6" t="str">
        <f t="shared" si="1"/>
        <v>RO_Data[6].ACK_DESC[</v>
      </c>
      <c r="E12" s="23">
        <f t="shared" si="13"/>
        <v>7</v>
      </c>
      <c r="F12" s="112" t="s">
        <v>22</v>
      </c>
      <c r="G12" s="129">
        <v>0</v>
      </c>
      <c r="H12" s="6" t="str">
        <f t="shared" si="2"/>
        <v>RO_Data[6].MIN[</v>
      </c>
      <c r="I12" s="23">
        <f t="shared" si="14"/>
        <v>7</v>
      </c>
      <c r="J12" s="112" t="s">
        <v>22</v>
      </c>
      <c r="K12" s="129">
        <v>1</v>
      </c>
      <c r="L12" s="6" t="str">
        <f t="shared" si="3"/>
        <v>RO_Data[6].SEC[</v>
      </c>
      <c r="M12" s="23">
        <f t="shared" si="15"/>
        <v>7</v>
      </c>
      <c r="N12" s="112" t="s">
        <v>22</v>
      </c>
      <c r="O12" s="132">
        <v>0</v>
      </c>
      <c r="P12" s="6" t="str">
        <f t="shared" si="4"/>
        <v>RO_Data[6].SETPOINT[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RO_Data[6].COND1[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t="s">
        <v>236</v>
      </c>
      <c r="IC12" s="6" t="str">
        <f t="shared" si="12"/>
        <v>RO_Data[6].STEP_DESC[</v>
      </c>
      <c r="ID12" s="23">
        <f t="shared" si="23"/>
        <v>7</v>
      </c>
      <c r="IE12" s="112" t="s">
        <v>22</v>
      </c>
    </row>
    <row r="13" spans="1:239" x14ac:dyDescent="0.25">
      <c r="A13" s="8">
        <v>8</v>
      </c>
      <c r="B13" s="8" t="str">
        <f t="shared" si="0"/>
        <v>FILLING FEED TANK TO SET POINT LEVEL</v>
      </c>
      <c r="C13" s="47"/>
      <c r="D13" s="6" t="str">
        <f t="shared" si="1"/>
        <v>RO_Data[6].ACK_DESC[</v>
      </c>
      <c r="E13" s="23">
        <f t="shared" si="13"/>
        <v>8</v>
      </c>
      <c r="F13" s="112" t="s">
        <v>22</v>
      </c>
      <c r="G13" s="129">
        <v>0</v>
      </c>
      <c r="H13" s="6" t="str">
        <f t="shared" si="2"/>
        <v>RO_Data[6].MIN[</v>
      </c>
      <c r="I13" s="23">
        <f t="shared" si="14"/>
        <v>8</v>
      </c>
      <c r="J13" s="112" t="s">
        <v>22</v>
      </c>
      <c r="K13" s="129">
        <v>1</v>
      </c>
      <c r="L13" s="6" t="str">
        <f t="shared" si="3"/>
        <v>RO_Data[6].SEC[</v>
      </c>
      <c r="M13" s="23">
        <f t="shared" si="15"/>
        <v>8</v>
      </c>
      <c r="N13" s="112" t="s">
        <v>22</v>
      </c>
      <c r="O13" s="132">
        <v>0</v>
      </c>
      <c r="P13" s="6" t="str">
        <f t="shared" si="4"/>
        <v>RO_Data[6].SETPOINT[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t="s">
        <v>224</v>
      </c>
      <c r="IC13" s="6" t="str">
        <f t="shared" si="12"/>
        <v>RO_Data[6].STEP_DESC[</v>
      </c>
      <c r="ID13" s="23">
        <f t="shared" si="23"/>
        <v>8</v>
      </c>
      <c r="IE13" s="112" t="s">
        <v>22</v>
      </c>
    </row>
    <row r="14" spans="1:239" x14ac:dyDescent="0.25">
      <c r="A14" s="8">
        <v>9</v>
      </c>
      <c r="B14" s="8" t="str">
        <f t="shared" si="0"/>
        <v>STARTING PUMPS</v>
      </c>
      <c r="C14" s="47"/>
      <c r="D14" s="6" t="str">
        <f t="shared" si="1"/>
        <v>RO_Data[6].ACK_DESC[</v>
      </c>
      <c r="E14" s="23">
        <f t="shared" si="13"/>
        <v>9</v>
      </c>
      <c r="F14" s="112" t="s">
        <v>22</v>
      </c>
      <c r="G14" s="129">
        <v>0</v>
      </c>
      <c r="H14" s="6" t="str">
        <f t="shared" si="2"/>
        <v>RO_Data[6].MIN[</v>
      </c>
      <c r="I14" s="23">
        <f t="shared" si="14"/>
        <v>9</v>
      </c>
      <c r="J14" s="112" t="s">
        <v>22</v>
      </c>
      <c r="K14" s="129">
        <v>30</v>
      </c>
      <c r="L14" s="6" t="str">
        <f t="shared" si="3"/>
        <v>RO_Data[6].SEC[</v>
      </c>
      <c r="M14" s="23">
        <f t="shared" si="15"/>
        <v>9</v>
      </c>
      <c r="N14" s="112" t="s">
        <v>22</v>
      </c>
      <c r="O14" s="132">
        <v>0</v>
      </c>
      <c r="P14" s="6" t="str">
        <f t="shared" si="4"/>
        <v>RO_Data[6].SETPOINT[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RO_Data[6].COND1[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t="s">
        <v>225</v>
      </c>
      <c r="IC14" s="6" t="str">
        <f t="shared" si="12"/>
        <v>RO_Data[6].STEP_DESC[</v>
      </c>
      <c r="ID14" s="23">
        <f t="shared" si="23"/>
        <v>9</v>
      </c>
      <c r="IE14" s="112" t="s">
        <v>22</v>
      </c>
    </row>
    <row r="15" spans="1:239" x14ac:dyDescent="0.25">
      <c r="A15" s="8">
        <v>10</v>
      </c>
      <c r="B15" s="8" t="str">
        <f t="shared" si="0"/>
        <v>RINSING STAGES</v>
      </c>
      <c r="C15" s="47"/>
      <c r="D15" s="6" t="str">
        <f t="shared" si="1"/>
        <v>RO_Data[6].ACK_DESC[</v>
      </c>
      <c r="E15" s="23">
        <f t="shared" si="13"/>
        <v>10</v>
      </c>
      <c r="F15" s="112" t="s">
        <v>22</v>
      </c>
      <c r="G15" s="129">
        <v>0</v>
      </c>
      <c r="H15" s="6" t="str">
        <f t="shared" si="2"/>
        <v>RO_Data[6].MIN[</v>
      </c>
      <c r="I15" s="23">
        <f t="shared" si="14"/>
        <v>10</v>
      </c>
      <c r="J15" s="112" t="s">
        <v>22</v>
      </c>
      <c r="K15" s="129">
        <v>1</v>
      </c>
      <c r="L15" s="6" t="str">
        <f t="shared" si="3"/>
        <v>RO_Data[6].SEC[</v>
      </c>
      <c r="M15" s="23">
        <f t="shared" si="15"/>
        <v>10</v>
      </c>
      <c r="N15" s="112" t="s">
        <v>22</v>
      </c>
      <c r="O15" s="132">
        <v>0</v>
      </c>
      <c r="P15" s="6" t="str">
        <f t="shared" si="4"/>
        <v>RO_Data[6].SETPOINT[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RO_Data[6].COND1[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RO_Data[6].COND3[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t="s">
        <v>226</v>
      </c>
      <c r="IC15" s="6" t="str">
        <f t="shared" si="12"/>
        <v>RO_Data[6].STEP_DESC[</v>
      </c>
      <c r="ID15" s="23">
        <f t="shared" si="23"/>
        <v>10</v>
      </c>
      <c r="IE15" s="112" t="s">
        <v>22</v>
      </c>
    </row>
    <row r="16" spans="1:239" x14ac:dyDescent="0.25">
      <c r="A16" s="8">
        <v>11</v>
      </c>
      <c r="B16" s="8" t="str">
        <f t="shared" si="0"/>
        <v>PUMPING DOWN FEED TANK</v>
      </c>
      <c r="C16" s="47"/>
      <c r="D16" s="6" t="str">
        <f t="shared" si="1"/>
        <v>RO_Data[6].ACK_DESC[</v>
      </c>
      <c r="E16" s="23">
        <f t="shared" si="13"/>
        <v>11</v>
      </c>
      <c r="F16" s="112" t="s">
        <v>22</v>
      </c>
      <c r="G16" s="129">
        <v>0</v>
      </c>
      <c r="H16" s="6" t="str">
        <f t="shared" si="2"/>
        <v>RO_Data[6].MIN[</v>
      </c>
      <c r="I16" s="23">
        <f t="shared" si="14"/>
        <v>11</v>
      </c>
      <c r="J16" s="112" t="s">
        <v>22</v>
      </c>
      <c r="K16" s="129">
        <v>1</v>
      </c>
      <c r="L16" s="6" t="str">
        <f t="shared" si="3"/>
        <v>RO_Data[6].SEC[</v>
      </c>
      <c r="M16" s="23">
        <f t="shared" si="15"/>
        <v>11</v>
      </c>
      <c r="N16" s="112" t="s">
        <v>22</v>
      </c>
      <c r="O16" s="132">
        <v>0</v>
      </c>
      <c r="P16" s="6" t="str">
        <f t="shared" si="4"/>
        <v>RO_Data[6].SETPOINT[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RO_Data[6].COND1[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RO_Data[6].COND3[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t="s">
        <v>228</v>
      </c>
      <c r="IC16" s="6" t="str">
        <f t="shared" si="12"/>
        <v>RO_Data[6].STEP_DESC[</v>
      </c>
      <c r="ID16" s="23">
        <f t="shared" si="23"/>
        <v>11</v>
      </c>
      <c r="IE16" s="112" t="s">
        <v>22</v>
      </c>
    </row>
    <row r="17" spans="1:239" x14ac:dyDescent="0.25">
      <c r="A17" s="8">
        <v>12</v>
      </c>
      <c r="B17" s="8" t="str">
        <f t="shared" si="0"/>
        <v>DRAINING FEED TANK</v>
      </c>
      <c r="C17" s="47"/>
      <c r="D17" s="6" t="str">
        <f t="shared" si="1"/>
        <v>RO_Data[6].ACK_DESC[</v>
      </c>
      <c r="E17" s="23">
        <f t="shared" si="13"/>
        <v>12</v>
      </c>
      <c r="F17" s="112" t="s">
        <v>22</v>
      </c>
      <c r="G17" s="129">
        <v>0</v>
      </c>
      <c r="H17" s="6" t="str">
        <f t="shared" si="2"/>
        <v>RO_Data[6].MIN[</v>
      </c>
      <c r="I17" s="23">
        <f t="shared" si="14"/>
        <v>12</v>
      </c>
      <c r="J17" s="112" t="s">
        <v>22</v>
      </c>
      <c r="K17" s="129">
        <v>1</v>
      </c>
      <c r="L17" s="6" t="str">
        <f t="shared" si="3"/>
        <v>RO_Data[6].SEC[</v>
      </c>
      <c r="M17" s="23">
        <f t="shared" si="15"/>
        <v>12</v>
      </c>
      <c r="N17" s="112" t="s">
        <v>22</v>
      </c>
      <c r="O17" s="132">
        <v>0</v>
      </c>
      <c r="P17" s="6" t="str">
        <f t="shared" si="4"/>
        <v>RO_Data[6].SETPOINT[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RO_Data[6].COND1[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t="s">
        <v>229</v>
      </c>
      <c r="IC17" s="6" t="str">
        <f t="shared" si="12"/>
        <v>RO_Data[6].STEP_DESC[</v>
      </c>
      <c r="ID17" s="23">
        <f t="shared" si="23"/>
        <v>12</v>
      </c>
      <c r="IE17" s="112" t="s">
        <v>22</v>
      </c>
    </row>
    <row r="18" spans="1:239" x14ac:dyDescent="0.25">
      <c r="A18" s="8">
        <v>13</v>
      </c>
      <c r="B18" s="8" t="str">
        <f t="shared" si="0"/>
        <v>CYCLE COMPLETE</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t="s">
        <v>223</v>
      </c>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237</v>
      </c>
    </row>
    <row r="3" spans="2:2" ht="15" x14ac:dyDescent="0.2">
      <c r="B3" s="60"/>
    </row>
    <row r="4" spans="2:2" ht="14.25" x14ac:dyDescent="0.2">
      <c r="B4" s="62" t="s">
        <v>238</v>
      </c>
    </row>
    <row r="5" spans="2:2" ht="15" x14ac:dyDescent="0.2">
      <c r="B5" s="63" t="s">
        <v>239</v>
      </c>
    </row>
    <row r="6" spans="2:2" ht="15" x14ac:dyDescent="0.2">
      <c r="B6" s="63" t="s">
        <v>240</v>
      </c>
    </row>
    <row r="7" spans="2:2" ht="15" x14ac:dyDescent="0.2">
      <c r="B7" s="63" t="s">
        <v>241</v>
      </c>
    </row>
    <row r="8" spans="2:2" ht="15" x14ac:dyDescent="0.2">
      <c r="B8" s="63" t="s">
        <v>242</v>
      </c>
    </row>
    <row r="9" spans="2:2" ht="15" x14ac:dyDescent="0.2">
      <c r="B9" s="63" t="s">
        <v>243</v>
      </c>
    </row>
    <row r="10" spans="2:2" ht="15" x14ac:dyDescent="0.2">
      <c r="B10" s="63" t="s">
        <v>244</v>
      </c>
    </row>
    <row r="11" spans="2:2" ht="15" x14ac:dyDescent="0.2">
      <c r="B11" s="63" t="s">
        <v>245</v>
      </c>
    </row>
    <row r="12" spans="2:2" ht="15" x14ac:dyDescent="0.2">
      <c r="B12" s="63" t="s">
        <v>246</v>
      </c>
    </row>
    <row r="13" spans="2:2" ht="15" x14ac:dyDescent="0.2">
      <c r="B13" s="63" t="s">
        <v>247</v>
      </c>
    </row>
    <row r="14" spans="2:2" ht="15" x14ac:dyDescent="0.2">
      <c r="B14" s="63" t="s">
        <v>248</v>
      </c>
    </row>
    <row r="15" spans="2:2" ht="15" x14ac:dyDescent="0.2">
      <c r="B15" s="63" t="s">
        <v>249</v>
      </c>
    </row>
    <row r="16" spans="2:2" ht="15" x14ac:dyDescent="0.2">
      <c r="B16" s="63" t="s">
        <v>250</v>
      </c>
    </row>
    <row r="17" spans="2:3" ht="15" x14ac:dyDescent="0.2">
      <c r="B17" s="63" t="s">
        <v>251</v>
      </c>
    </row>
    <row r="18" spans="2:3" ht="15" x14ac:dyDescent="0.2">
      <c r="B18" s="63" t="s">
        <v>252</v>
      </c>
    </row>
    <row r="19" spans="2:3" ht="15" x14ac:dyDescent="0.2">
      <c r="B19" s="63" t="s">
        <v>253</v>
      </c>
      <c r="C19" s="63"/>
    </row>
    <row r="20" spans="2:3" ht="15" x14ac:dyDescent="0.2">
      <c r="B20" s="63" t="s">
        <v>254</v>
      </c>
    </row>
    <row r="21" spans="2:3" ht="15" x14ac:dyDescent="0.2">
      <c r="B21" s="63" t="s">
        <v>255</v>
      </c>
    </row>
    <row r="22" spans="2:3" ht="15" x14ac:dyDescent="0.2">
      <c r="B22" s="63" t="s">
        <v>256</v>
      </c>
    </row>
    <row r="23" spans="2:3" ht="15" x14ac:dyDescent="0.2">
      <c r="B23" s="63" t="s">
        <v>257</v>
      </c>
      <c r="C23" s="64"/>
    </row>
    <row r="24" spans="2:3" ht="15" x14ac:dyDescent="0.2">
      <c r="B24" s="63" t="s">
        <v>258</v>
      </c>
    </row>
    <row r="25" spans="2:3" ht="15" x14ac:dyDescent="0.2">
      <c r="B25" s="63" t="s">
        <v>259</v>
      </c>
    </row>
    <row r="26" spans="2:3" ht="15" x14ac:dyDescent="0.2">
      <c r="B26" s="63" t="s">
        <v>260</v>
      </c>
    </row>
    <row r="27" spans="2:3" ht="15" x14ac:dyDescent="0.2">
      <c r="B27" s="63" t="s">
        <v>261</v>
      </c>
    </row>
    <row r="28" spans="2:3" ht="15" x14ac:dyDescent="0.2">
      <c r="B28" s="63" t="s">
        <v>262</v>
      </c>
    </row>
    <row r="29" spans="2:3" ht="15" x14ac:dyDescent="0.2">
      <c r="B29" s="63" t="s">
        <v>263</v>
      </c>
    </row>
    <row r="30" spans="2:3" ht="15" x14ac:dyDescent="0.2">
      <c r="B30" s="63" t="s">
        <v>264</v>
      </c>
    </row>
    <row r="31" spans="2:3" ht="15" x14ac:dyDescent="0.2">
      <c r="B31" s="63" t="s">
        <v>265</v>
      </c>
    </row>
    <row r="32" spans="2:3" ht="15" x14ac:dyDescent="0.2">
      <c r="B32" s="63" t="s">
        <v>266</v>
      </c>
    </row>
    <row r="33" spans="2:3" ht="15" x14ac:dyDescent="0.2">
      <c r="B33" s="63" t="s">
        <v>267</v>
      </c>
    </row>
    <row r="34" spans="2:3" ht="15" x14ac:dyDescent="0.2">
      <c r="B34" s="63" t="s">
        <v>268</v>
      </c>
    </row>
    <row r="35" spans="2:3" ht="15" x14ac:dyDescent="0.2">
      <c r="B35" s="63" t="s">
        <v>269</v>
      </c>
    </row>
    <row r="36" spans="2:3" ht="15" x14ac:dyDescent="0.2">
      <c r="B36" s="65"/>
    </row>
    <row r="37" spans="2:3" ht="14.25" x14ac:dyDescent="0.2">
      <c r="B37" s="62" t="s">
        <v>270</v>
      </c>
    </row>
    <row r="38" spans="2:3" ht="15" x14ac:dyDescent="0.2">
      <c r="B38" s="63" t="s">
        <v>271</v>
      </c>
      <c r="C38" s="63"/>
    </row>
    <row r="39" spans="2:3" ht="15" x14ac:dyDescent="0.2">
      <c r="B39" s="63" t="s">
        <v>272</v>
      </c>
    </row>
    <row r="40" spans="2:3" ht="15" x14ac:dyDescent="0.2">
      <c r="B40" s="63" t="s">
        <v>273</v>
      </c>
    </row>
    <row r="41" spans="2:3" ht="15" x14ac:dyDescent="0.2">
      <c r="B41" s="63" t="s">
        <v>274</v>
      </c>
      <c r="C41" s="63"/>
    </row>
    <row r="42" spans="2:3" ht="15" x14ac:dyDescent="0.2">
      <c r="B42" s="63" t="s">
        <v>275</v>
      </c>
    </row>
    <row r="43" spans="2:3" ht="15" x14ac:dyDescent="0.2">
      <c r="B43" s="63" t="s">
        <v>276</v>
      </c>
    </row>
    <row r="44" spans="2:3" ht="15" x14ac:dyDescent="0.2">
      <c r="B44" s="63" t="s">
        <v>277</v>
      </c>
    </row>
    <row r="45" spans="2:3" ht="15" x14ac:dyDescent="0.2">
      <c r="B45" s="63" t="s">
        <v>278</v>
      </c>
    </row>
    <row r="46" spans="2:3" ht="15" x14ac:dyDescent="0.2">
      <c r="B46" s="63" t="s">
        <v>279</v>
      </c>
    </row>
    <row r="47" spans="2:3" ht="15" x14ac:dyDescent="0.2">
      <c r="B47" s="63" t="s">
        <v>280</v>
      </c>
    </row>
    <row r="48" spans="2:3" ht="15" x14ac:dyDescent="0.2">
      <c r="B48" s="63" t="s">
        <v>281</v>
      </c>
    </row>
    <row r="49" spans="2:3" ht="17.25" x14ac:dyDescent="0.2">
      <c r="B49" s="63" t="s">
        <v>282</v>
      </c>
    </row>
    <row r="50" spans="2:3" ht="17.25" x14ac:dyDescent="0.2">
      <c r="B50" s="63" t="s">
        <v>283</v>
      </c>
    </row>
    <row r="51" spans="2:3" ht="17.25" x14ac:dyDescent="0.2">
      <c r="B51" s="63" t="s">
        <v>284</v>
      </c>
    </row>
    <row r="52" spans="2:3" ht="15" x14ac:dyDescent="0.2">
      <c r="B52" s="63" t="s">
        <v>285</v>
      </c>
    </row>
    <row r="53" spans="2:3" ht="15" x14ac:dyDescent="0.2">
      <c r="B53" s="63" t="s">
        <v>286</v>
      </c>
      <c r="C53" s="64"/>
    </row>
    <row r="54" spans="2:3" ht="15" x14ac:dyDescent="0.2">
      <c r="B54" s="63" t="s">
        <v>287</v>
      </c>
    </row>
    <row r="55" spans="2:3" ht="15" x14ac:dyDescent="0.2">
      <c r="B55" s="63" t="s">
        <v>288</v>
      </c>
    </row>
    <row r="56" spans="2:3" ht="15" x14ac:dyDescent="0.2">
      <c r="B56" s="63" t="s">
        <v>289</v>
      </c>
    </row>
    <row r="57" spans="2:3" ht="17.25" x14ac:dyDescent="0.2">
      <c r="B57" s="63" t="s">
        <v>290</v>
      </c>
    </row>
    <row r="58" spans="2:3" ht="17.25" x14ac:dyDescent="0.2">
      <c r="B58" s="63" t="s">
        <v>291</v>
      </c>
    </row>
    <row r="59" spans="2:3" ht="17.25" x14ac:dyDescent="0.2">
      <c r="B59" s="63" t="s">
        <v>292</v>
      </c>
    </row>
    <row r="60" spans="2:3" ht="17.25" x14ac:dyDescent="0.2">
      <c r="B60" s="63" t="s">
        <v>293</v>
      </c>
    </row>
    <row r="61" spans="2:3" ht="15" x14ac:dyDescent="0.2">
      <c r="B61" s="63" t="s">
        <v>294</v>
      </c>
      <c r="C61" s="64"/>
    </row>
    <row r="62" spans="2:3" ht="15" x14ac:dyDescent="0.2">
      <c r="B62" s="63" t="s">
        <v>295</v>
      </c>
      <c r="C62" s="64"/>
    </row>
    <row r="63" spans="2:3" ht="15" x14ac:dyDescent="0.2">
      <c r="B63" s="63" t="s">
        <v>296</v>
      </c>
    </row>
    <row r="64" spans="2:3" ht="15" x14ac:dyDescent="0.2">
      <c r="B64" s="63" t="s">
        <v>297</v>
      </c>
    </row>
    <row r="65" spans="2:2" ht="15" x14ac:dyDescent="0.2">
      <c r="B65" s="63" t="s">
        <v>298</v>
      </c>
    </row>
    <row r="66" spans="2:2" ht="15" x14ac:dyDescent="0.2">
      <c r="B66" s="63" t="s">
        <v>299</v>
      </c>
    </row>
    <row r="67" spans="2:2" ht="15" x14ac:dyDescent="0.2">
      <c r="B67" s="63" t="s">
        <v>300</v>
      </c>
    </row>
    <row r="68" spans="2:2" ht="15" x14ac:dyDescent="0.2">
      <c r="B68" s="63" t="s">
        <v>301</v>
      </c>
    </row>
    <row r="69" spans="2:2" ht="15" x14ac:dyDescent="0.2">
      <c r="B69" s="63"/>
    </row>
    <row r="70" spans="2:2" ht="14.25" x14ac:dyDescent="0.2">
      <c r="B70" s="62" t="s">
        <v>302</v>
      </c>
    </row>
    <row r="71" spans="2:2" ht="15" x14ac:dyDescent="0.2">
      <c r="B71" s="63" t="s">
        <v>303</v>
      </c>
    </row>
    <row r="72" spans="2:2" ht="15" x14ac:dyDescent="0.2">
      <c r="B72" s="63" t="s">
        <v>304</v>
      </c>
    </row>
    <row r="73" spans="2:2" ht="15" x14ac:dyDescent="0.2">
      <c r="B73" s="63" t="s">
        <v>305</v>
      </c>
    </row>
    <row r="74" spans="2:2" ht="15" x14ac:dyDescent="0.2">
      <c r="B74" s="63" t="s">
        <v>306</v>
      </c>
    </row>
    <row r="75" spans="2:2" ht="15" x14ac:dyDescent="0.2">
      <c r="B75" s="63" t="s">
        <v>307</v>
      </c>
    </row>
    <row r="76" spans="2:2" ht="15" x14ac:dyDescent="0.2">
      <c r="B76" s="63" t="s">
        <v>308</v>
      </c>
    </row>
    <row r="77" spans="2:2" ht="15" x14ac:dyDescent="0.2">
      <c r="B77" s="63" t="s">
        <v>309</v>
      </c>
    </row>
    <row r="78" spans="2:2" ht="15" x14ac:dyDescent="0.2">
      <c r="B78" s="63" t="s">
        <v>310</v>
      </c>
    </row>
    <row r="79" spans="2:2" ht="15" x14ac:dyDescent="0.2">
      <c r="B79" s="63" t="s">
        <v>311</v>
      </c>
    </row>
    <row r="80" spans="2:2" ht="15" x14ac:dyDescent="0.2">
      <c r="B80" s="63" t="s">
        <v>312</v>
      </c>
    </row>
    <row r="81" spans="2:3" ht="15" x14ac:dyDescent="0.2">
      <c r="B81" s="63" t="s">
        <v>313</v>
      </c>
    </row>
    <row r="82" spans="2:3" ht="15" x14ac:dyDescent="0.2">
      <c r="B82" s="63" t="s">
        <v>314</v>
      </c>
    </row>
    <row r="83" spans="2:3" ht="15" x14ac:dyDescent="0.2">
      <c r="B83" s="63" t="s">
        <v>315</v>
      </c>
    </row>
    <row r="84" spans="2:3" ht="15" x14ac:dyDescent="0.2">
      <c r="B84" s="63" t="s">
        <v>316</v>
      </c>
    </row>
    <row r="85" spans="2:3" ht="15" x14ac:dyDescent="0.2">
      <c r="B85" s="63" t="s">
        <v>317</v>
      </c>
    </row>
    <row r="86" spans="2:3" ht="15" x14ac:dyDescent="0.2">
      <c r="B86" s="63" t="s">
        <v>318</v>
      </c>
    </row>
    <row r="87" spans="2:3" ht="15" x14ac:dyDescent="0.2">
      <c r="B87" s="63" t="s">
        <v>319</v>
      </c>
    </row>
    <row r="88" spans="2:3" ht="15" x14ac:dyDescent="0.2">
      <c r="B88" s="63" t="s">
        <v>320</v>
      </c>
    </row>
    <row r="89" spans="2:3" ht="15" x14ac:dyDescent="0.2">
      <c r="B89" s="63" t="s">
        <v>321</v>
      </c>
    </row>
    <row r="90" spans="2:3" ht="15" x14ac:dyDescent="0.2">
      <c r="B90" s="63" t="s">
        <v>322</v>
      </c>
    </row>
    <row r="91" spans="2:3" ht="15" x14ac:dyDescent="0.2">
      <c r="B91" s="63" t="s">
        <v>323</v>
      </c>
    </row>
    <row r="92" spans="2:3" ht="15" x14ac:dyDescent="0.2">
      <c r="B92" s="63" t="s">
        <v>324</v>
      </c>
    </row>
    <row r="93" spans="2:3" ht="15" x14ac:dyDescent="0.2">
      <c r="B93" s="63" t="s">
        <v>325</v>
      </c>
    </row>
    <row r="94" spans="2:3" ht="15" x14ac:dyDescent="0.2">
      <c r="B94" s="63" t="s">
        <v>326</v>
      </c>
    </row>
    <row r="95" spans="2:3" ht="15" x14ac:dyDescent="0.2">
      <c r="B95" s="63" t="s">
        <v>327</v>
      </c>
      <c r="C95" s="64"/>
    </row>
    <row r="96" spans="2:3" ht="15" x14ac:dyDescent="0.2">
      <c r="B96" s="63" t="s">
        <v>328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2020-10-27T19:11:16Z</dcterms:modified>
</cp:coreProperties>
</file>
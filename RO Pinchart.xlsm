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216F2119-6CAA-4542-B4FC-1D5F4CB9C258}" xr6:coauthVersionLast="45" xr6:coauthVersionMax="45" xr10:uidLastSave="{00000000-0000-0000-0000-000000000000}"/>
  <bookViews>
    <workbookView xWindow="-120" yWindow="-120" windowWidth="28905" windowHeight="13050"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ID6" i="2" l="1"/>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HX101" i="11" a="1"/>
  <c r="HX53" i="11" a="1"/>
  <c r="HX5" i="11" a="1"/>
  <c r="HX8" i="15" a="1"/>
  <c r="FD22" i="13" a="1"/>
  <c r="GN5" i="12" a="1"/>
  <c r="GN57" i="11" a="1"/>
  <c r="GN9" i="11" a="1"/>
  <c r="DT32" i="13" a="1"/>
  <c r="FD84" i="11" a="1"/>
  <c r="FD36" i="11" a="1"/>
  <c r="FD19" i="12" a="1"/>
  <c r="GN11" i="14" a="1"/>
  <c r="DT63" i="11" a="1"/>
  <c r="DT15" i="11" a="1"/>
  <c r="FD18" i="14" a="1"/>
  <c r="DT21" i="15" a="1"/>
  <c r="CJ73" i="11" a="1"/>
  <c r="CJ25" i="11" a="1"/>
  <c r="AZ8" i="13" a="1"/>
  <c r="CJ11" i="12" a="1"/>
  <c r="CJ14" i="14" a="1"/>
  <c r="AZ66" i="11" a="1"/>
  <c r="AZ18" i="11" a="1"/>
  <c r="AZ10" i="14" a="1"/>
  <c r="HX95" i="11" a="1"/>
  <c r="FD66" i="11" a="1"/>
  <c r="CJ79" i="11" a="1"/>
  <c r="HX24" i="13" a="1"/>
  <c r="HX76" i="11" a="1"/>
  <c r="HX28" i="11" a="1"/>
  <c r="HX11" i="12" a="1"/>
  <c r="GN14" i="13" a="1"/>
  <c r="GN28" i="12" a="1"/>
  <c r="GN80" i="11" a="1"/>
  <c r="GN32" i="11" a="1"/>
  <c r="HX24" i="14" a="1"/>
  <c r="DT7" i="13" a="1"/>
  <c r="FD59" i="11" a="1"/>
  <c r="FD11" i="11" a="1"/>
  <c r="FD14" i="15" a="1"/>
  <c r="DT86" i="11" a="1"/>
  <c r="DT38" i="11" a="1"/>
  <c r="CJ21" i="13" a="1"/>
  <c r="DT24" i="12" a="1"/>
  <c r="CJ96" i="11" a="1"/>
  <c r="CJ48" i="11" a="1"/>
  <c r="AZ31" i="13" a="1"/>
  <c r="CJ34" i="12" a="1"/>
  <c r="AZ17" i="12" a="1"/>
  <c r="AZ89" i="11" a="1"/>
  <c r="AZ41" i="11" a="1"/>
  <c r="AZ21" i="14" a="1"/>
  <c r="FD28" i="13" a="1"/>
  <c r="GN5" i="14" a="1"/>
  <c r="DT10" i="14" a="1"/>
  <c r="HX11" i="13" a="1"/>
  <c r="HX63" i="11" a="1"/>
  <c r="HX15" i="11" a="1"/>
  <c r="HX18" i="15" a="1"/>
  <c r="FD32" i="13" a="1"/>
  <c r="GN15" i="12" a="1"/>
  <c r="GN67" i="11" a="1"/>
  <c r="GN19" i="11" a="1"/>
  <c r="HX11" i="14" a="1"/>
  <c r="FD94" i="11" a="1"/>
  <c r="FD46" i="11" a="1"/>
  <c r="FD29" i="12" a="1"/>
  <c r="GN21" i="14" a="1"/>
  <c r="DT73" i="11" a="1"/>
  <c r="DT25" i="11" a="1"/>
  <c r="CJ8" i="13" a="1"/>
  <c r="DT11" i="12" a="1"/>
  <c r="CJ83" i="11" a="1"/>
  <c r="CJ35" i="11" a="1"/>
  <c r="AZ18" i="13" a="1"/>
  <c r="CJ21" i="12" a="1"/>
  <c r="CJ24" i="14" a="1"/>
  <c r="AZ76" i="11" a="1"/>
  <c r="AZ28" i="11" a="1"/>
  <c r="HX59" i="11" a="1"/>
  <c r="GN63" i="11" a="1"/>
  <c r="DT45" i="11" a="1"/>
  <c r="HX89" i="11" a="1"/>
  <c r="HX25" i="13" a="1"/>
  <c r="HX77" i="11" a="1"/>
  <c r="HX29" i="11" a="1"/>
  <c r="HX12" i="12" a="1"/>
  <c r="GN15" i="13" a="1"/>
  <c r="GN29" i="12" a="1"/>
  <c r="GN81" i="11" a="1"/>
  <c r="GN33" i="11" a="1"/>
  <c r="GN5" i="15" a="1"/>
  <c r="DT8" i="13" a="1"/>
  <c r="FD60" i="11" a="1"/>
  <c r="FD12" i="11" a="1"/>
  <c r="FD15" i="15" a="1"/>
  <c r="DT87" i="11" a="1"/>
  <c r="DT39" i="11" a="1"/>
  <c r="CJ22" i="13" a="1"/>
  <c r="DT25" i="12" a="1"/>
  <c r="CJ97" i="11" a="1"/>
  <c r="CJ49" i="11" a="1"/>
  <c r="AZ32" i="13" a="1"/>
  <c r="CJ35" i="12" a="1"/>
  <c r="AZ18" i="12" a="1"/>
  <c r="AZ90" i="11" a="1"/>
  <c r="AZ42" i="11" a="1"/>
  <c r="AZ14" i="15" a="1"/>
  <c r="AZ9" i="14" a="1"/>
  <c r="GN23" i="12" a="1"/>
  <c r="DT81" i="11" a="1"/>
  <c r="AZ96" i="11" a="1"/>
  <c r="HX100" i="11" a="1"/>
  <c r="HX52" i="11" a="1"/>
  <c r="HX35" i="12" a="1"/>
  <c r="HX7" i="15" a="1"/>
  <c r="FD21" i="13" a="1"/>
  <c r="GN104" i="11" a="1"/>
  <c r="GN56" i="11" a="1"/>
  <c r="GN8" i="11" a="1"/>
  <c r="DT31" i="13" a="1"/>
  <c r="FD83" i="11" a="1"/>
  <c r="FD35" i="11" a="1"/>
  <c r="FD18" i="12" a="1"/>
  <c r="GN10" i="14" a="1"/>
  <c r="DT62" i="11" a="1"/>
  <c r="DT14" i="11" a="1"/>
  <c r="FD17" i="14" a="1"/>
  <c r="DT20" i="15" a="1"/>
  <c r="CJ72" i="11" a="1"/>
  <c r="CJ24" i="11" a="1"/>
  <c r="AZ7" i="13" a="1"/>
  <c r="CJ10" i="12" a="1"/>
  <c r="CJ13" i="14" a="1"/>
  <c r="AZ65" i="11" a="1"/>
  <c r="AZ17" i="11" a="1"/>
  <c r="HX7" i="13" a="1"/>
  <c r="DT14" i="13" a="1"/>
  <c r="DT7" i="12" a="1"/>
  <c r="HX35" i="13" a="1"/>
  <c r="HX87" i="11" a="1"/>
  <c r="HX39" i="11" a="1"/>
  <c r="HX22" i="12" a="1"/>
  <c r="GN25" i="13" a="1"/>
  <c r="FD8" i="13" a="1"/>
  <c r="GN91" i="11" a="1"/>
  <c r="GN43" i="11" a="1"/>
  <c r="GN15" i="15" a="1"/>
  <c r="DT18" i="13" a="1"/>
  <c r="FD70" i="11" a="1"/>
  <c r="FD22" i="11" a="1"/>
  <c r="FD5" i="12" a="1"/>
  <c r="DT97" i="11" a="1"/>
  <c r="DT49" i="11" a="1"/>
  <c r="CJ32" i="13" a="1"/>
  <c r="DT35" i="12" a="1"/>
  <c r="DT7" i="15" a="1"/>
  <c r="CJ59" i="11" a="1"/>
  <c r="CJ11" i="11" a="1"/>
  <c r="DT14" i="14" a="1"/>
  <c r="HX13" i="13" a="1"/>
  <c r="HX65" i="11" a="1"/>
  <c r="HX17" i="11" a="1"/>
  <c r="HX20" i="15" a="1"/>
  <c r="FD34" i="13" a="1"/>
  <c r="GN17" i="12" a="1"/>
  <c r="GN69" i="11" a="1"/>
  <c r="GN21" i="11" a="1"/>
  <c r="HX13" i="14" a="1"/>
  <c r="FD96" i="11" a="1"/>
  <c r="FD48" i="11" a="1"/>
  <c r="FD31" i="12" a="1"/>
  <c r="GN23" i="14" a="1"/>
  <c r="DT75" i="11" a="1"/>
  <c r="DT27" i="11" a="1"/>
  <c r="CJ10" i="13" a="1"/>
  <c r="DT13" i="12" a="1"/>
  <c r="CJ85" i="11" a="1"/>
  <c r="CJ37" i="11" a="1"/>
  <c r="AZ20" i="13" a="1"/>
  <c r="CJ23" i="12" a="1"/>
  <c r="AZ6" i="12" a="1"/>
  <c r="AZ78" i="11" a="1"/>
  <c r="AZ30" i="11" a="1"/>
  <c r="AZ22" i="14" a="1"/>
  <c r="AZ12" i="15" a="1"/>
  <c r="GN39" i="11" a="1"/>
  <c r="FD24" i="14" a="1"/>
  <c r="AZ8" i="15" a="1"/>
  <c r="HX88" i="11" a="1"/>
  <c r="HX40" i="11" a="1"/>
  <c r="HX23" i="12" a="1"/>
  <c r="GN26" i="13" a="1"/>
  <c r="FD9" i="13" a="1"/>
  <c r="GN92" i="11" a="1"/>
  <c r="GN44" i="11" a="1"/>
  <c r="GN16" i="15" a="1"/>
  <c r="DT19" i="13" a="1"/>
  <c r="FD71" i="11" a="1"/>
  <c r="FD23" i="11" a="1"/>
  <c r="FD6" i="12" a="1"/>
  <c r="DT98" i="11" a="1"/>
  <c r="DT50" i="11" a="1"/>
  <c r="CJ33" i="13" a="1"/>
  <c r="FD5" i="14" a="1"/>
  <c r="DT8" i="15" a="1"/>
  <c r="CJ60" i="11" a="1"/>
  <c r="CJ12" i="11" a="1"/>
  <c r="DT15" i="14" a="1"/>
  <c r="AZ29" i="12" a="1"/>
  <c r="AZ101" i="11" a="1"/>
  <c r="AZ53" i="11" a="1"/>
  <c r="AZ5" i="11" a="1"/>
  <c r="HX30" i="12" a="1"/>
  <c r="FD18" i="11" a="1"/>
  <c r="CJ67" i="11" a="1"/>
  <c r="HX23" i="13" a="1"/>
  <c r="HX75" i="11" a="1"/>
  <c r="HX27" i="11" a="1"/>
  <c r="HX10" i="12" a="1"/>
  <c r="GN13" i="13" a="1"/>
  <c r="GN27" i="12" a="1"/>
  <c r="GN79" i="11" a="1"/>
  <c r="GN31" i="11" a="1"/>
  <c r="HX23" i="14" a="1"/>
  <c r="DT6" i="13" a="1"/>
  <c r="FD58" i="11" a="1"/>
  <c r="FD10" i="11" a="1"/>
  <c r="FD13" i="15" a="1"/>
  <c r="DT85" i="11" a="1"/>
  <c r="DT37" i="11" a="1"/>
  <c r="CJ20" i="13" a="1"/>
  <c r="DT23" i="12" a="1"/>
  <c r="CJ95" i="11" a="1"/>
  <c r="CJ47" i="11" a="1"/>
  <c r="AZ30" i="13" a="1"/>
  <c r="CJ33" i="12" a="1"/>
  <c r="AZ16" i="12" a="1"/>
  <c r="AZ88" i="11" a="1"/>
  <c r="AZ40" i="11" a="1"/>
  <c r="AZ8" i="14" a="1"/>
  <c r="FD16" i="13" a="1"/>
  <c r="GN17" i="14" a="1"/>
  <c r="CJ8" i="14" a="1"/>
  <c r="HX10" i="13" a="1"/>
  <c r="HX62" i="11" a="1"/>
  <c r="HX14" i="11" a="1"/>
  <c r="HX17" i="15" a="1"/>
  <c r="FD31" i="13" a="1"/>
  <c r="GN14" i="12" a="1"/>
  <c r="GN66" i="11" a="1"/>
  <c r="GN18" i="11" a="1"/>
  <c r="HX10" i="14" a="1"/>
  <c r="FD93" i="11" a="1"/>
  <c r="FD45" i="11" a="1"/>
  <c r="FD28" i="12" a="1"/>
  <c r="GN20" i="14" a="1"/>
  <c r="DT72" i="11" a="1"/>
  <c r="DT24" i="11" a="1"/>
  <c r="CJ7" i="13" a="1"/>
  <c r="DT10" i="12" a="1"/>
  <c r="CJ82" i="11" a="1"/>
  <c r="CJ34" i="11" a="1"/>
  <c r="AZ17" i="13" a="1"/>
  <c r="CJ20" i="12" a="1"/>
  <c r="CJ23" i="14" a="1"/>
  <c r="AZ75" i="11" a="1"/>
  <c r="AZ27" i="11" a="1"/>
  <c r="AZ19" i="14" a="1"/>
  <c r="HX83" i="11" a="1"/>
  <c r="GN99" i="11" a="1"/>
  <c r="FD9" i="15" a="1"/>
  <c r="CJ31" i="11" a="1"/>
  <c r="HX21" i="13" a="1"/>
  <c r="HX73" i="11" a="1"/>
  <c r="HX25" i="11" a="1"/>
  <c r="HX8" i="12" a="1"/>
  <c r="GN11" i="13" a="1"/>
  <c r="GN25" i="12" a="1"/>
  <c r="GN77" i="11" a="1"/>
  <c r="GN29" i="11" a="1"/>
  <c r="HX21" i="14" a="1"/>
  <c r="FD104" i="11" a="1"/>
  <c r="FD56" i="11" a="1"/>
  <c r="FD8" i="11" a="1"/>
  <c r="FD11" i="15" a="1"/>
  <c r="DT83" i="11" a="1"/>
  <c r="HX41" i="11" a="1"/>
  <c r="GN93" i="11" a="1"/>
  <c r="FD72" i="11" a="1"/>
  <c r="DT51" i="11" a="1"/>
  <c r="CJ61" i="11" a="1"/>
  <c r="AZ102" i="11" a="1"/>
  <c r="HX14" i="15" a="1"/>
  <c r="HX64" i="11" a="1"/>
  <c r="GN16" i="12" a="1"/>
  <c r="FD95" i="11" a="1"/>
  <c r="DT74" i="11" a="1"/>
  <c r="CJ84" i="11" a="1"/>
  <c r="AZ5" i="12" a="1"/>
  <c r="GN87" i="11" a="1"/>
  <c r="HX51" i="11" a="1"/>
  <c r="GN103" i="11" a="1"/>
  <c r="FD82" i="11" a="1"/>
  <c r="DT61" i="11" a="1"/>
  <c r="CJ71" i="11" a="1"/>
  <c r="AZ28" i="12" a="1"/>
  <c r="AZ52" i="11" a="1"/>
  <c r="HX6" i="12" a="1"/>
  <c r="AZ26" i="13" a="1"/>
  <c r="HX98" i="11" a="1"/>
  <c r="HX38" i="11" a="1"/>
  <c r="HX9" i="12" a="1"/>
  <c r="FD19" i="13" a="1"/>
  <c r="GN90" i="11" a="1"/>
  <c r="GN30" i="11" a="1"/>
  <c r="DT29" i="13" a="1"/>
  <c r="FD69" i="11" a="1"/>
  <c r="FD9" i="11" a="1"/>
  <c r="GN8" i="14" a="1"/>
  <c r="DT48" i="11" a="1"/>
  <c r="CJ19" i="13" a="1"/>
  <c r="DT18" i="15" a="1"/>
  <c r="CJ58" i="11" a="1"/>
  <c r="AZ29" i="13" a="1"/>
  <c r="CJ8" i="12" a="1"/>
  <c r="AZ99" i="11" a="1"/>
  <c r="AZ39" i="11" a="1"/>
  <c r="AZ7" i="14" a="1"/>
  <c r="HX18" i="12" a="1"/>
  <c r="FD6" i="11" a="1"/>
  <c r="AZ24" i="12" a="1"/>
  <c r="HX97" i="11" a="1"/>
  <c r="HX37" i="11" a="1"/>
  <c r="HX16" i="15" a="1"/>
  <c r="FD18" i="13" a="1"/>
  <c r="GN89" i="11" a="1"/>
  <c r="GN17" i="11" a="1"/>
  <c r="DT28" i="13" a="1"/>
  <c r="FD68" i="11" a="1"/>
  <c r="FD27" i="12" a="1"/>
  <c r="GN7" i="14" a="1"/>
  <c r="DT47" i="11" a="1"/>
  <c r="CJ30" i="13" a="1"/>
  <c r="DT33" i="12" a="1"/>
  <c r="DT5" i="15" a="1"/>
  <c r="CJ57" i="11" a="1"/>
  <c r="CJ9" i="11" a="1"/>
  <c r="DT12" i="14" a="1"/>
  <c r="AZ26" i="12" a="1"/>
  <c r="AZ98" i="11" a="1"/>
  <c r="AZ50" i="11" a="1"/>
  <c r="AZ10" i="15" a="1"/>
  <c r="GN33" i="13" a="1"/>
  <c r="FD54" i="11" a="1"/>
  <c r="CJ43" i="11" a="1"/>
  <c r="HX20" i="13" a="1"/>
  <c r="HX72" i="11" a="1"/>
  <c r="HX24" i="11" a="1"/>
  <c r="HX7" i="12" a="1"/>
  <c r="GN10" i="13" a="1"/>
  <c r="GN24" i="12" a="1"/>
  <c r="GN76" i="11" a="1"/>
  <c r="GN28" i="11" a="1"/>
  <c r="HX20" i="14" a="1"/>
  <c r="FD103" i="11" a="1"/>
  <c r="FD55" i="11" a="1"/>
  <c r="FD7" i="11" a="1"/>
  <c r="FD10" i="15" a="1"/>
  <c r="DT82" i="11" a="1"/>
  <c r="DT34" i="11" a="1"/>
  <c r="CJ17" i="13" a="1"/>
  <c r="DT20" i="12" a="1"/>
  <c r="CJ92" i="11" a="1"/>
  <c r="CJ44" i="11" a="1"/>
  <c r="AZ27" i="13" a="1"/>
  <c r="CJ30" i="12" a="1"/>
  <c r="AZ13" i="12" a="1"/>
  <c r="AZ85" i="11" a="1"/>
  <c r="AZ37" i="11" a="1"/>
  <c r="AZ9" i="15" a="1"/>
  <c r="HX23" i="11" a="1"/>
  <c r="FD90" i="11" a="1"/>
  <c r="DT21" i="11" a="1"/>
  <c r="AZ60" i="11" a="1"/>
  <c r="HX6" i="13" a="1"/>
  <c r="HX58" i="11" a="1"/>
  <c r="HX10" i="11" a="1"/>
  <c r="HX13" i="15" a="1"/>
  <c r="FD27" i="13" a="1"/>
  <c r="GN10" i="12" a="1"/>
  <c r="GN62" i="11" a="1"/>
  <c r="GN14" i="11" a="1"/>
  <c r="HX6" i="14" a="1"/>
  <c r="FD89" i="11" a="1"/>
  <c r="FD41" i="11" a="1"/>
  <c r="FD24" i="12" a="1"/>
  <c r="GN16" i="14" a="1"/>
  <c r="DT68" i="11" a="1"/>
  <c r="DT20" i="11" a="1"/>
  <c r="FD23" i="14" a="1"/>
  <c r="DT6" i="12" a="1"/>
  <c r="CJ78" i="11" a="1"/>
  <c r="CJ30" i="11" a="1"/>
  <c r="AZ13" i="13" a="1"/>
  <c r="CJ16" i="12" a="1"/>
  <c r="CJ19" i="14" a="1"/>
  <c r="AZ71" i="11" a="1"/>
  <c r="AZ23" i="11" a="1"/>
  <c r="AZ15" i="14" a="1"/>
  <c r="CJ7" i="11" a="1"/>
  <c r="HX93" i="11" a="1"/>
  <c r="HX45" i="11" a="1"/>
  <c r="HX24" i="12" a="1"/>
  <c r="GN45" i="11" a="1"/>
  <c r="FD24" i="11" a="1"/>
  <c r="CJ34" i="13" a="1"/>
  <c r="CJ13" i="11" a="1"/>
  <c r="AZ54" i="11" a="1"/>
  <c r="FD25" i="12" a="1"/>
  <c r="HX16" i="11" a="1"/>
  <c r="GN68" i="11" a="1"/>
  <c r="FD47" i="11" a="1"/>
  <c r="DT26" i="11" a="1"/>
  <c r="CJ36" i="11" a="1"/>
  <c r="AZ77" i="11" a="1"/>
  <c r="DT33" i="11" a="1"/>
  <c r="HX34" i="12" a="1"/>
  <c r="GN55" i="11" a="1"/>
  <c r="FD34" i="11" a="1"/>
  <c r="DT13" i="11" a="1"/>
  <c r="CJ23" i="11" a="1"/>
  <c r="CJ12" i="14" a="1"/>
  <c r="AZ16" i="11" a="1"/>
  <c r="FD102" i="11" a="1"/>
  <c r="AZ16" i="14" a="1"/>
  <c r="HX86" i="11" a="1"/>
  <c r="HX26" i="11" a="1"/>
  <c r="HX5" i="15" a="1"/>
  <c r="FD7" i="13" a="1"/>
  <c r="GN78" i="11" a="1"/>
  <c r="GN6" i="11" a="1"/>
  <c r="DT17" i="13" a="1"/>
  <c r="FD57" i="11" a="1"/>
  <c r="FD16" i="12" a="1"/>
  <c r="DT96" i="11" a="1"/>
  <c r="DT36" i="11" a="1"/>
  <c r="FD15" i="14" a="1"/>
  <c r="DT6" i="15" a="1"/>
  <c r="CJ46" i="11" a="1"/>
  <c r="AZ5" i="13" a="1"/>
  <c r="AZ27" i="12" a="1"/>
  <c r="AZ87" i="11" a="1"/>
  <c r="AZ15" i="11" a="1"/>
  <c r="AZ22" i="15" a="1"/>
  <c r="GN9" i="13" a="1"/>
  <c r="DT69" i="11" a="1"/>
  <c r="AZ48" i="11" a="1"/>
  <c r="HX85" i="11" a="1"/>
  <c r="HX13" i="11" a="1"/>
  <c r="GN35" i="13" a="1"/>
  <c r="FD6" i="13" a="1"/>
  <c r="GN65" i="11" a="1"/>
  <c r="GN5" i="11" a="1"/>
  <c r="DT16" i="13" a="1"/>
  <c r="FD44" i="11" a="1"/>
  <c r="FD15" i="12" a="1"/>
  <c r="DT95" i="11" a="1"/>
  <c r="DT35" i="11" a="1"/>
  <c r="CJ18" i="13" a="1"/>
  <c r="DT21" i="12" a="1"/>
  <c r="CJ93" i="11" a="1"/>
  <c r="CJ45" i="11" a="1"/>
  <c r="AZ28" i="13" a="1"/>
  <c r="CJ31" i="12" a="1"/>
  <c r="AZ14" i="12" a="1"/>
  <c r="AZ86" i="11" a="1"/>
  <c r="AZ38" i="11" a="1"/>
  <c r="AZ6" i="14" a="1"/>
  <c r="GN35" i="12" a="1"/>
  <c r="FD21" i="15" a="1"/>
  <c r="AZ12" i="12" a="1"/>
  <c r="HX8" i="13" a="1"/>
  <c r="HX60" i="11" a="1"/>
  <c r="HX12" i="11" a="1"/>
  <c r="HX15" i="15" a="1"/>
  <c r="FD29" i="13" a="1"/>
  <c r="GN12" i="12" a="1"/>
  <c r="GN64" i="11" a="1"/>
  <c r="GN16" i="11" a="1"/>
  <c r="HX8" i="14" a="1"/>
  <c r="FD91" i="11" a="1"/>
  <c r="FD43" i="11" a="1"/>
  <c r="FD26" i="12" a="1"/>
  <c r="GN18" i="14" a="1"/>
  <c r="DT70" i="11" a="1"/>
  <c r="DT22" i="11" a="1"/>
  <c r="CJ5" i="13" a="1"/>
  <c r="DT8" i="12" a="1"/>
  <c r="CJ80" i="11" a="1"/>
  <c r="CJ32" i="11" a="1"/>
  <c r="AZ15" i="13" a="1"/>
  <c r="CJ18" i="12" a="1"/>
  <c r="CJ21" i="14" a="1"/>
  <c r="AZ73" i="11" a="1"/>
  <c r="AZ25" i="11" a="1"/>
  <c r="AZ17" i="14" a="1"/>
  <c r="GN21" i="13" a="1"/>
  <c r="FD42" i="11" a="1"/>
  <c r="DT15" i="15" a="1"/>
  <c r="HX31" i="13" a="1"/>
  <c r="HX94" i="11" a="1"/>
  <c r="HX46" i="11" a="1"/>
  <c r="HX29" i="12" a="1"/>
  <c r="GN32" i="13" a="1"/>
  <c r="FD15" i="13" a="1"/>
  <c r="GN98" i="11" a="1"/>
  <c r="GN50" i="11" a="1"/>
  <c r="GN22" i="15" a="1"/>
  <c r="DT25" i="13" a="1"/>
  <c r="FD77" i="11" a="1"/>
  <c r="FD29" i="11" a="1"/>
  <c r="FD12" i="12" a="1"/>
  <c r="DT104" i="11" a="1"/>
  <c r="DT56" i="11" a="1"/>
  <c r="DT8" i="11" a="1"/>
  <c r="FD11" i="14" a="1"/>
  <c r="DT14" i="15" a="1"/>
  <c r="CJ66" i="11" a="1"/>
  <c r="CJ18" i="11" a="1"/>
  <c r="DT21" i="14" a="1"/>
  <c r="AZ35" i="12" a="1"/>
  <c r="CJ7" i="14" a="1"/>
  <c r="AZ59" i="11" a="1"/>
  <c r="AZ11" i="11" a="1"/>
  <c r="CJ14" i="11" a="1"/>
  <c r="HX29" i="13" a="1"/>
  <c r="HX81" i="11" a="1"/>
  <c r="HX33" i="11" a="1"/>
  <c r="HX16" i="12" a="1"/>
  <c r="GN27" i="13" a="1"/>
  <c r="GN17" i="15" a="1"/>
  <c r="FD7" i="12" a="1"/>
  <c r="FD6" i="14" a="1"/>
  <c r="DT16" i="14" a="1"/>
  <c r="AZ6" i="11" a="1"/>
  <c r="DT22" i="14" a="1"/>
  <c r="HX19" i="15" a="1"/>
  <c r="GN20" i="11" a="1"/>
  <c r="FD30" i="12" a="1"/>
  <c r="CJ9" i="13" a="1"/>
  <c r="AZ19" i="13" a="1"/>
  <c r="AZ29" i="11" a="1"/>
  <c r="AZ72" i="11" a="1"/>
  <c r="HX6" i="15" a="1"/>
  <c r="GN7" i="11" a="1"/>
  <c r="FD17" i="12" a="1"/>
  <c r="FD16" i="14" a="1"/>
  <c r="AZ6" i="13" a="1"/>
  <c r="AZ100" i="11" a="1"/>
  <c r="AZ24" i="15" a="1"/>
  <c r="FD30" i="11" a="1"/>
  <c r="HX34" i="13" a="1"/>
  <c r="HX74" i="11" a="1"/>
  <c r="HX33" i="12" a="1"/>
  <c r="GN24" i="13" a="1"/>
  <c r="GN26" i="12" a="1"/>
  <c r="GN54" i="11" a="1"/>
  <c r="GN14" i="15" a="1"/>
  <c r="DT5" i="13" a="1"/>
  <c r="FD33" i="11" a="1"/>
  <c r="FD24" i="15" a="1"/>
  <c r="DT84" i="11" a="1"/>
  <c r="DT12" i="11" a="1"/>
  <c r="DT34" i="12" a="1"/>
  <c r="CJ94" i="11" a="1"/>
  <c r="CJ22" i="11" a="1"/>
  <c r="DT13" i="14" a="1"/>
  <c r="AZ15" i="12" a="1"/>
  <c r="AZ63" i="11" a="1"/>
  <c r="AZ23" i="15" a="1"/>
  <c r="AZ18" i="14" a="1"/>
  <c r="GN15" i="11" a="1"/>
  <c r="DT9" i="11" a="1"/>
  <c r="HX33" i="13" a="1"/>
  <c r="HX61" i="11" a="1"/>
  <c r="HX32" i="12" a="1"/>
  <c r="GN23" i="13" a="1"/>
  <c r="GN13" i="12" a="1"/>
  <c r="GN53" i="11" a="1"/>
  <c r="GN13" i="15" a="1"/>
  <c r="FD92" i="11" a="1"/>
  <c r="FD32" i="11" a="1"/>
  <c r="FD23" i="15" a="1"/>
  <c r="DT71" i="11" a="1"/>
  <c r="DT23" i="11" a="1"/>
  <c r="CJ6" i="13" a="1"/>
  <c r="DT9" i="12" a="1"/>
  <c r="CJ81" i="11" a="1"/>
  <c r="CJ33" i="11" a="1"/>
  <c r="AZ16" i="13" a="1"/>
  <c r="CJ19" i="12" a="1"/>
  <c r="CJ22" i="14" a="1"/>
  <c r="AZ74" i="11" a="1"/>
  <c r="AZ26" i="11" a="1"/>
  <c r="HX71" i="11" a="1"/>
  <c r="GN75" i="11" a="1"/>
  <c r="DT57" i="11" a="1"/>
  <c r="AZ20" i="15" a="1"/>
  <c r="HX96" i="11" a="1"/>
  <c r="HX48" i="11" a="1"/>
  <c r="HX31" i="12" a="1"/>
  <c r="GN34" i="13" a="1"/>
  <c r="FD17" i="13" a="1"/>
  <c r="GN100" i="11" a="1"/>
  <c r="GN52" i="11" a="1"/>
  <c r="GN24" i="15" a="1"/>
  <c r="DT27" i="13" a="1"/>
  <c r="FD79" i="11" a="1"/>
  <c r="FD31" i="11" a="1"/>
  <c r="FD14" i="12" a="1"/>
  <c r="GN6" i="14" a="1"/>
  <c r="DT58" i="11" a="1"/>
  <c r="DT10" i="11" a="1"/>
  <c r="FD13" i="14" a="1"/>
  <c r="DT16" i="15" a="1"/>
  <c r="CJ68" i="11" a="1"/>
  <c r="CJ20" i="11" a="1"/>
  <c r="DT23" i="14" a="1"/>
  <c r="CJ6" i="12" a="1"/>
  <c r="CJ9" i="14" a="1"/>
  <c r="AZ61" i="11" a="1"/>
  <c r="AZ13" i="11" a="1"/>
  <c r="AZ5" i="14" a="1"/>
  <c r="GN11" i="12" a="1"/>
  <c r="FD13" i="12" a="1"/>
  <c r="CJ55" i="11" a="1"/>
  <c r="HX30" i="13" a="1"/>
  <c r="HX82" i="11" a="1"/>
  <c r="HX34" i="11" a="1"/>
  <c r="HX17" i="12" a="1"/>
  <c r="GN20" i="13" a="1"/>
  <c r="GN34" i="12" a="1"/>
  <c r="GN86" i="11" a="1"/>
  <c r="GN38" i="11" a="1"/>
  <c r="GN10" i="15" a="1"/>
  <c r="DT13" i="13" a="1"/>
  <c r="FD65" i="11" a="1"/>
  <c r="FD17" i="11" a="1"/>
  <c r="FD20" i="15" a="1"/>
  <c r="DT92" i="11" a="1"/>
  <c r="DT44" i="11" a="1"/>
  <c r="CJ27" i="13" a="1"/>
  <c r="DT30" i="12" a="1"/>
  <c r="CJ102" i="11" a="1"/>
  <c r="CJ54" i="11" a="1"/>
  <c r="CJ6" i="11" a="1"/>
  <c r="DT9" i="14" a="1"/>
  <c r="AZ23" i="12" a="1"/>
  <c r="AZ95" i="11" a="1"/>
  <c r="AZ47" i="11" a="1"/>
  <c r="AZ19" i="15" a="1"/>
  <c r="AZ55" i="11" a="1"/>
  <c r="HX17" i="13" a="1"/>
  <c r="HX69" i="11" a="1"/>
  <c r="HX21" i="11" a="1"/>
  <c r="HX24" i="15" a="1"/>
  <c r="FD10" i="13" a="1"/>
  <c r="AZ30" i="12" a="1"/>
  <c r="HX12" i="14" a="1"/>
  <c r="AZ20" i="14" a="1"/>
  <c r="GN9" i="14" a="1"/>
  <c r="HX35" i="11" a="1"/>
  <c r="HX21" i="12" a="1"/>
  <c r="HX22" i="14" a="1"/>
  <c r="DT60" i="11" a="1"/>
  <c r="CJ10" i="11" a="1"/>
  <c r="AZ11" i="15" a="1"/>
  <c r="HX9" i="13" a="1"/>
  <c r="GN101" i="11" a="1"/>
  <c r="FD20" i="11" a="1"/>
  <c r="FD14" i="14" a="1"/>
  <c r="DT24" i="14" a="1"/>
  <c r="AZ14" i="11" a="1"/>
  <c r="HX32" i="13" a="1"/>
  <c r="GN22" i="13" a="1"/>
  <c r="GN12" i="15" a="1"/>
  <c r="FD22" i="15" a="1"/>
  <c r="DT32" i="12" a="1"/>
  <c r="DT11" i="14" a="1"/>
  <c r="AZ21" i="15" a="1"/>
  <c r="CJ5" i="12" a="1"/>
  <c r="HX5" i="12" a="1"/>
  <c r="GN26" i="11" a="1"/>
  <c r="FD5" i="11" a="1"/>
  <c r="CJ15" i="13" a="1"/>
  <c r="AZ25" i="13" a="1"/>
  <c r="AZ35" i="11" a="1"/>
  <c r="HX57" i="11" a="1"/>
  <c r="GN31" i="13" a="1"/>
  <c r="FD14" i="13" a="1"/>
  <c r="GN97" i="11" a="1"/>
  <c r="GN49" i="11" a="1"/>
  <c r="GN21" i="15" a="1"/>
  <c r="DT24" i="13" a="1"/>
  <c r="FD76" i="11" a="1"/>
  <c r="FD28" i="11" a="1"/>
  <c r="FD11" i="12" a="1"/>
  <c r="DT103" i="11" a="1"/>
  <c r="DT55" i="11" a="1"/>
  <c r="DT7" i="11" a="1"/>
  <c r="FD10" i="14" a="1"/>
  <c r="DT13" i="15" a="1"/>
  <c r="CJ65" i="11" a="1"/>
  <c r="CJ17" i="11" a="1"/>
  <c r="DT20" i="14" a="1"/>
  <c r="AZ34" i="12" a="1"/>
  <c r="CJ6" i="14" a="1"/>
  <c r="AZ58" i="11" a="1"/>
  <c r="AZ10" i="11" a="1"/>
  <c r="AZ13" i="14" a="1"/>
  <c r="AZ12" i="14" a="1"/>
  <c r="DT5" i="14" a="1"/>
  <c r="AZ11" i="14" a="1"/>
  <c r="CJ20" i="14" a="1"/>
  <c r="HX104" i="11" a="1"/>
  <c r="HX56" i="11" a="1"/>
  <c r="HX8" i="11" a="1"/>
  <c r="HX11" i="15" a="1"/>
  <c r="FD25" i="13" a="1"/>
  <c r="GN8" i="12" a="1"/>
  <c r="GN60" i="11" a="1"/>
  <c r="GN12" i="11" a="1"/>
  <c r="DT35" i="13" a="1"/>
  <c r="FD87" i="11" a="1"/>
  <c r="FD39" i="11" a="1"/>
  <c r="FD22" i="12" a="1"/>
  <c r="GN14" i="14" a="1"/>
  <c r="DT66" i="11" a="1"/>
  <c r="DT18" i="11" a="1"/>
  <c r="FD21" i="14" a="1"/>
  <c r="DT24" i="15" a="1"/>
  <c r="CJ76" i="11" a="1"/>
  <c r="CJ28" i="11" a="1"/>
  <c r="AZ11" i="13" a="1"/>
  <c r="CJ14" i="12" a="1"/>
  <c r="CJ17" i="14" a="1"/>
  <c r="AZ69" i="11" a="1"/>
  <c r="AZ21" i="11" a="1"/>
  <c r="CJ16" i="14" a="1"/>
  <c r="CJ11" i="13" a="1"/>
  <c r="CJ12" i="12" a="1"/>
  <c r="AZ15" i="15" a="1"/>
  <c r="AZ36" i="11" a="1"/>
  <c r="HX91" i="11" a="1"/>
  <c r="HX43" i="11" a="1"/>
  <c r="HX26" i="12" a="1"/>
  <c r="GN29" i="13" a="1"/>
  <c r="FD12" i="13" a="1"/>
  <c r="GN95" i="11" a="1"/>
  <c r="GN47" i="11" a="1"/>
  <c r="GN19" i="15" a="1"/>
  <c r="DT22" i="13" a="1"/>
  <c r="FD74" i="11" a="1"/>
  <c r="FD26" i="11" a="1"/>
  <c r="FD9" i="12" a="1"/>
  <c r="DT101" i="11" a="1"/>
  <c r="DT53" i="11" a="1"/>
  <c r="DT5" i="11" a="1"/>
  <c r="FD8" i="14" a="1"/>
  <c r="DT11" i="15" a="1"/>
  <c r="CJ63" i="11" a="1"/>
  <c r="CJ15" i="11" a="1"/>
  <c r="DT18" i="14" a="1"/>
  <c r="AZ32" i="12" a="1"/>
  <c r="AZ80" i="11" a="1"/>
  <c r="FD7" i="14" a="1"/>
  <c r="AZ31" i="12" a="1"/>
  <c r="CJ28" i="13" a="1"/>
  <c r="HX14" i="13" a="1"/>
  <c r="HX66" i="11" a="1"/>
  <c r="HX18" i="11" a="1"/>
  <c r="HX21" i="15" a="1"/>
  <c r="FD35" i="13" a="1"/>
  <c r="GN18" i="12" a="1"/>
  <c r="GN70" i="11" a="1"/>
  <c r="GN22" i="11" a="1"/>
  <c r="HX14" i="14" a="1"/>
  <c r="FD97" i="11" a="1"/>
  <c r="FD49" i="11" a="1"/>
  <c r="FD32" i="12" a="1"/>
  <c r="GN24" i="14" a="1"/>
  <c r="DT76" i="11" a="1"/>
  <c r="DT28" i="11" a="1"/>
  <c r="DT20" i="13" a="1"/>
  <c r="AZ13" i="15" a="1"/>
  <c r="GN22" i="14" a="1"/>
  <c r="HX99" i="11" a="1"/>
  <c r="DT19" i="15" a="1"/>
  <c r="CJ103" i="11" a="1"/>
  <c r="GN12" i="13" a="1"/>
  <c r="FD81" i="11" a="1"/>
  <c r="CJ31" i="13" a="1"/>
  <c r="CJ32" i="12" a="1"/>
  <c r="HX47" i="11" a="1"/>
  <c r="HX49" i="11" a="1"/>
  <c r="GN41" i="11" a="1"/>
  <c r="GN19" i="14" a="1"/>
  <c r="DT17" i="15" a="1"/>
  <c r="CJ7" i="12" a="1"/>
  <c r="HX11" i="11" a="1"/>
  <c r="HX84" i="11" a="1"/>
  <c r="FD5" i="13" a="1"/>
  <c r="DT15" i="13" a="1"/>
  <c r="DT94" i="11" a="1"/>
  <c r="CJ104" i="11" a="1"/>
  <c r="AZ25" i="12" a="1"/>
  <c r="HX19" i="13" a="1"/>
  <c r="HX18" i="13" a="1"/>
  <c r="GN8" i="13" a="1"/>
  <c r="HX18" i="14" a="1"/>
  <c r="FD8" i="15" a="1"/>
  <c r="DT18" i="12" a="1"/>
  <c r="CJ28" i="12" a="1"/>
  <c r="AZ7" i="15" a="1"/>
  <c r="HX9" i="11" a="1"/>
  <c r="GN19" i="13" a="1"/>
  <c r="GN33" i="12" a="1"/>
  <c r="GN85" i="11" a="1"/>
  <c r="GN37" i="11" a="1"/>
  <c r="GN9" i="15" a="1"/>
  <c r="DT12" i="13" a="1"/>
  <c r="FD64" i="11" a="1"/>
  <c r="FD16" i="11" a="1"/>
  <c r="FD19" i="15" a="1"/>
  <c r="DT91" i="11" a="1"/>
  <c r="DT43" i="11" a="1"/>
  <c r="CJ26" i="13" a="1"/>
  <c r="DT29" i="12" a="1"/>
  <c r="CJ101" i="11" a="1"/>
  <c r="CJ53" i="11" a="1"/>
  <c r="CJ5" i="11" a="1"/>
  <c r="DT8" i="14" a="1"/>
  <c r="AZ22" i="12" a="1"/>
  <c r="AZ94" i="11" a="1"/>
  <c r="AZ46" i="11" a="1"/>
  <c r="AZ18" i="15" a="1"/>
  <c r="AZ20" i="12" a="1"/>
  <c r="DT26" i="12" a="1"/>
  <c r="AZ19" i="12" a="1"/>
  <c r="HX19" i="14" a="1"/>
  <c r="AZ12" i="11" a="1"/>
  <c r="HX92" i="11" a="1"/>
  <c r="HX44" i="11" a="1"/>
  <c r="HX27" i="12" a="1"/>
  <c r="GN30" i="13" a="1"/>
  <c r="FD13" i="13" a="1"/>
  <c r="GN96" i="11" a="1"/>
  <c r="GN48" i="11" a="1"/>
  <c r="GN20" i="15" a="1"/>
  <c r="DT23" i="13" a="1"/>
  <c r="FD75" i="11" a="1"/>
  <c r="FD27" i="11" a="1"/>
  <c r="FD10" i="12" a="1"/>
  <c r="DT102" i="11" a="1"/>
  <c r="DT54" i="11" a="1"/>
  <c r="DT6" i="11" a="1"/>
  <c r="FD9" i="14" a="1"/>
  <c r="DT12" i="15" a="1"/>
  <c r="CJ64" i="11" a="1"/>
  <c r="CJ16" i="11" a="1"/>
  <c r="DT19" i="14" a="1"/>
  <c r="AZ33" i="12" a="1"/>
  <c r="CJ5" i="14" a="1"/>
  <c r="AZ57" i="11" a="1"/>
  <c r="AZ9" i="11" a="1"/>
  <c r="AZ68" i="11" a="1"/>
  <c r="CJ98" i="11" a="1"/>
  <c r="AZ7" i="12" a="1"/>
  <c r="GN23" i="15" a="1"/>
  <c r="HX27" i="13" a="1"/>
  <c r="HX79" i="11" a="1"/>
  <c r="HX31" i="11" a="1"/>
  <c r="HX14" i="12" a="1"/>
  <c r="GN17" i="13" a="1"/>
  <c r="GN31" i="12" a="1"/>
  <c r="GN83" i="11" a="1"/>
  <c r="GN35" i="11" a="1"/>
  <c r="GN7" i="15" a="1"/>
  <c r="DT10" i="13" a="1"/>
  <c r="FD62" i="11" a="1"/>
  <c r="FD14" i="11" a="1"/>
  <c r="FD17" i="15" a="1"/>
  <c r="DT89" i="11" a="1"/>
  <c r="DT41" i="11" a="1"/>
  <c r="CJ24" i="13" a="1"/>
  <c r="DT27" i="12" a="1"/>
  <c r="CJ99" i="11" a="1"/>
  <c r="CJ51" i="11" a="1"/>
  <c r="AZ34" i="13" a="1"/>
  <c r="DT6" i="14" a="1"/>
  <c r="AZ8" i="12" a="1"/>
  <c r="AZ44" i="11" a="1"/>
  <c r="DT99" i="11" a="1"/>
  <c r="HX12" i="13" a="1"/>
  <c r="DT12" i="12" a="1"/>
  <c r="FD20" i="13" a="1"/>
  <c r="CJ9" i="12" a="1"/>
  <c r="HX22" i="13" a="1"/>
  <c r="GN102" i="11" a="1"/>
  <c r="FD21" i="11" a="1"/>
  <c r="DT22" i="12" a="1"/>
  <c r="CJ11" i="14" a="1"/>
  <c r="FD78" i="11" a="1"/>
  <c r="HX20" i="12" a="1"/>
  <c r="HX9" i="14" a="1"/>
  <c r="DT59" i="11" a="1"/>
  <c r="CJ69" i="11" a="1"/>
  <c r="CJ10" i="14" a="1"/>
  <c r="HX7" i="14" a="1"/>
  <c r="HX36" i="11" a="1"/>
  <c r="GN88" i="11" a="1"/>
  <c r="FD67" i="11" a="1"/>
  <c r="DT46" i="11" a="1"/>
  <c r="CJ56" i="11" a="1"/>
  <c r="AZ97" i="11" a="1"/>
  <c r="GN51" i="11" a="1"/>
  <c r="HX70" i="11" a="1"/>
  <c r="GN22" i="12" a="1"/>
  <c r="FD101" i="11" a="1"/>
  <c r="DT80" i="11" a="1"/>
  <c r="CJ90" i="11" a="1"/>
  <c r="AZ11" i="12" a="1"/>
  <c r="DT26" i="13" a="1"/>
  <c r="HX28" i="12" a="1"/>
  <c r="GN7" i="13" a="1"/>
  <c r="GN21" i="12" a="1"/>
  <c r="GN73" i="11" a="1"/>
  <c r="GN25" i="11" a="1"/>
  <c r="HX17" i="14" a="1"/>
  <c r="FD100" i="11" a="1"/>
  <c r="FD52" i="11" a="1"/>
  <c r="FD35" i="12" a="1"/>
  <c r="FD7" i="15" a="1"/>
  <c r="DT79" i="11" a="1"/>
  <c r="DT31" i="11" a="1"/>
  <c r="CJ14" i="13" a="1"/>
  <c r="DT17" i="12" a="1"/>
  <c r="CJ89" i="11" a="1"/>
  <c r="CJ41" i="11" a="1"/>
  <c r="AZ24" i="13" a="1"/>
  <c r="CJ27" i="12" a="1"/>
  <c r="AZ10" i="12" a="1"/>
  <c r="AZ82" i="11" a="1"/>
  <c r="AZ34" i="11" a="1"/>
  <c r="AZ6" i="15" a="1"/>
  <c r="AZ56" i="11" a="1"/>
  <c r="CJ74" i="11" a="1"/>
  <c r="AZ67" i="11" a="1"/>
  <c r="CJ16" i="13" a="1"/>
  <c r="HX28" i="13" a="1"/>
  <c r="HX80" i="11" a="1"/>
  <c r="HX32" i="11" a="1"/>
  <c r="HX15" i="12" a="1"/>
  <c r="GN18" i="13" a="1"/>
  <c r="GN32" i="12" a="1"/>
  <c r="GN84" i="11" a="1"/>
  <c r="GN36" i="11" a="1"/>
  <c r="GN8" i="15" a="1"/>
  <c r="DT11" i="13" a="1"/>
  <c r="FD63" i="11" a="1"/>
  <c r="FD15" i="11" a="1"/>
  <c r="FD18" i="15" a="1"/>
  <c r="DT90" i="11" a="1"/>
  <c r="DT42" i="11" a="1"/>
  <c r="CJ25" i="13" a="1"/>
  <c r="DT28" i="12" a="1"/>
  <c r="CJ100" i="11" a="1"/>
  <c r="CJ52" i="11" a="1"/>
  <c r="AZ35" i="13" a="1"/>
  <c r="DT7" i="14" a="1"/>
  <c r="AZ21" i="12" a="1"/>
  <c r="AZ93" i="11" a="1"/>
  <c r="AZ45" i="11" a="1"/>
  <c r="AZ17" i="15" a="1"/>
  <c r="AZ32" i="11" a="1"/>
  <c r="CJ38" i="11" a="1"/>
  <c r="AZ103" i="11" a="1"/>
  <c r="FD12" i="14" a="1"/>
  <c r="HX15" i="13" a="1"/>
  <c r="HX67" i="11" a="1"/>
  <c r="HX19" i="11" a="1"/>
  <c r="HX22" i="15" a="1"/>
  <c r="GN5" i="13" a="1"/>
  <c r="GN19" i="12" a="1"/>
  <c r="GN71" i="11" a="1"/>
  <c r="GN23" i="11" a="1"/>
  <c r="HX15" i="14" a="1"/>
  <c r="FD98" i="11" a="1"/>
  <c r="FD50" i="11" a="1"/>
  <c r="FD33" i="12" a="1"/>
  <c r="FD5" i="15" a="1"/>
  <c r="DT77" i="11" a="1"/>
  <c r="DT29" i="11" a="1"/>
  <c r="CJ12" i="13" a="1"/>
  <c r="DT15" i="12" a="1"/>
  <c r="CJ87" i="11" a="1"/>
  <c r="CJ39" i="11" a="1"/>
  <c r="AZ22" i="13" a="1"/>
  <c r="CJ25" i="12" a="1"/>
  <c r="AZ104" i="11" a="1"/>
  <c r="AZ20" i="11" a="1"/>
  <c r="CJ26" i="11" a="1"/>
  <c r="AZ7" i="11" a="1"/>
  <c r="AZ84" i="11" a="1"/>
  <c r="HX90" i="11" a="1"/>
  <c r="HX42" i="11" a="1"/>
  <c r="HX25" i="12" a="1"/>
  <c r="GN28" i="13" a="1"/>
  <c r="FD11" i="13" a="1"/>
  <c r="GN94" i="11" a="1"/>
  <c r="GN46" i="11" a="1"/>
  <c r="GN18" i="15" a="1"/>
  <c r="DT21" i="13" a="1"/>
  <c r="DT9" i="15" a="1"/>
  <c r="AZ64" i="11" a="1"/>
  <c r="CJ70" i="11" a="1"/>
  <c r="FD80" i="11" a="1"/>
  <c r="DT19" i="12" a="1"/>
  <c r="CJ29" i="13" a="1"/>
  <c r="HX22" i="11" a="1"/>
  <c r="CJ42" i="11" a="1"/>
  <c r="FD26" i="13" a="1"/>
  <c r="HX5" i="14" a="1"/>
  <c r="GN15" i="14" a="1"/>
  <c r="DT5" i="12" a="1"/>
  <c r="CJ15" i="12" a="1"/>
  <c r="AZ14" i="14" a="1"/>
  <c r="CJ19" i="11" a="1"/>
  <c r="HX23" i="15" a="1"/>
  <c r="GN24" i="11" a="1"/>
  <c r="FD34" i="12" a="1"/>
  <c r="CJ13" i="13" a="1"/>
  <c r="AZ23" i="13" a="1"/>
  <c r="AZ33" i="11" a="1"/>
  <c r="AZ43" i="11" a="1"/>
  <c r="HX7" i="11" a="1"/>
  <c r="GN59" i="11" a="1"/>
  <c r="FD38" i="11" a="1"/>
  <c r="DT17" i="11" a="1"/>
  <c r="CJ27" i="11" a="1"/>
  <c r="AZ24" i="14" a="1"/>
  <c r="GN27" i="11" a="1"/>
  <c r="HX78" i="11" a="1"/>
  <c r="HX13" i="12" a="1"/>
  <c r="GN30" i="12" a="1"/>
  <c r="GN34" i="11" a="1"/>
  <c r="DT9" i="13" a="1"/>
  <c r="FD37" i="11" a="1"/>
  <c r="FD8" i="12" a="1"/>
  <c r="DT88" i="11" a="1"/>
  <c r="DT16" i="11" a="1"/>
  <c r="DT14" i="12" a="1"/>
  <c r="CJ50" i="11" a="1"/>
  <c r="AZ91" i="11" a="1"/>
  <c r="DT31" i="12" a="1"/>
  <c r="AZ51" i="11" a="1"/>
  <c r="CJ8" i="11" a="1"/>
  <c r="AZ83" i="11" a="1"/>
  <c r="FD88" i="11" a="1"/>
  <c r="DT67" i="11" a="1"/>
  <c r="CJ77" i="11" a="1"/>
  <c r="AZ8" i="11" a="1"/>
  <c r="HX16" i="13" a="1"/>
  <c r="GN6" i="13" a="1"/>
  <c r="FD6" i="15" a="1"/>
  <c r="DT16" i="12" a="1"/>
  <c r="AZ5" i="15" a="1"/>
  <c r="CJ29" i="12" a="1"/>
  <c r="HX10" i="15" a="1"/>
  <c r="FD21" i="12" a="1"/>
  <c r="FD20" i="14" a="1"/>
  <c r="AZ10" i="13" a="1"/>
  <c r="AZ14" i="13" a="1"/>
  <c r="HX54" i="11" a="1"/>
  <c r="HX9" i="15" a="1"/>
  <c r="GN10" i="11" a="1"/>
  <c r="FD25" i="11" a="1"/>
  <c r="DT64" i="11" a="1"/>
  <c r="CJ35" i="13" a="1"/>
  <c r="AZ21" i="13" a="1"/>
  <c r="AZ31" i="11" a="1"/>
  <c r="DT30" i="13" a="1"/>
  <c r="AZ62" i="11" a="1"/>
  <c r="DT93" i="11" a="1"/>
  <c r="HX12" i="15" a="1"/>
  <c r="FD22" i="14" a="1"/>
  <c r="AZ22" i="11" a="1"/>
  <c r="HX20" i="11" a="1"/>
  <c r="FD51" i="11" a="1"/>
  <c r="CJ40" i="11" a="1"/>
  <c r="AZ9" i="13" a="1"/>
  <c r="DT65" i="11" a="1"/>
  <c r="AZ92" i="11" a="1"/>
  <c r="HX6" i="11" a="1"/>
  <c r="DT33" i="13" a="1"/>
  <c r="DT100" i="11" a="1"/>
  <c r="CJ62" i="11" a="1"/>
  <c r="FD33" i="13" a="1"/>
  <c r="HX50" i="11" a="1"/>
  <c r="DT11" i="11" a="1"/>
  <c r="HX19" i="12" a="1"/>
  <c r="GN74" i="11" a="1"/>
  <c r="GN9" i="12" a="1"/>
  <c r="CJ18" i="14" a="1"/>
  <c r="HX16" i="14" a="1"/>
  <c r="CJ26" i="12" a="1"/>
  <c r="GN11" i="11" a="1"/>
  <c r="CJ86" i="11" a="1"/>
  <c r="GN6" i="12" a="1"/>
  <c r="FD85" i="11" a="1"/>
  <c r="FD16" i="15" a="1"/>
  <c r="DT22" i="15" a="1"/>
  <c r="CJ17" i="12" a="1"/>
  <c r="FD30" i="13" a="1"/>
  <c r="GN13" i="11" a="1"/>
  <c r="AZ12" i="13" a="1"/>
  <c r="GN7" i="12" a="1"/>
  <c r="AZ79" i="11" a="1"/>
  <c r="GN58" i="11" a="1"/>
  <c r="FD20" i="12" a="1"/>
  <c r="CJ15" i="14" a="1"/>
  <c r="CJ22" i="12" a="1"/>
  <c r="GN42" i="11" a="1"/>
  <c r="CJ91" i="11" a="1"/>
  <c r="CJ21" i="11" a="1"/>
  <c r="GN40" i="11" a="1"/>
  <c r="AZ49" i="11" a="1"/>
  <c r="FD53" i="11" a="1"/>
  <c r="HX5" i="13" a="1"/>
  <c r="GN61" i="11" a="1"/>
  <c r="FD40" i="11" a="1"/>
  <c r="DT19" i="11" a="1"/>
  <c r="CJ29" i="11" a="1"/>
  <c r="AZ70" i="11" a="1"/>
  <c r="AZ33" i="13" a="1"/>
  <c r="HX68" i="11" a="1"/>
  <c r="GN20" i="12" a="1"/>
  <c r="FD99" i="11" a="1"/>
  <c r="DT78" i="11" a="1"/>
  <c r="CJ88" i="11" a="1"/>
  <c r="AZ9" i="12" a="1"/>
  <c r="AZ16" i="15" a="1"/>
  <c r="HX103" i="11" a="1"/>
  <c r="FD24" i="13" a="1"/>
  <c r="DT34" i="13" a="1"/>
  <c r="GN13" i="14" a="1"/>
  <c r="DT23" i="15" a="1"/>
  <c r="CJ13" i="12" a="1"/>
  <c r="DT17" i="14" a="1"/>
  <c r="HX26" i="13" a="1"/>
  <c r="HX30" i="11" a="1"/>
  <c r="GN16" i="13" a="1"/>
  <c r="GN82" i="11" a="1"/>
  <c r="GN6" i="15" a="1"/>
  <c r="FD73" i="11" a="1"/>
  <c r="FD13" i="11" a="1"/>
  <c r="GN12" i="14" a="1"/>
  <c r="DT52" i="11" a="1"/>
  <c r="CJ23" i="13" a="1"/>
  <c r="DT10" i="15" a="1"/>
  <c r="CJ24" i="12" a="1"/>
  <c r="AZ23" i="14" a="1"/>
  <c r="AZ24" i="11" a="1"/>
  <c r="FD12" i="15" a="1"/>
  <c r="FD19" i="11" a="1"/>
  <c r="DT32" i="11" a="1"/>
  <c r="FD23" i="12" a="1"/>
  <c r="AZ19" i="11" a="1"/>
  <c r="GN72" i="11" a="1"/>
  <c r="DT30" i="11" a="1"/>
  <c r="AZ81" i="11" a="1"/>
  <c r="HX55" i="11" a="1"/>
  <c r="FD86" i="11" a="1"/>
  <c r="CJ75" i="11" a="1"/>
  <c r="HX102" i="11" a="1"/>
  <c r="FD23" i="13" a="1"/>
  <c r="FD61" i="11" a="1"/>
  <c r="DT40" i="11" a="1"/>
  <c r="FD19" i="14" a="1"/>
  <c r="GN11" i="15" a="1"/>
  <c r="GN11" i="15" l="1"/>
  <c r="FD19" i="14"/>
  <c r="DT40" i="11"/>
  <c r="FD61" i="11"/>
  <c r="FD23" i="13"/>
  <c r="HX102" i="11"/>
  <c r="CJ75" i="11"/>
  <c r="FD86" i="11"/>
  <c r="HX55" i="11"/>
  <c r="AZ81" i="11"/>
  <c r="DT30" i="11"/>
  <c r="GN72" i="11"/>
  <c r="AZ19" i="11"/>
  <c r="FD23" i="12"/>
  <c r="DT32" i="11"/>
  <c r="FD19" i="11"/>
  <c r="FD12" i="15"/>
  <c r="AZ24" i="11"/>
  <c r="AZ23" i="14"/>
  <c r="CJ24" i="12"/>
  <c r="DT10" i="15"/>
  <c r="CJ23" i="13"/>
  <c r="DT52" i="11"/>
  <c r="GN12" i="14"/>
  <c r="FD13" i="11"/>
  <c r="FD73" i="11"/>
  <c r="GN6" i="15"/>
  <c r="GN82" i="11"/>
  <c r="GN16" i="13"/>
  <c r="HX30" i="11"/>
  <c r="HX26" i="13"/>
  <c r="DT17" i="14"/>
  <c r="CJ13" i="12"/>
  <c r="DT23" i="15"/>
  <c r="GN13" i="14"/>
  <c r="DT34" i="13"/>
  <c r="FD24" i="13"/>
  <c r="HX103" i="11"/>
  <c r="AZ16" i="15"/>
  <c r="AZ9" i="12"/>
  <c r="CJ88" i="11"/>
  <c r="DT78" i="11"/>
  <c r="FD99" i="11"/>
  <c r="GN20" i="12"/>
  <c r="HX68" i="11"/>
  <c r="AZ33" i="13"/>
  <c r="AZ70" i="11"/>
  <c r="CJ29" i="11"/>
  <c r="DT19" i="11"/>
  <c r="FD40" i="11"/>
  <c r="GN61" i="11"/>
  <c r="HX5" i="13"/>
  <c r="FD53" i="11"/>
  <c r="AZ49" i="11"/>
  <c r="GN40" i="11"/>
  <c r="CJ21" i="11"/>
  <c r="CJ91" i="11"/>
  <c r="GN42" i="11"/>
  <c r="CJ22" i="12"/>
  <c r="CJ15" i="14"/>
  <c r="FD20" i="12"/>
  <c r="GN58" i="11"/>
  <c r="AZ79" i="11"/>
  <c r="GN7" i="12"/>
  <c r="AZ12" i="13"/>
  <c r="GN13" i="11"/>
  <c r="FD30" i="13"/>
  <c r="CJ17" i="12"/>
  <c r="DT22" i="15"/>
  <c r="FD16" i="15"/>
  <c r="FD85" i="11"/>
  <c r="GN6" i="12"/>
  <c r="CJ86" i="11"/>
  <c r="GN11" i="11"/>
  <c r="CJ26" i="12"/>
  <c r="HX16" i="14"/>
  <c r="CJ18" i="14"/>
  <c r="GN9" i="12"/>
  <c r="GN74" i="11"/>
  <c r="HX19" i="12"/>
  <c r="DT11" i="11"/>
  <c r="HX50" i="11"/>
  <c r="FD33" i="13"/>
  <c r="CJ62" i="11"/>
  <c r="DT100" i="11"/>
  <c r="DT33" i="13"/>
  <c r="HX6" i="11"/>
  <c r="AZ92" i="11"/>
  <c r="DT65" i="11"/>
  <c r="AZ9" i="13"/>
  <c r="CJ40" i="11"/>
  <c r="FD51" i="11"/>
  <c r="HX20" i="11"/>
  <c r="AZ22" i="11"/>
  <c r="FD22" i="14"/>
  <c r="HX12" i="15"/>
  <c r="DT93" i="11"/>
  <c r="AZ62" i="11"/>
  <c r="DT30" i="13"/>
  <c r="AZ31" i="11"/>
  <c r="AZ21" i="13"/>
  <c r="CJ35" i="13"/>
  <c r="DT64" i="11"/>
  <c r="FD25" i="11"/>
  <c r="GN10" i="11"/>
  <c r="HX9" i="15"/>
  <c r="HX54" i="11"/>
  <c r="AZ14" i="13"/>
  <c r="AZ10" i="13"/>
  <c r="FD20" i="14"/>
  <c r="FD21" i="12"/>
  <c r="HX10" i="15"/>
  <c r="CJ29" i="12"/>
  <c r="AZ5" i="15"/>
  <c r="DT16" i="12"/>
  <c r="FD6" i="15"/>
  <c r="GN6" i="13"/>
  <c r="HX16" i="13"/>
  <c r="AZ8" i="11"/>
  <c r="CJ77" i="11"/>
  <c r="DT67" i="11"/>
  <c r="FD88" i="11"/>
  <c r="AZ83" i="11"/>
  <c r="CJ8" i="11"/>
  <c r="AZ51" i="11"/>
  <c r="DT31" i="12"/>
  <c r="AZ91" i="11"/>
  <c r="CJ50" i="11"/>
  <c r="DT14" i="12"/>
  <c r="DT16" i="11"/>
  <c r="DT88" i="11"/>
  <c r="FD8" i="12"/>
  <c r="FD37" i="11"/>
  <c r="DT9" i="13"/>
  <c r="GN34" i="11"/>
  <c r="GN30" i="12"/>
  <c r="HX13" i="12"/>
  <c r="HX78" i="11"/>
  <c r="GN27" i="11"/>
  <c r="AZ24" i="14"/>
  <c r="CJ27" i="11"/>
  <c r="DT17" i="11"/>
  <c r="FD38" i="11"/>
  <c r="GN59" i="11"/>
  <c r="HX7" i="11"/>
  <c r="AZ43" i="11"/>
  <c r="AZ33" i="11"/>
  <c r="AZ23" i="13"/>
  <c r="CJ13" i="13"/>
  <c r="FD34" i="12"/>
  <c r="GN24" i="11"/>
  <c r="HX23" i="15"/>
  <c r="CJ19" i="11"/>
  <c r="AZ14" i="14"/>
  <c r="CJ15" i="12"/>
  <c r="DT5" i="12"/>
  <c r="GN15" i="14"/>
  <c r="HX5" i="14"/>
  <c r="FD26" i="13"/>
  <c r="CJ42" i="11"/>
  <c r="HX22" i="11"/>
  <c r="CJ29" i="13"/>
  <c r="DT19" i="12"/>
  <c r="FD80" i="11"/>
  <c r="CJ70" i="11"/>
  <c r="AZ64" i="11"/>
  <c r="DT9" i="15"/>
  <c r="DT21" i="13"/>
  <c r="GN18" i="15"/>
  <c r="GN46" i="11"/>
  <c r="GN94" i="11"/>
  <c r="FD11" i="13"/>
  <c r="GN28" i="13"/>
  <c r="HX25" i="12"/>
  <c r="HX42" i="11"/>
  <c r="HX90" i="11"/>
  <c r="AZ84" i="11"/>
  <c r="AZ7" i="11"/>
  <c r="CJ26" i="11"/>
  <c r="AZ20" i="11"/>
  <c r="AZ104" i="11"/>
  <c r="CJ25" i="12"/>
  <c r="AZ22" i="13"/>
  <c r="CJ39" i="11"/>
  <c r="CJ87" i="11"/>
  <c r="DT15" i="12"/>
  <c r="CJ12" i="13"/>
  <c r="DT29" i="11"/>
  <c r="DT77" i="11"/>
  <c r="FD5" i="15"/>
  <c r="FD33" i="12"/>
  <c r="FD50" i="11"/>
  <c r="FD98" i="11"/>
  <c r="HX15" i="14"/>
  <c r="GN23" i="11"/>
  <c r="GN71" i="11"/>
  <c r="GN19" i="12"/>
  <c r="GN5" i="13"/>
  <c r="HX22" i="15"/>
  <c r="HX19" i="11"/>
  <c r="HX67" i="11"/>
  <c r="HX15" i="13"/>
  <c r="FD12" i="14"/>
  <c r="AZ103" i="11"/>
  <c r="CJ38" i="11"/>
  <c r="AZ32" i="11"/>
  <c r="AZ17" i="15"/>
  <c r="AZ45" i="11"/>
  <c r="AZ93" i="11"/>
  <c r="AZ21" i="12"/>
  <c r="DT7" i="14"/>
  <c r="AZ35" i="13"/>
  <c r="CJ52" i="11"/>
  <c r="CJ100" i="11"/>
  <c r="DT28" i="12"/>
  <c r="CJ25" i="13"/>
  <c r="DT42" i="11"/>
  <c r="DT90" i="11"/>
  <c r="FD18" i="15"/>
  <c r="FD15" i="11"/>
  <c r="FD63" i="11"/>
  <c r="DT11" i="13"/>
  <c r="GN8" i="15"/>
  <c r="GN36" i="11"/>
  <c r="GN84" i="11"/>
  <c r="GN32" i="12"/>
  <c r="GN18" i="13"/>
  <c r="HX15" i="12"/>
  <c r="HX32" i="11"/>
  <c r="HX80" i="11"/>
  <c r="HX28" i="13"/>
  <c r="CJ16" i="13"/>
  <c r="AZ67" i="11"/>
  <c r="CJ74" i="11"/>
  <c r="AZ56" i="11"/>
  <c r="AZ6" i="15"/>
  <c r="AZ34" i="11"/>
  <c r="AZ82" i="11"/>
  <c r="AZ10" i="12"/>
  <c r="CJ27" i="12"/>
  <c r="AZ24" i="13"/>
  <c r="CJ41" i="11"/>
  <c r="CJ89" i="11"/>
  <c r="DT17" i="12"/>
  <c r="CJ14" i="13"/>
  <c r="DT31" i="11"/>
  <c r="DT79" i="11"/>
  <c r="FD7" i="15"/>
  <c r="FD35" i="12"/>
  <c r="FD52" i="11"/>
  <c r="FD100" i="11"/>
  <c r="HX17" i="14"/>
  <c r="GN25" i="11"/>
  <c r="GN73" i="11"/>
  <c r="GN21" i="12"/>
  <c r="GN7" i="13"/>
  <c r="HX28" i="12"/>
  <c r="DT26" i="13"/>
  <c r="AZ11" i="12"/>
  <c r="CJ90" i="11"/>
  <c r="DT80" i="11"/>
  <c r="FD101" i="11"/>
  <c r="GN22" i="12"/>
  <c r="HX70" i="11"/>
  <c r="GN51" i="11"/>
  <c r="AZ97" i="11"/>
  <c r="CJ56" i="11"/>
  <c r="DT46" i="11"/>
  <c r="FD67" i="11"/>
  <c r="GN88" i="11"/>
  <c r="HX36" i="11"/>
  <c r="HX7" i="14"/>
  <c r="CJ10" i="14"/>
  <c r="CJ69" i="11"/>
  <c r="DT59" i="11"/>
  <c r="HX9" i="14"/>
  <c r="HX20" i="12"/>
  <c r="FD78" i="11"/>
  <c r="CJ11" i="14"/>
  <c r="DT22" i="12"/>
  <c r="FD21" i="11"/>
  <c r="GN102" i="11"/>
  <c r="HX22" i="13"/>
  <c r="CJ9" i="12"/>
  <c r="FD20" i="13"/>
  <c r="DT12" i="12"/>
  <c r="HX12" i="13"/>
  <c r="DT99" i="11"/>
  <c r="AZ44" i="11"/>
  <c r="AZ8" i="12"/>
  <c r="DT6" i="14"/>
  <c r="AZ34" i="13"/>
  <c r="CJ51" i="11"/>
  <c r="CJ99" i="11"/>
  <c r="DT27" i="12"/>
  <c r="CJ24" i="13"/>
  <c r="DT41" i="11"/>
  <c r="DT89" i="11"/>
  <c r="FD17" i="15"/>
  <c r="FD14" i="11"/>
  <c r="FD62" i="11"/>
  <c r="DT10" i="13"/>
  <c r="GN7" i="15"/>
  <c r="GN35" i="11"/>
  <c r="GN83" i="11"/>
  <c r="GN31" i="12"/>
  <c r="GN17" i="13"/>
  <c r="HX14" i="12"/>
  <c r="HX31" i="11"/>
  <c r="HX79" i="11"/>
  <c r="HX27" i="13"/>
  <c r="GN23" i="15"/>
  <c r="AZ7" i="12"/>
  <c r="CJ98" i="11"/>
  <c r="AZ68" i="11"/>
  <c r="AZ9" i="11"/>
  <c r="AZ57" i="11"/>
  <c r="CJ5" i="14"/>
  <c r="AZ33" i="12"/>
  <c r="DT19" i="14"/>
  <c r="CJ16" i="11"/>
  <c r="CJ64" i="11"/>
  <c r="DT12" i="15"/>
  <c r="FD9" i="14"/>
  <c r="DT6" i="11"/>
  <c r="DT54" i="11"/>
  <c r="DT102" i="11"/>
  <c r="FD10" i="12"/>
  <c r="FD27" i="11"/>
  <c r="FD75" i="11"/>
  <c r="DT23" i="13"/>
  <c r="GN20" i="15"/>
  <c r="GN48" i="11"/>
  <c r="GN96" i="11"/>
  <c r="FD13" i="13"/>
  <c r="GN30" i="13"/>
  <c r="HX27" i="12"/>
  <c r="HX44" i="11"/>
  <c r="HX92" i="11"/>
  <c r="AZ12" i="11"/>
  <c r="HX19" i="14"/>
  <c r="AZ19" i="12"/>
  <c r="DT26" i="12"/>
  <c r="AZ20" i="12"/>
  <c r="AZ18" i="15"/>
  <c r="AZ46" i="11"/>
  <c r="AZ94" i="11"/>
  <c r="AZ22" i="12"/>
  <c r="DT8" i="14"/>
  <c r="CJ5" i="11"/>
  <c r="CJ53" i="11"/>
  <c r="CJ101" i="11"/>
  <c r="DT29" i="12"/>
  <c r="CJ26" i="13"/>
  <c r="DT43" i="11"/>
  <c r="DT91" i="11"/>
  <c r="FD19" i="15"/>
  <c r="FD16" i="11"/>
  <c r="FD64" i="11"/>
  <c r="DT12" i="13"/>
  <c r="GN9" i="15"/>
  <c r="GN37" i="11"/>
  <c r="GN85" i="11"/>
  <c r="GN33" i="12"/>
  <c r="GN19" i="13"/>
  <c r="HX9" i="11"/>
  <c r="AZ7" i="15"/>
  <c r="CJ28" i="12"/>
  <c r="DT18" i="12"/>
  <c r="FD8" i="15"/>
  <c r="HX18" i="14"/>
  <c r="GN8" i="13"/>
  <c r="HX18" i="13"/>
  <c r="HX19" i="13"/>
  <c r="AZ25" i="12"/>
  <c r="CJ104" i="11"/>
  <c r="DT94" i="11"/>
  <c r="DT15" i="13"/>
  <c r="FD5" i="13"/>
  <c r="HX84" i="11"/>
  <c r="HX11" i="11"/>
  <c r="CJ7" i="12"/>
  <c r="DT17" i="15"/>
  <c r="GN19" i="14"/>
  <c r="GN41" i="11"/>
  <c r="HX49" i="11"/>
  <c r="HX47" i="11"/>
  <c r="CJ32" i="12"/>
  <c r="CJ31" i="13"/>
  <c r="FD81" i="11"/>
  <c r="GN12" i="13"/>
  <c r="CJ103" i="11"/>
  <c r="DT19" i="15"/>
  <c r="HX99" i="11"/>
  <c r="GN22" i="14"/>
  <c r="AZ13" i="15"/>
  <c r="DT20" i="13"/>
  <c r="DT28" i="11"/>
  <c r="DT76" i="11"/>
  <c r="GN24" i="14"/>
  <c r="FD32" i="12"/>
  <c r="FD49" i="11"/>
  <c r="FD97" i="11"/>
  <c r="HX14" i="14"/>
  <c r="GN22" i="11"/>
  <c r="GN70" i="11"/>
  <c r="GN18" i="12"/>
  <c r="FD35" i="13"/>
  <c r="HX21" i="15"/>
  <c r="HX18" i="11"/>
  <c r="HX66" i="11"/>
  <c r="HX14" i="13"/>
  <c r="CJ28" i="13"/>
  <c r="AZ31" i="12"/>
  <c r="FD7" i="14"/>
  <c r="AZ80" i="11"/>
  <c r="AZ32" i="12"/>
  <c r="DT18" i="14"/>
  <c r="CJ15" i="11"/>
  <c r="CJ63" i="11"/>
  <c r="DT11" i="15"/>
  <c r="FD8" i="14"/>
  <c r="DT5" i="11"/>
  <c r="DT53" i="11"/>
  <c r="DT101" i="11"/>
  <c r="FD9" i="12"/>
  <c r="FD26" i="11"/>
  <c r="FD74" i="11"/>
  <c r="DT22" i="13"/>
  <c r="GN19" i="15"/>
  <c r="GN47" i="11"/>
  <c r="GN95" i="11"/>
  <c r="FD12" i="13"/>
  <c r="GN29" i="13"/>
  <c r="HX26" i="12"/>
  <c r="HX43" i="11"/>
  <c r="HX91" i="11"/>
  <c r="AZ36" i="11"/>
  <c r="AZ15" i="15"/>
  <c r="CJ12" i="12"/>
  <c r="CJ11" i="13"/>
  <c r="CJ16" i="14"/>
  <c r="AZ21" i="11"/>
  <c r="AZ69" i="11"/>
  <c r="CJ17" i="14"/>
  <c r="CJ14" i="12"/>
  <c r="AZ11" i="13"/>
  <c r="CJ28" i="11"/>
  <c r="CJ76" i="11"/>
  <c r="DT24" i="15"/>
  <c r="FD21" i="14"/>
  <c r="DT18" i="11"/>
  <c r="DT66" i="11"/>
  <c r="GN14" i="14"/>
  <c r="FD22" i="12"/>
  <c r="FD39" i="11"/>
  <c r="FD87" i="11"/>
  <c r="DT35" i="13"/>
  <c r="GN12" i="11"/>
  <c r="GN60" i="11"/>
  <c r="GN8" i="12"/>
  <c r="FD25" i="13"/>
  <c r="HX11" i="15"/>
  <c r="HX8" i="11"/>
  <c r="HX56" i="11"/>
  <c r="HX104" i="11"/>
  <c r="CJ20" i="14"/>
  <c r="AZ11" i="14"/>
  <c r="DT5" i="14"/>
  <c r="AZ12" i="14"/>
  <c r="AZ13" i="14"/>
  <c r="AZ10" i="11"/>
  <c r="AZ58" i="11"/>
  <c r="CJ6" i="14"/>
  <c r="AZ34" i="12"/>
  <c r="DT20" i="14"/>
  <c r="CJ17" i="11"/>
  <c r="CJ65" i="11"/>
  <c r="DT13" i="15"/>
  <c r="FD10" i="14"/>
  <c r="DT7" i="11"/>
  <c r="DT55" i="11"/>
  <c r="DT103" i="11"/>
  <c r="FD11" i="12"/>
  <c r="FD28" i="11"/>
  <c r="FD76" i="11"/>
  <c r="DT24" i="13"/>
  <c r="GN21" i="15"/>
  <c r="GN49" i="11"/>
  <c r="GN97" i="11"/>
  <c r="FD14" i="13"/>
  <c r="GN31" i="13"/>
  <c r="HX57" i="11"/>
  <c r="AZ35" i="11"/>
  <c r="AZ25" i="13"/>
  <c r="CJ15" i="13"/>
  <c r="FD5" i="11"/>
  <c r="GN26" i="11"/>
  <c r="HX5" i="12"/>
  <c r="CJ5" i="12"/>
  <c r="AZ21" i="15"/>
  <c r="DT11" i="14"/>
  <c r="DT32" i="12"/>
  <c r="FD22" i="15"/>
  <c r="GN12" i="15"/>
  <c r="GN22" i="13"/>
  <c r="HX32" i="13"/>
  <c r="AZ14" i="11"/>
  <c r="DT24" i="14"/>
  <c r="FD14" i="14"/>
  <c r="FD20" i="11"/>
  <c r="GN101" i="11"/>
  <c r="HX9" i="13"/>
  <c r="AZ11" i="15"/>
  <c r="CJ10" i="11"/>
  <c r="DT60" i="11"/>
  <c r="HX22" i="14"/>
  <c r="HX21" i="12"/>
  <c r="HX35" i="11"/>
  <c r="GN9" i="14"/>
  <c r="AZ20" i="14"/>
  <c r="HX12" i="14"/>
  <c r="AZ30" i="12"/>
  <c r="FD10" i="13"/>
  <c r="HX24" i="15"/>
  <c r="HX21" i="11"/>
  <c r="HX69" i="11"/>
  <c r="HX17" i="13"/>
  <c r="AZ55" i="11"/>
  <c r="AZ19" i="15"/>
  <c r="AZ47" i="11"/>
  <c r="AZ95" i="11"/>
  <c r="AZ23" i="12"/>
  <c r="DT9" i="14"/>
  <c r="CJ6" i="11"/>
  <c r="CJ54" i="11"/>
  <c r="CJ102" i="11"/>
  <c r="DT30" i="12"/>
  <c r="CJ27" i="13"/>
  <c r="DT44" i="11"/>
  <c r="DT92" i="11"/>
  <c r="FD20" i="15"/>
  <c r="FD17" i="11"/>
  <c r="FD65" i="11"/>
  <c r="DT13" i="13"/>
  <c r="GN10" i="15"/>
  <c r="GN38" i="11"/>
  <c r="GN86" i="11"/>
  <c r="GN34" i="12"/>
  <c r="GN20" i="13"/>
  <c r="HX17" i="12"/>
  <c r="HX34" i="11"/>
  <c r="HX82" i="11"/>
  <c r="HX30" i="13"/>
  <c r="CJ55" i="11"/>
  <c r="FD13" i="12"/>
  <c r="GN11" i="12"/>
  <c r="AZ5" i="14"/>
  <c r="AZ13" i="11"/>
  <c r="AZ61" i="11"/>
  <c r="CJ9" i="14"/>
  <c r="CJ6" i="12"/>
  <c r="DT23" i="14"/>
  <c r="CJ20" i="11"/>
  <c r="CJ68" i="11"/>
  <c r="DT16" i="15"/>
  <c r="FD13" i="14"/>
  <c r="DT10" i="11"/>
  <c r="DT58" i="11"/>
  <c r="GN6" i="14"/>
  <c r="FD14" i="12"/>
  <c r="FD31" i="11"/>
  <c r="FD79" i="11"/>
  <c r="DT27" i="13"/>
  <c r="GN24" i="15"/>
  <c r="GN52" i="11"/>
  <c r="GN100" i="11"/>
  <c r="FD17" i="13"/>
  <c r="GN34" i="13"/>
  <c r="HX31" i="12"/>
  <c r="HX48" i="11"/>
  <c r="HX96" i="11"/>
  <c r="AZ20" i="15"/>
  <c r="DT57" i="11"/>
  <c r="GN75" i="11"/>
  <c r="HX71" i="11"/>
  <c r="AZ26" i="11"/>
  <c r="AZ74" i="11"/>
  <c r="CJ22" i="14"/>
  <c r="CJ19" i="12"/>
  <c r="AZ16" i="13"/>
  <c r="CJ33" i="11"/>
  <c r="CJ81" i="11"/>
  <c r="DT9" i="12"/>
  <c r="CJ6" i="13"/>
  <c r="DT23" i="11"/>
  <c r="DT71" i="11"/>
  <c r="FD23" i="15"/>
  <c r="FD32" i="11"/>
  <c r="FD92" i="11"/>
  <c r="GN13" i="15"/>
  <c r="GN53" i="11"/>
  <c r="GN13" i="12"/>
  <c r="GN23" i="13"/>
  <c r="HX32" i="12"/>
  <c r="HX61" i="11"/>
  <c r="HX33" i="13"/>
  <c r="DT9" i="11"/>
  <c r="GN15" i="11"/>
  <c r="AZ18" i="14"/>
  <c r="AZ23" i="15"/>
  <c r="AZ63" i="11"/>
  <c r="AZ15" i="12"/>
  <c r="DT13" i="14"/>
  <c r="CJ22" i="11"/>
  <c r="CJ94" i="11"/>
  <c r="DT34" i="12"/>
  <c r="DT12" i="11"/>
  <c r="DT84" i="11"/>
  <c r="FD24" i="15"/>
  <c r="FD33" i="11"/>
  <c r="DT5" i="13"/>
  <c r="GN14" i="15"/>
  <c r="GN54" i="11"/>
  <c r="GN26" i="12"/>
  <c r="GN24" i="13"/>
  <c r="HX33" i="12"/>
  <c r="HX74" i="11"/>
  <c r="HX34" i="13"/>
  <c r="FD30" i="11"/>
  <c r="AZ24" i="15"/>
  <c r="AZ100" i="11"/>
  <c r="AZ6" i="13"/>
  <c r="FD16" i="14"/>
  <c r="FD17" i="12"/>
  <c r="GN7" i="11"/>
  <c r="HX6" i="15"/>
  <c r="AZ72" i="11"/>
  <c r="AZ29" i="11"/>
  <c r="AZ19" i="13"/>
  <c r="CJ9" i="13"/>
  <c r="FD30" i="12"/>
  <c r="GN20" i="11"/>
  <c r="HX19" i="15"/>
  <c r="DT22" i="14"/>
  <c r="AZ6" i="11"/>
  <c r="DT16" i="14"/>
  <c r="FD6" i="14"/>
  <c r="FD7" i="12"/>
  <c r="GN17" i="15"/>
  <c r="GN27" i="13"/>
  <c r="HX16" i="12"/>
  <c r="HX33" i="11"/>
  <c r="HX81" i="11"/>
  <c r="HX29" i="13"/>
  <c r="CJ14" i="11"/>
  <c r="AZ11" i="11"/>
  <c r="AZ59" i="11"/>
  <c r="CJ7" i="14"/>
  <c r="AZ35" i="12"/>
  <c r="DT21" i="14"/>
  <c r="CJ18" i="11"/>
  <c r="CJ66" i="11"/>
  <c r="DT14" i="15"/>
  <c r="FD11" i="14"/>
  <c r="DT8" i="11"/>
  <c r="DT56" i="11"/>
  <c r="DT104" i="11"/>
  <c r="FD12" i="12"/>
  <c r="FD29" i="11"/>
  <c r="FD77" i="11"/>
  <c r="DT25" i="13"/>
  <c r="GN22" i="15"/>
  <c r="GN50" i="11"/>
  <c r="GN98" i="11"/>
  <c r="FD15" i="13"/>
  <c r="GN32" i="13"/>
  <c r="HX29" i="12"/>
  <c r="HX46" i="11"/>
  <c r="HX94" i="11"/>
  <c r="HX31" i="13"/>
  <c r="DT15" i="15"/>
  <c r="FD42" i="11"/>
  <c r="GN21" i="13"/>
  <c r="AZ17" i="14"/>
  <c r="AZ25" i="11"/>
  <c r="AZ73" i="11"/>
  <c r="CJ21" i="14"/>
  <c r="CJ18" i="12"/>
  <c r="AZ15" i="13"/>
  <c r="CJ32" i="11"/>
  <c r="CJ80" i="11"/>
  <c r="DT8" i="12"/>
  <c r="CJ5" i="13"/>
  <c r="DT22" i="11"/>
  <c r="DT70" i="11"/>
  <c r="GN18" i="14"/>
  <c r="FD26" i="12"/>
  <c r="FD43" i="11"/>
  <c r="FD91" i="11"/>
  <c r="HX8" i="14"/>
  <c r="GN16" i="11"/>
  <c r="GN64" i="11"/>
  <c r="GN12" i="12"/>
  <c r="FD29" i="13"/>
  <c r="HX15" i="15"/>
  <c r="HX12" i="11"/>
  <c r="HX60" i="11"/>
  <c r="HX8" i="13"/>
  <c r="AZ12" i="12"/>
  <c r="FD21" i="15"/>
  <c r="GN35" i="12"/>
  <c r="AZ6" i="14"/>
  <c r="AZ38" i="11"/>
  <c r="AZ86" i="11"/>
  <c r="AZ14" i="12"/>
  <c r="CJ31" i="12"/>
  <c r="AZ28" i="13"/>
  <c r="CJ45" i="11"/>
  <c r="CJ93" i="11"/>
  <c r="DT21" i="12"/>
  <c r="CJ18" i="13"/>
  <c r="DT35" i="11"/>
  <c r="DT95" i="11"/>
  <c r="FD15" i="12"/>
  <c r="FD44" i="11"/>
  <c r="DT16" i="13"/>
  <c r="GN5" i="11"/>
  <c r="GN65" i="11"/>
  <c r="FD6" i="13"/>
  <c r="GN35" i="13"/>
  <c r="HX13" i="11"/>
  <c r="HX85" i="11"/>
  <c r="AZ48" i="11"/>
  <c r="DT69" i="11"/>
  <c r="GN9" i="13"/>
  <c r="AZ22" i="15"/>
  <c r="AZ15" i="11"/>
  <c r="AZ87" i="11"/>
  <c r="AZ27" i="12"/>
  <c r="AZ5" i="13"/>
  <c r="CJ46" i="11"/>
  <c r="DT6" i="15"/>
  <c r="FD15" i="14"/>
  <c r="DT36" i="11"/>
  <c r="DT96" i="11"/>
  <c r="FD16" i="12"/>
  <c r="FD57" i="11"/>
  <c r="DT17" i="13"/>
  <c r="GN6" i="11"/>
  <c r="GN78" i="11"/>
  <c r="FD7" i="13"/>
  <c r="HX5" i="15"/>
  <c r="HX26" i="11"/>
  <c r="HX86" i="11"/>
  <c r="AZ16" i="14"/>
  <c r="FD102" i="11"/>
  <c r="AZ16" i="11"/>
  <c r="CJ12" i="14"/>
  <c r="CJ23" i="11"/>
  <c r="DT13" i="11"/>
  <c r="FD34" i="11"/>
  <c r="GN55" i="11"/>
  <c r="HX34" i="12"/>
  <c r="DT33" i="11"/>
  <c r="AZ77" i="11"/>
  <c r="CJ36" i="11"/>
  <c r="DT26" i="11"/>
  <c r="FD47" i="11"/>
  <c r="GN68" i="11"/>
  <c r="HX16" i="11"/>
  <c r="FD25" i="12"/>
  <c r="AZ54" i="11"/>
  <c r="CJ13" i="11"/>
  <c r="CJ34" i="13"/>
  <c r="FD24" i="11"/>
  <c r="GN45" i="11"/>
  <c r="HX24" i="12"/>
  <c r="HX45" i="11"/>
  <c r="HX93" i="11"/>
  <c r="CJ7" i="11"/>
  <c r="AZ15" i="14"/>
  <c r="AZ23" i="11"/>
  <c r="AZ71" i="11"/>
  <c r="CJ19" i="14"/>
  <c r="CJ16" i="12"/>
  <c r="AZ13" i="13"/>
  <c r="CJ30" i="11"/>
  <c r="CJ78" i="11"/>
  <c r="DT6" i="12"/>
  <c r="FD23" i="14"/>
  <c r="DT20" i="11"/>
  <c r="DT68" i="11"/>
  <c r="GN16" i="14"/>
  <c r="FD24" i="12"/>
  <c r="FD41" i="11"/>
  <c r="FD89" i="11"/>
  <c r="HX6" i="14"/>
  <c r="GN14" i="11"/>
  <c r="GN62" i="11"/>
  <c r="GN10" i="12"/>
  <c r="FD27" i="13"/>
  <c r="HX13" i="15"/>
  <c r="HX10" i="11"/>
  <c r="HX58" i="11"/>
  <c r="HX6" i="13"/>
  <c r="AZ60" i="11"/>
  <c r="DT21" i="11"/>
  <c r="FD90" i="11"/>
  <c r="HX23" i="11"/>
  <c r="AZ9" i="15"/>
  <c r="AZ37" i="11"/>
  <c r="AZ85" i="11"/>
  <c r="AZ13" i="12"/>
  <c r="CJ30" i="12"/>
  <c r="AZ27" i="13"/>
  <c r="CJ44" i="11"/>
  <c r="CJ92" i="11"/>
  <c r="DT20" i="12"/>
  <c r="CJ17" i="13"/>
  <c r="DT34" i="11"/>
  <c r="DT82" i="11"/>
  <c r="FD10" i="15"/>
  <c r="FD7" i="11"/>
  <c r="FD55" i="11"/>
  <c r="FD103" i="11"/>
  <c r="HX20" i="14"/>
  <c r="GN28" i="11"/>
  <c r="GN76" i="11"/>
  <c r="GN24" i="12"/>
  <c r="GN10" i="13"/>
  <c r="HX7" i="12"/>
  <c r="HX24" i="11"/>
  <c r="HX72" i="11"/>
  <c r="HX20" i="13"/>
  <c r="CJ43" i="11"/>
  <c r="FD54" i="11"/>
  <c r="GN33" i="13"/>
  <c r="AZ10" i="15"/>
  <c r="AZ50" i="11"/>
  <c r="AZ98" i="11"/>
  <c r="AZ26" i="12"/>
  <c r="DT12" i="14"/>
  <c r="CJ9" i="11"/>
  <c r="CJ57" i="11"/>
  <c r="DT5" i="15"/>
  <c r="DT33" i="12"/>
  <c r="CJ30" i="13"/>
  <c r="DT47" i="11"/>
  <c r="GN7" i="14"/>
  <c r="FD27" i="12"/>
  <c r="FD68" i="11"/>
  <c r="DT28" i="13"/>
  <c r="GN17" i="11"/>
  <c r="GN89" i="11"/>
  <c r="FD18" i="13"/>
  <c r="HX16" i="15"/>
  <c r="HX37" i="11"/>
  <c r="HX97" i="11"/>
  <c r="AZ24" i="12"/>
  <c r="FD6" i="11"/>
  <c r="HX18" i="12"/>
  <c r="AZ7" i="14"/>
  <c r="AZ39" i="11"/>
  <c r="AZ99" i="11"/>
  <c r="CJ8" i="12"/>
  <c r="AZ29" i="13"/>
  <c r="CJ58" i="11"/>
  <c r="DT18" i="15"/>
  <c r="CJ19" i="13"/>
  <c r="DT48" i="11"/>
  <c r="GN8" i="14"/>
  <c r="FD9" i="11"/>
  <c r="FD69" i="11"/>
  <c r="DT29" i="13"/>
  <c r="GN30" i="11"/>
  <c r="GN90" i="11"/>
  <c r="FD19" i="13"/>
  <c r="HX9" i="12"/>
  <c r="HX38" i="11"/>
  <c r="HX98" i="11"/>
  <c r="AZ26" i="13"/>
  <c r="HX6" i="12"/>
  <c r="AZ52" i="11"/>
  <c r="AZ28" i="12"/>
  <c r="CJ71" i="11"/>
  <c r="DT61" i="11"/>
  <c r="FD82" i="11"/>
  <c r="GN103" i="11"/>
  <c r="HX51" i="11"/>
  <c r="GN87" i="11"/>
  <c r="AZ5" i="12"/>
  <c r="CJ84" i="11"/>
  <c r="DT74" i="11"/>
  <c r="FD95" i="11"/>
  <c r="GN16" i="12"/>
  <c r="HX64" i="11"/>
  <c r="HX14" i="15"/>
  <c r="AZ102" i="11"/>
  <c r="CJ61" i="11"/>
  <c r="DT51" i="11"/>
  <c r="FD72" i="11"/>
  <c r="GN93" i="11"/>
  <c r="HX41" i="11"/>
  <c r="DT83" i="11"/>
  <c r="FD11" i="15"/>
  <c r="FD8" i="11"/>
  <c r="FD56" i="11"/>
  <c r="FD104" i="11"/>
  <c r="HX21" i="14"/>
  <c r="GN29" i="11"/>
  <c r="GN77" i="11"/>
  <c r="GN25" i="12"/>
  <c r="GN11" i="13"/>
  <c r="HX8" i="12"/>
  <c r="HX25" i="11"/>
  <c r="HX73" i="11"/>
  <c r="HX21" i="13"/>
  <c r="CJ31" i="11"/>
  <c r="FD9" i="15"/>
  <c r="GN99" i="11"/>
  <c r="HX83" i="11"/>
  <c r="AZ19" i="14"/>
  <c r="AZ27" i="11"/>
  <c r="AZ75" i="11"/>
  <c r="CJ23" i="14"/>
  <c r="CJ20" i="12"/>
  <c r="AZ17" i="13"/>
  <c r="CJ34" i="11"/>
  <c r="CJ82" i="11"/>
  <c r="DT10" i="12"/>
  <c r="CJ7" i="13"/>
  <c r="DT24" i="11"/>
  <c r="DT72" i="11"/>
  <c r="GN20" i="14"/>
  <c r="FD28" i="12"/>
  <c r="FD45" i="11"/>
  <c r="FD93" i="11"/>
  <c r="HX10" i="14"/>
  <c r="GN18" i="11"/>
  <c r="GN66" i="11"/>
  <c r="GN14" i="12"/>
  <c r="FD31" i="13"/>
  <c r="HX17" i="15"/>
  <c r="HX14" i="11"/>
  <c r="HX62" i="11"/>
  <c r="HX10" i="13"/>
  <c r="CJ8" i="14"/>
  <c r="GN17" i="14"/>
  <c r="FD16" i="13"/>
  <c r="AZ8" i="14"/>
  <c r="AZ40" i="11"/>
  <c r="AZ88" i="11"/>
  <c r="AZ16" i="12"/>
  <c r="CJ33" i="12"/>
  <c r="AZ30" i="13"/>
  <c r="CJ47" i="11"/>
  <c r="CJ95" i="11"/>
  <c r="DT23" i="12"/>
  <c r="CJ20" i="13"/>
  <c r="DT37" i="11"/>
  <c r="DT85" i="11"/>
  <c r="FD13" i="15"/>
  <c r="FD10" i="11"/>
  <c r="FD58" i="11"/>
  <c r="DT6" i="13"/>
  <c r="HX23" i="14"/>
  <c r="GN31" i="11"/>
  <c r="GN79" i="11"/>
  <c r="GN27" i="12"/>
  <c r="GN13" i="13"/>
  <c r="HX10" i="12"/>
  <c r="HX27" i="11"/>
  <c r="HX75" i="11"/>
  <c r="HX23" i="13"/>
  <c r="CJ67" i="11"/>
  <c r="FD18" i="11"/>
  <c r="HX30" i="12"/>
  <c r="AZ5" i="11"/>
  <c r="AZ53" i="11"/>
  <c r="AZ101" i="11"/>
  <c r="AZ29" i="12"/>
  <c r="DT15" i="14"/>
  <c r="CJ12" i="11"/>
  <c r="CJ60" i="11"/>
  <c r="DT8" i="15"/>
  <c r="FD5" i="14"/>
  <c r="CJ33" i="13"/>
  <c r="DT50" i="11"/>
  <c r="DT98" i="11"/>
  <c r="FD6" i="12"/>
  <c r="FD23" i="11"/>
  <c r="FD71" i="11"/>
  <c r="DT19" i="13"/>
  <c r="GN16" i="15"/>
  <c r="GN44" i="11"/>
  <c r="GN92" i="11"/>
  <c r="FD9" i="13"/>
  <c r="GN26" i="13"/>
  <c r="HX23" i="12"/>
  <c r="HX40" i="11"/>
  <c r="HX88" i="11"/>
  <c r="AZ8" i="15"/>
  <c r="FD24" i="14"/>
  <c r="GN39" i="11"/>
  <c r="AZ12" i="15"/>
  <c r="AZ22" i="14"/>
  <c r="AZ30" i="11"/>
  <c r="AZ78" i="11"/>
  <c r="AZ6" i="12"/>
  <c r="CJ23" i="12"/>
  <c r="AZ20" i="13"/>
  <c r="CJ37" i="11"/>
  <c r="CJ85" i="11"/>
  <c r="DT13" i="12"/>
  <c r="CJ10" i="13"/>
  <c r="DT27" i="11"/>
  <c r="DT75" i="11"/>
  <c r="GN23" i="14"/>
  <c r="FD31" i="12"/>
  <c r="FD48" i="11"/>
  <c r="FD96" i="11"/>
  <c r="HX13" i="14"/>
  <c r="GN21" i="11"/>
  <c r="GN69" i="11"/>
  <c r="GN17" i="12"/>
  <c r="FD34" i="13"/>
  <c r="HX20" i="15"/>
  <c r="HX17" i="11"/>
  <c r="HX65" i="11"/>
  <c r="HX13" i="13"/>
  <c r="DT14" i="14"/>
  <c r="CJ11" i="11"/>
  <c r="CJ59" i="11"/>
  <c r="DT7" i="15"/>
  <c r="DT35" i="12"/>
  <c r="CJ32" i="13"/>
  <c r="DT49" i="11"/>
  <c r="DT97" i="11"/>
  <c r="FD5" i="12"/>
  <c r="FD22" i="11"/>
  <c r="FD70" i="11"/>
  <c r="DT18" i="13"/>
  <c r="GN15" i="15"/>
  <c r="GN43" i="11"/>
  <c r="GN91" i="11"/>
  <c r="FD8" i="13"/>
  <c r="GN25" i="13"/>
  <c r="HX22" i="12"/>
  <c r="HX39" i="11"/>
  <c r="HX87" i="11"/>
  <c r="HX35" i="13"/>
  <c r="DT7" i="12"/>
  <c r="DT14" i="13"/>
  <c r="HX7" i="13"/>
  <c r="AZ17" i="11"/>
  <c r="AZ65" i="11"/>
  <c r="CJ13" i="14"/>
  <c r="CJ10" i="12"/>
  <c r="AZ7" i="13"/>
  <c r="CJ24" i="11"/>
  <c r="CJ72" i="11"/>
  <c r="DT20" i="15"/>
  <c r="FD17" i="14"/>
  <c r="DT14" i="11"/>
  <c r="DT62" i="11"/>
  <c r="GN10" i="14"/>
  <c r="FD18" i="12"/>
  <c r="FD35" i="11"/>
  <c r="FD83" i="11"/>
  <c r="DT31" i="13"/>
  <c r="GN8" i="11"/>
  <c r="GN56" i="11"/>
  <c r="GN104" i="11"/>
  <c r="FD21" i="13"/>
  <c r="HX7" i="15"/>
  <c r="HX35" i="12"/>
  <c r="HX52" i="11"/>
  <c r="HX100" i="11"/>
  <c r="AZ96" i="11"/>
  <c r="DT81" i="11"/>
  <c r="GN23" i="12"/>
  <c r="AZ9" i="14"/>
  <c r="AZ14" i="15"/>
  <c r="AZ42" i="11"/>
  <c r="AZ90" i="11"/>
  <c r="AZ18" i="12"/>
  <c r="CJ35" i="12"/>
  <c r="AZ32" i="13"/>
  <c r="CJ49" i="11"/>
  <c r="CJ97" i="11"/>
  <c r="DT25" i="12"/>
  <c r="CJ22" i="13"/>
  <c r="DT39" i="11"/>
  <c r="DT87" i="11"/>
  <c r="FD15" i="15"/>
  <c r="FD12" i="11"/>
  <c r="FD60" i="11"/>
  <c r="DT8" i="13"/>
  <c r="GN5" i="15"/>
  <c r="GN33" i="11"/>
  <c r="GN81" i="11"/>
  <c r="GN29" i="12"/>
  <c r="GN15" i="13"/>
  <c r="HX12" i="12"/>
  <c r="HX29" i="11"/>
  <c r="HX77" i="11"/>
  <c r="HX25" i="13"/>
  <c r="HX89" i="11"/>
  <c r="DT45" i="11"/>
  <c r="GN63" i="11"/>
  <c r="HX59" i="11"/>
  <c r="AZ28" i="11"/>
  <c r="AZ76" i="11"/>
  <c r="CJ24" i="14"/>
  <c r="CJ21" i="12"/>
  <c r="AZ18" i="13"/>
  <c r="CJ35" i="11"/>
  <c r="CJ83" i="11"/>
  <c r="DT11" i="12"/>
  <c r="CJ8" i="13"/>
  <c r="DT25" i="11"/>
  <c r="DT73" i="11"/>
  <c r="GN21" i="14"/>
  <c r="FD29" i="12"/>
  <c r="FD46" i="11"/>
  <c r="FD94" i="11"/>
  <c r="HX11" i="14"/>
  <c r="GN19" i="11"/>
  <c r="GN67" i="11"/>
  <c r="GN15" i="12"/>
  <c r="FD32" i="13"/>
  <c r="HX18" i="15"/>
  <c r="HX15" i="11"/>
  <c r="HX63" i="11"/>
  <c r="HX11" i="13"/>
  <c r="DT10" i="14"/>
  <c r="GN5" i="14"/>
  <c r="FD28" i="13"/>
  <c r="AZ21" i="14"/>
  <c r="AZ41" i="11"/>
  <c r="AZ89" i="11"/>
  <c r="AZ17" i="12"/>
  <c r="CJ34" i="12"/>
  <c r="AZ31" i="13"/>
  <c r="CJ48" i="11"/>
  <c r="CJ96" i="11"/>
  <c r="DT24" i="12"/>
  <c r="CJ21" i="13"/>
  <c r="DT38" i="11"/>
  <c r="DT86" i="11"/>
  <c r="FD14" i="15"/>
  <c r="FD11" i="11"/>
  <c r="FD59" i="11"/>
  <c r="DT7" i="13"/>
  <c r="HX24" i="14"/>
  <c r="GN32" i="11"/>
  <c r="GN80" i="11"/>
  <c r="GN28" i="12"/>
  <c r="GN14" i="13"/>
  <c r="HX11" i="12"/>
  <c r="HX28" i="11"/>
  <c r="HX76" i="11"/>
  <c r="HX24" i="13"/>
  <c r="CJ79" i="11"/>
  <c r="FD66" i="11"/>
  <c r="HX95" i="11"/>
  <c r="AZ10" i="14"/>
  <c r="AZ18" i="11"/>
  <c r="AZ66" i="11"/>
  <c r="CJ14" i="14"/>
  <c r="CJ11" i="12"/>
  <c r="AZ8" i="13"/>
  <c r="CJ25" i="11"/>
  <c r="CJ73" i="11"/>
  <c r="DT21" i="15"/>
  <c r="FD18" i="14"/>
  <c r="DT15" i="11"/>
  <c r="DT63" i="11"/>
  <c r="GN11" i="14"/>
  <c r="FD19" i="12"/>
  <c r="FD36" i="11"/>
  <c r="FD84" i="11"/>
  <c r="DT32" i="13"/>
  <c r="GN9" i="11"/>
  <c r="GN57" i="11"/>
  <c r="GN5" i="12"/>
  <c r="FD22" i="13"/>
  <c r="HX8" i="15"/>
  <c r="HX5" i="11"/>
  <c r="HX53" i="11"/>
  <c r="HX101" i="11"/>
  <c r="D6" i="2"/>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GN7" i="2" a="1"/>
  <c r="CJ9" i="2" a="1"/>
  <c r="DT24" i="2" a="1"/>
  <c r="HX29" i="2" a="1"/>
  <c r="GN6" i="2" a="1"/>
  <c r="CJ8" i="2" a="1"/>
  <c r="DT12" i="2" a="1"/>
  <c r="HX28" i="2" a="1"/>
  <c r="GN5" i="2" a="1"/>
  <c r="CJ29" i="2" a="1"/>
  <c r="GN10" i="2" a="1"/>
  <c r="HX15" i="2" a="1"/>
  <c r="DT17" i="2" a="1"/>
  <c r="CJ15" i="2" a="1"/>
  <c r="DT10" i="2" a="1"/>
  <c r="DT28" i="2" a="1"/>
  <c r="HX25" i="2" a="1"/>
  <c r="DT27" i="2" a="1"/>
  <c r="GN24" i="2" a="1"/>
  <c r="DT21" i="2" a="1"/>
  <c r="GN13" i="2" a="1"/>
  <c r="DT11" i="2" a="1"/>
  <c r="CJ14" i="2" a="1"/>
  <c r="CJ10" i="2" a="1"/>
  <c r="CJ22" i="2" a="1"/>
  <c r="HX18" i="2" a="1"/>
  <c r="DT20" i="2" a="1"/>
  <c r="GN15" i="2" a="1"/>
  <c r="CJ12" i="2" a="1"/>
  <c r="HX17" i="2" a="1"/>
  <c r="DT19" i="2" a="1"/>
  <c r="DT6" i="2" a="1"/>
  <c r="DT23" i="2" a="1"/>
  <c r="HX16" i="2" a="1"/>
  <c r="DT18" i="2" a="1"/>
  <c r="CJ27" i="2" a="1"/>
  <c r="GN9" i="2" a="1"/>
  <c r="GN28" i="2" a="1"/>
  <c r="DT5" i="2" a="1"/>
  <c r="CJ26" i="2" a="1"/>
  <c r="HX26" i="2" a="1"/>
  <c r="CJ5" i="2" a="1"/>
  <c r="HX13" i="2" a="1"/>
  <c r="DT15" i="2" a="1"/>
  <c r="GN23" i="2" a="1"/>
  <c r="HX24" i="2" a="1"/>
  <c r="DT26" i="2" a="1"/>
  <c r="HX19" i="2" a="1"/>
  <c r="CJ13" i="2" a="1"/>
  <c r="HX22" i="2" a="1"/>
  <c r="HX6" i="2" a="1"/>
  <c r="DT8" i="2" a="1"/>
  <c r="CJ17" i="2" a="1"/>
  <c r="CJ11" i="2" a="1"/>
  <c r="HX5" i="2" a="1"/>
  <c r="DT7" i="2" a="1"/>
  <c r="CJ7" i="2" a="1"/>
  <c r="DT22" i="2" a="1"/>
  <c r="GN29" i="2" a="1"/>
  <c r="CJ19" i="2" a="1"/>
  <c r="DT13" i="2" a="1"/>
  <c r="GN20" i="2" a="1"/>
  <c r="GN16" i="2" a="1"/>
  <c r="CJ18" i="2" a="1"/>
  <c r="GN11" i="2" a="1"/>
  <c r="HX14" i="2" a="1"/>
  <c r="HX20" i="2" a="1"/>
  <c r="GN26" i="2" a="1"/>
  <c r="CJ28" i="2" a="1"/>
  <c r="HX9" i="2" a="1"/>
  <c r="HX12" i="2" a="1"/>
  <c r="GN12" i="2" a="1"/>
  <c r="HX23" i="2" a="1"/>
  <c r="GN22" i="2" a="1"/>
  <c r="HX8" i="2" a="1"/>
  <c r="GN19" i="2" a="1"/>
  <c r="CJ21" i="2" a="1"/>
  <c r="DT25" i="2" a="1"/>
  <c r="DT9" i="2" a="1"/>
  <c r="GN18" i="2" a="1"/>
  <c r="CJ20" i="2" a="1"/>
  <c r="DT14" i="2" a="1"/>
  <c r="HX7" i="2" a="1"/>
  <c r="GN17" i="2" a="1"/>
  <c r="CJ6" i="2" a="1"/>
  <c r="HX10" i="2" a="1"/>
  <c r="HX27" i="2" a="1"/>
  <c r="DT29" i="2" a="1"/>
  <c r="DT16" i="2" a="1"/>
  <c r="HX21" i="2" a="1"/>
  <c r="GN27" i="2" a="1"/>
  <c r="GN8" i="2" a="1"/>
  <c r="GN14" i="2" a="1"/>
  <c r="CJ16" i="2" a="1"/>
  <c r="GN21" i="2" a="1"/>
  <c r="GN25" i="2" a="1"/>
  <c r="CJ25" i="2" a="1"/>
  <c r="HX11" i="2" a="1"/>
  <c r="CJ23" i="2" a="1"/>
  <c r="CJ24"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12" i="2" a="1"/>
  <c r="AZ12" i="2" a="1"/>
  <c r="FD21" i="2" a="1"/>
  <c r="AZ9" i="2" a="1"/>
  <c r="FD27" i="2" a="1"/>
  <c r="FD23" i="2" a="1"/>
  <c r="FD6" i="2" a="1"/>
  <c r="AZ19" i="2" a="1"/>
  <c r="AZ15" i="2" a="1"/>
  <c r="FD28" i="2" a="1"/>
  <c r="AZ18" i="2" a="1"/>
  <c r="FD25" i="2" a="1"/>
  <c r="AZ14" i="2" a="1"/>
  <c r="AZ16" i="2" a="1"/>
  <c r="FD22" i="2" a="1"/>
  <c r="FD9" i="2" a="1"/>
  <c r="AZ17" i="2" a="1"/>
  <c r="AZ23" i="2" a="1"/>
  <c r="FD5" i="2" a="1"/>
  <c r="FD14" i="2" a="1"/>
  <c r="AZ6" i="2" a="1"/>
  <c r="FD7" i="2" a="1"/>
  <c r="FD26" i="2" a="1"/>
  <c r="FD24" i="2" a="1"/>
  <c r="AZ11" i="2" a="1"/>
  <c r="AZ26" i="2" a="1"/>
  <c r="AZ20" i="2" a="1"/>
  <c r="FD17" i="2" a="1"/>
  <c r="AZ27" i="2" a="1"/>
  <c r="AZ25" i="2" a="1"/>
  <c r="FD10" i="2" a="1"/>
  <c r="AZ22" i="2" a="1"/>
  <c r="FD19" i="2" a="1"/>
  <c r="FD11" i="2" a="1"/>
  <c r="FD29" i="2" a="1"/>
  <c r="AZ5" i="2" a="1"/>
  <c r="FD16" i="2" a="1"/>
  <c r="AZ13" i="2" a="1"/>
  <c r="AZ10" i="2" a="1"/>
  <c r="AZ21" i="2" a="1"/>
  <c r="FD8" i="2" a="1"/>
  <c r="FD18" i="2" a="1"/>
  <c r="AZ28" i="2" a="1"/>
  <c r="AZ24" i="2" a="1"/>
  <c r="FD20" i="2" a="1"/>
  <c r="AZ29" i="2" a="1"/>
  <c r="AZ8" i="2" a="1"/>
  <c r="FD15" i="2" a="1"/>
  <c r="AZ7" i="2" a="1"/>
  <c r="FD13"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<sst xmlns="http://schemas.openxmlformats.org/spreadsheetml/2006/main" count="4017" uniqueCount="441">
  <si>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</si>
  <si>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</si>
  <si>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</si>
  <si>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</si>
  <si>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</si>
  <si>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</si>
  <si>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</si>
  <si>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</si>
  <si>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</si>
  <si>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</si>
  <si>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</si>
  <si>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</si>
  <si>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</si>
  <si>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</si>
  <si>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</si>
  <si>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</si>
  <si>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</si>
  <si>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</si>
  <si>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</si>
  <si>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</si>
  <si>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</si>
  <si>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</si>
  <si>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</si>
  <si>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</si>
  <si>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</si>
  <si>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</si>
  <si>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</si>
  <si>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</si>
  <si>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</si>
  <si>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</si>
  <si>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</si>
  <si>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</si>
  <si>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</si>
  <si>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</si>
  <si>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</si>
  <si>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</si>
  <si>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</si>
  <si>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</si>
  <si>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</si>
  <si>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</si>
  <si>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</si>
  <si>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</si>
  <si>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</si>
  <si>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</si>
  <si>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</si>
  <si>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</si>
  <si>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</si>
  <si>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</si>
  <si>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</si>
  <si>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</si>
  <si>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</si>
  <si>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</si>
  <si>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</si>
  <si>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</si>
  <si>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</si>
  <si>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</si>
  <si>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</si>
  <si>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</si>
  <si>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</si>
  <si>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</si>
  <si>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</si>
  <si>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</si>
  <si>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</si>
  <si>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</si>
  <si>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</si>
  <si>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</si>
  <si>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</si>
  <si>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</si>
  <si>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</si>
  <si>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</si>
  <si>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</si>
  <si>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</si>
  <si>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</si>
  <si>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</si>
  <si>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</si>
  <si>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</si>
  <si>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</si>
  <si>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</si>
  <si>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</si>
  <si>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</si>
  <si>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</si>
  <si>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</si>
  <si>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</si>
  <si>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</si>
  <si>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</si>
  <si>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</si>
  <si>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</si>
  <si>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</si>
  <si>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</si>
  <si>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</si>
  <si>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</si>
  <si>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</si>
  <si>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</si>
  <si>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</si>
  <si>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</si>
  <si>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</si>
  <si>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</si>
  <si>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</si>
  <si>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</si>
  <si>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</si>
  <si>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</si>
  <si>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</si>
  <si>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</si>
  <si>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</si>
  <si>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</si>
  <si>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</si>
  <si>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</si>
  <si>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</si>
  <si>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</si>
  <si>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</si>
  <si>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</si>
  <si>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</si>
  <si>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</si>
  <si>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</si>
  <si>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</si>
  <si>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</si>
  <si>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</si>
  <si>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</si>
  <si>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</si>
  <si>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</si>
  <si>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</si>
  <si>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</si>
  <si>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</si>
  <si>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</si>
  <si>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</si>
  <si>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</si>
  <si>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</si>
  <si>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</si>
  <si>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</si>
  <si>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</si>
  <si>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</si>
  <si>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</si>
  <si>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</si>
  <si>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</si>
  <si>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</si>
  <si>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</si>
  <si>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</si>
  <si>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</si>
  <si>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</si>
  <si>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</si>
  <si>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</si>
  <si>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</si>
  <si>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</si>
  <si>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</si>
  <si>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</si>
  <si>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</si>
  <si>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</si>
  <si>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</si>
  <si>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</si>
  <si>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</si>
  <si>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</si>
  <si>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</si>
  <si>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</si>
  <si>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</si>
  <si>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</si>
  <si>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</si>
  <si>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</si>
  <si>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</si>
  <si>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</si>
  <si>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</si>
  <si>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</si>
  <si>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</si>
  <si>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</si>
  <si>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</si>
  <si>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</si>
  <si>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</si>
  <si>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</si>
  <si>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</si>
  <si>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</si>
  <si>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</si>
  <si>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</si>
  <si>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</si>
  <si>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</si>
  <si>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</si>
  <si>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</si>
  <si>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</si>
  <si>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</si>
  <si>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</si>
  <si>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</si>
  <si>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</si>
  <si>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</si>
  <si>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</si>
  <si>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</si>
  <si>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</si>
  <si>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</si>
  <si>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</si>
  <si>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</si>
  <si>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</si>
  <si>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</si>
  <si>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</si>
  <si>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</si>
  <si>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</si>
  <si>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</si>
  <si>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</si>
  <si>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</si>
  <si>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</si>
  <si>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</si>
  <si>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</si>
  <si>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</si>
  <si>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</si>
  <si>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</si>
  <si>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</si>
  <si>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</si>
  <si>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</si>
  <si>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</si>
  <si>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</si>
  <si>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</si>
  <si>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</si>
  <si>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</si>
  <si>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</si>
  <si>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</si>
  <si>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</si>
  <si>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</si>
  <si>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</si>
  <si>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</si>
  <si>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</si>
  <si>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</si>
  <si>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</si>
  <si>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</si>
  <si>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</si>
  <si>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</si>
  <si>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</si>
  <si>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</si>
  <si>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</si>
  <si>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</si>
  <si>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</si>
  <si>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</si>
  <si>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</si>
  <si>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</si>
  <si>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</si>
  <si>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</si>
  <si>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</si>
  <si>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</si>
  <si>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</si>
  <si>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</si>
  <si>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</si>
  <si>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</si>
  <si>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</si>
  <si>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</si>
  <si>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</si>
  <si>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</si>
  <si>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</si>
  <si>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</si>
  <si>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</si>
  <si>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</si>
  <si>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</si>
  <si>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</si>
  <si>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</si>
  <si>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</si>
  <si>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</si>
  <si>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</si>
  <si>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</si>
  <si>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</si>
  <si>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</si>
  <si>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</si>
  <si>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</si>
  <si>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</si>
  <si>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</si>
  <si>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</si>
  <si>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</si>
  <si>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</si>
  <si>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</si>
  <si>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</si>
  <si>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</si>
  <si>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</si>
  <si>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</si>
  <si>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</si>
  <si>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</si>
  <si>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</si>
  <si>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</si>
  <si>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</si>
  <si>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</si>
  <si>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</si>
  <si>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</si>
  <si>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</si>
  <si>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</si>
  <si>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</si>
  <si>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</si>
  <si>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</si>
  <si>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</si>
  <si>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</si>
  <si>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</si>
  <si>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</si>
  <si>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</si>
  <si>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</si>
  <si>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</si>
  <si>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</si>
  <si>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</si>
  <si>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</si>
  <si>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</si>
  <si>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</si>
  <si>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</si>
  <si>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</si>
  <si>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</si>
  <si>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</si>
  <si>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</si>
  <si>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</si>
  <si>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</si>
  <si>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</si>
  <si>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</si>
  <si>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</si>
  <si>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</si>
  <si>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</si>
  <si>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</si>
  <si>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</si>
  <si>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</si>
  <si>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</si>
  <si>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</si>
  <si>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</si>
  <si>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</si>
  <si>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</si>
  <si>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</si>
  <si>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</si>
  <si>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</si>
  <si>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</si>
  <si>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</si>
  <si>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</si>
  <si>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</si>
  <si>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</si>
  <si>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</si>
  <si>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</si>
  <si>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</si>
  <si>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</si>
  <si>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</si>
  <si>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</si>
  <si>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</si>
  <si>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</si>
  <si>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</si>
  <si>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</si>
  <si>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</si>
  <si>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</si>
  <si>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</si>
  <si>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</si>
  <si>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</si>
  <si>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</si>
  <si>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</si>
  <si>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</si>
  <si>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</si>
  <si>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</si>
  <si>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</si>
  <si>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</si>
  <si>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</si>
  <si>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</si>
  <si>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</si>
  <si>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</si>
  <si>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</si>
  <si>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</si>
  <si>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</si>
  <si>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</si>
  <si>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</si>
  <si>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</si>
  <si>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</si>
  <si>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</si>
  <si>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</si>
  <si>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</si>
  <si>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</si>
  <si>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</si>
  <si>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</si>
  <si>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</si>
  <si>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</si>
  <si>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</si>
  <si>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</si>
  <si>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</si>
  <si>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</si>
  <si>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</si>
  <si>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</si>
  <si>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</si>
  <si>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</si>
  <si>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</si>
  <si>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</si>
  <si>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</si>
  <si>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</si>
  <si>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</si>
  <si>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</si>
  <si>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</si>
  <si>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</si>
  <si>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</si>
  <si>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</si>
  <si>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</si>
  <si>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</si>
  <si>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</si>
  <si>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</si>
  <si>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</si>
  <si>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</si>
  <si>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</si>
  <si>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</si>
  <si>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</si>
  <si>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</si>
  <si>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</si>
  <si>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</si>
  <si>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</si>
  <si>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</si>
  <si>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</si>
  <si>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</si>
  <si>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</si>
  <si>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</si>
  <si>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</si>
  <si>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</si>
  <si>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</si>
  <si>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</si>
  <si>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</si>
  <si>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</si>
  <si>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</si>
  <si>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</si>
  <si>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</si>
  <si>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</si>
  <si>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</si>
  <si>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</si>
  <si>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</si>
  <si>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</si>
  <si>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</si>
  <si>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</si>
  <si>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</si>
  <si>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</si>
  <si>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</si>
  <si>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</si>
  <si>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</si>
  <si>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</si>
  <si>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</si>
  <si>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</si>
  <si>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</si>
  <si>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</si>
  <si>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</si>
  <si>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</si>
  <si>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</si>
  <si>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</si>
  <si>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</si>
  <si>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</si>
  <si>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</si>
  <si>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</si>
  <si>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</si>
  <si>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</si>
  <si>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</si>
  <si>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</si>
  <si>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</si>
  <si>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</si>
  <si>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</si>
  <si>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Python 3 Path</t>
  </si>
  <si>
    <t>PC5 Sheet List: Separated by a comma</t>
  </si>
  <si>
    <t>C:\Program Files (x86)\Python39-32\python.exe</t>
  </si>
  <si>
    <t>C:\CCS\MTPyPinchart\main.py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</si>
</sst>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219">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15" xfId="0" applyBorder="1" applyAlignment="1">
      <alignment horizontal="center"/>
    </xf>
    <xf numFmtId="0" fontId="0" fillId="0" borderId="17"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31" xfId="0" applyBorder="1"/>
    <xf numFmtId="0" fontId="0" fillId="0" borderId="29" xfId="0" applyBorder="1"/>
    <xf numFmtId="0" fontId="0" fillId="0" borderId="30" xfId="0" applyBorder="1"/>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31"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32" xfId="0" applyBorder="1" applyAlignment="1">
      <alignment wrapText="1"/>
    </xf>
    <xf numFmtId="0" fontId="0" fillId="0" borderId="6" xfId="0" applyBorder="1" applyAlignment="1">
      <alignment wrapText="1"/>
    </xf>
    <xf numFmtId="0" fontId="0" fillId="0" borderId="14" xfId="0" applyBorder="1"/>
    <xf numFmtId="0" fontId="0" fillId="0" borderId="46" xfId="0" applyBorder="1"/>
    <xf numFmtId="0" fontId="0" fillId="0" borderId="6" xfId="0" applyBorder="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27" xfId="0" applyBorder="1"/>
    <xf numFmtId="0" fontId="0" fillId="0" borderId="28" xfId="0" applyBorder="1"/>
    <xf numFmtId="0" fontId="4" fillId="0" borderId="31" xfId="0" applyFont="1" applyBorder="1"/>
    <xf numFmtId="0" fontId="0" fillId="0" borderId="31" xfId="0" applyBorder="1" applyAlignment="1"/>
    <xf numFmtId="0" fontId="0" fillId="0" borderId="11" xfId="0" applyBorder="1" applyAlignment="1">
      <alignment wrapText="1"/>
    </xf>
    <xf numFmtId="0" fontId="0" fillId="0" borderId="11" xfId="0" applyBorder="1"/>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16"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11</xdr:row>
          <xdr:rowOff>76200</xdr:rowOff>
        </xdr:from>
        <xdr:to>
          <xdr:col>10</xdr:col>
          <xdr:colOff>361950</xdr:colOff>
          <xdr:row>13</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22</xdr:row>
          <xdr:rowOff>104775</xdr:rowOff>
        </xdr:from>
        <xdr:to>
          <xdr:col>10</xdr:col>
          <xdr:colOff>352425</xdr:colOff>
          <xdr:row>24</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25</xdr:row>
          <xdr:rowOff>9525</xdr:rowOff>
        </xdr:from>
        <xdr:to>
          <xdr:col>10</xdr:col>
          <xdr:colOff>352425</xdr:colOff>
          <xdr:row>27</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11</xdr:row>
          <xdr:rowOff>85725</xdr:rowOff>
        </xdr:from>
        <xdr:to>
          <xdr:col>12</xdr:col>
          <xdr:colOff>1971675</xdr:colOff>
          <xdr:row>13</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13</xdr:row>
          <xdr:rowOff>180975</xdr:rowOff>
        </xdr:from>
        <xdr:to>
          <xdr:col>12</xdr:col>
          <xdr:colOff>1962150</xdr:colOff>
          <xdr:row>16</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22</xdr:row>
          <xdr:rowOff>85725</xdr:rowOff>
        </xdr:from>
        <xdr:to>
          <xdr:col>12</xdr:col>
          <xdr:colOff>1971675</xdr:colOff>
          <xdr:row>24</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24</xdr:row>
          <xdr:rowOff>180975</xdr:rowOff>
        </xdr:from>
        <xdr:to>
          <xdr:col>12</xdr:col>
          <xdr:colOff>1962150</xdr:colOff>
          <xdr:row>27</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8"/>
  <sheetViews>
    <sheetView tabSelected="1" zoomScale="85" zoomScaleNormal="85" workbookViewId="0">
      <selection activeCell="B12" sqref="B12:H17"/>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4.5703125" style="31" customWidth="1"/>
    <col min="13" max="13" width="41.42578125" style="31" customWidth="1"/>
    <col min="14" max="17" width="9.140625" style="31" customWidth="1"/>
    <col min="18" max="16384" width="9.140625" style="31"/>
  </cols>
  <sheetData>
    <row r="1" spans="1:18" x14ac:dyDescent="0.25">
      <c r="A1" s="164"/>
      <c r="B1" s="164"/>
    </row>
    <row r="2" spans="1:18" ht="15.75" customHeight="1" thickBot="1" x14ac:dyDescent="0.3">
      <c r="B2" t="s">
        <v>0</v>
      </c>
    </row>
    <row r="3" spans="1:18" ht="14.25" customHeight="1" thickBot="1" x14ac:dyDescent="0.3">
      <c r="B3" s="170" t="s">
        <v>1</v>
      </c>
      <c r="C3" s="171"/>
      <c r="D3" s="171"/>
      <c r="E3" s="171"/>
      <c r="F3" s="171"/>
      <c r="G3" s="171"/>
      <c r="H3" s="171"/>
      <c r="I3" s="171"/>
      <c r="J3" s="171"/>
      <c r="K3" s="172"/>
      <c r="L3" t="s">
        <v>2</v>
      </c>
    </row>
    <row r="4" spans="1:18" ht="14.25" customHeight="1" thickBot="1" x14ac:dyDescent="0.3">
      <c r="B4" s="167"/>
      <c r="C4" s="166"/>
      <c r="D4" s="166"/>
      <c r="E4" s="166"/>
      <c r="F4" s="166"/>
      <c r="G4" s="166"/>
      <c r="H4" s="166"/>
      <c r="I4" s="166"/>
      <c r="J4" s="166"/>
      <c r="K4" s="173"/>
      <c r="L4">
        <v>1</v>
      </c>
      <c r="M4" t="s">
        <v>3</v>
      </c>
    </row>
    <row r="5" spans="1:18" ht="14.25" customHeight="1" thickBot="1" x14ac:dyDescent="0.3">
      <c r="B5" s="167"/>
      <c r="C5" s="166"/>
      <c r="D5" s="166"/>
      <c r="E5" s="166"/>
      <c r="F5" s="166"/>
      <c r="G5" s="166"/>
      <c r="H5" s="166"/>
      <c r="I5" s="166"/>
      <c r="J5" s="166"/>
      <c r="K5" s="173"/>
      <c r="L5">
        <v>2</v>
      </c>
      <c r="M5" t="s">
        <v>4</v>
      </c>
    </row>
    <row r="6" spans="1:18" ht="14.25" customHeight="1" thickBot="1" x14ac:dyDescent="0.3">
      <c r="B6" s="168"/>
      <c r="C6" s="169"/>
      <c r="D6" s="169"/>
      <c r="E6" s="169"/>
      <c r="F6" s="169"/>
      <c r="G6" s="169"/>
      <c r="H6" s="169"/>
      <c r="I6" s="169"/>
      <c r="J6" s="169"/>
      <c r="K6" s="174"/>
      <c r="L6">
        <v>3</v>
      </c>
      <c r="M6" t="s">
        <v>5</v>
      </c>
    </row>
    <row r="7" spans="1:18" ht="15.75" customHeight="1" x14ac:dyDescent="0.25">
      <c r="B7" s="15"/>
      <c r="C7" s="15"/>
      <c r="D7" s="15"/>
      <c r="E7" s="15"/>
      <c r="F7" s="15"/>
      <c r="G7" s="15"/>
      <c r="H7" s="15"/>
      <c r="I7" s="15"/>
      <c r="J7" s="15"/>
      <c r="K7" s="15"/>
    </row>
    <row r="8" spans="1:18" ht="15.75" customHeight="1" thickBot="1" x14ac:dyDescent="0.3">
      <c r="B8" t="s">
        <v>6</v>
      </c>
    </row>
    <row r="9" spans="1:18" x14ac:dyDescent="0.25">
      <c r="B9" s="13" t="s">
        <v>7</v>
      </c>
      <c r="C9" s="14" t="s">
        <v>361</v>
      </c>
      <c r="D9" s="35" t="s">
        <v>8</v>
      </c>
      <c r="E9" s="35"/>
      <c r="F9" s="35"/>
      <c r="G9" s="35"/>
      <c r="H9" s="35"/>
      <c r="I9" s="35"/>
      <c r="J9" s="35"/>
      <c r="K9" s="36"/>
      <c r="M9" s="180" t="s">
        <v>434</v>
      </c>
      <c r="N9" s="182" t="s">
        <v>435</v>
      </c>
      <c r="O9" s="182"/>
      <c r="P9" s="182"/>
      <c r="Q9" s="182"/>
      <c r="R9" s="183"/>
    </row>
    <row r="10" spans="1:18" x14ac:dyDescent="0.25">
      <c r="B10" s="32" t="s">
        <v>437</v>
      </c>
      <c r="C10" t="s">
        <v>439</v>
      </c>
      <c r="D10" t="s">
        <v>8</v>
      </c>
      <c r="K10" s="37"/>
      <c r="M10" s="181"/>
      <c r="N10" s="184"/>
      <c r="O10" s="184"/>
      <c r="P10" s="184"/>
      <c r="Q10" s="184"/>
      <c r="R10" s="185"/>
    </row>
    <row r="11" spans="1:18" x14ac:dyDescent="0.25">
      <c r="B11" s="32" t="s">
        <v>9</v>
      </c>
      <c r="C11" t="s">
        <v>440</v>
      </c>
      <c r="D11" t="s">
        <v>8</v>
      </c>
      <c r="K11" s="37"/>
      <c r="M11" s="153"/>
      <c r="N11" s="176" t="s">
        <v>436</v>
      </c>
      <c r="O11" s="176"/>
      <c r="P11" s="176"/>
      <c r="Q11" s="176"/>
      <c r="R11" s="177"/>
    </row>
    <row r="12" spans="1:18" ht="15.75" customHeight="1" thickBot="1" x14ac:dyDescent="0.3">
      <c r="B12" s="165" t="s">
        <v>10</v>
      </c>
      <c r="C12" s="166"/>
      <c r="D12" s="166"/>
      <c r="E12" s="166"/>
      <c r="F12" s="166"/>
      <c r="G12" s="166"/>
      <c r="H12" s="166"/>
      <c r="I12" s="175"/>
      <c r="J12" s="166"/>
      <c r="K12" s="173"/>
      <c r="M12" s="153"/>
      <c r="N12" s="176"/>
      <c r="O12" s="176"/>
      <c r="P12" s="176"/>
      <c r="Q12" s="176"/>
      <c r="R12" s="177"/>
    </row>
    <row r="13" spans="1:18" x14ac:dyDescent="0.25">
      <c r="B13" s="167"/>
      <c r="C13" s="166"/>
      <c r="D13" s="166"/>
      <c r="E13" s="166"/>
      <c r="F13" s="166"/>
      <c r="G13" s="166"/>
      <c r="H13" s="166"/>
      <c r="I13" s="166"/>
      <c r="J13" s="166"/>
      <c r="K13" s="173"/>
      <c r="M13" s="153"/>
      <c r="N13" s="176"/>
      <c r="O13" s="176"/>
      <c r="P13" s="176"/>
      <c r="Q13" s="176"/>
      <c r="R13" s="177"/>
    </row>
    <row r="14" spans="1:18" x14ac:dyDescent="0.25">
      <c r="B14" s="167"/>
      <c r="C14" s="166"/>
      <c r="D14" s="166"/>
      <c r="E14" s="166"/>
      <c r="F14" s="166"/>
      <c r="G14" s="166"/>
      <c r="H14" s="166"/>
      <c r="I14" s="166"/>
      <c r="J14" s="166"/>
      <c r="K14" s="173"/>
      <c r="M14" s="153"/>
      <c r="N14" s="176"/>
      <c r="O14" s="176"/>
      <c r="P14" s="176"/>
      <c r="Q14" s="176"/>
      <c r="R14" s="177"/>
    </row>
    <row r="15" spans="1:18" x14ac:dyDescent="0.25">
      <c r="B15" s="167"/>
      <c r="C15" s="166"/>
      <c r="D15" s="166"/>
      <c r="E15" s="166"/>
      <c r="F15" s="166"/>
      <c r="G15" s="166"/>
      <c r="H15" s="166"/>
      <c r="I15" s="166"/>
      <c r="J15" s="166"/>
      <c r="K15" s="173"/>
      <c r="M15" s="153"/>
      <c r="N15" s="176"/>
      <c r="O15" s="176"/>
      <c r="P15" s="176"/>
      <c r="Q15" s="176"/>
      <c r="R15" s="177"/>
    </row>
    <row r="16" spans="1:18" x14ac:dyDescent="0.25">
      <c r="B16" s="167"/>
      <c r="C16" s="166"/>
      <c r="D16" s="166"/>
      <c r="E16" s="166"/>
      <c r="F16" s="166"/>
      <c r="G16" s="166"/>
      <c r="H16" s="166"/>
      <c r="I16" s="166"/>
      <c r="J16" s="166"/>
      <c r="K16" s="173"/>
      <c r="M16" s="153"/>
      <c r="N16" s="176"/>
      <c r="O16" s="176"/>
      <c r="P16" s="176"/>
      <c r="Q16" s="176"/>
      <c r="R16" s="177"/>
    </row>
    <row r="17" spans="2:18" ht="15.75" customHeight="1" thickBot="1" x14ac:dyDescent="0.3">
      <c r="B17" s="168"/>
      <c r="C17" s="169"/>
      <c r="D17" s="169"/>
      <c r="E17" s="169"/>
      <c r="F17" s="169"/>
      <c r="G17" s="169"/>
      <c r="H17" s="169"/>
      <c r="I17" s="169"/>
      <c r="J17" s="169"/>
      <c r="K17" s="174"/>
      <c r="M17" s="154"/>
      <c r="N17" s="178"/>
      <c r="O17" s="178"/>
      <c r="P17" s="178"/>
      <c r="Q17" s="178"/>
      <c r="R17" s="179"/>
    </row>
    <row r="19" spans="2:18" ht="15.75" customHeight="1" thickBot="1" x14ac:dyDescent="0.3">
      <c r="B19" t="s">
        <v>11</v>
      </c>
    </row>
    <row r="20" spans="2:18" ht="15" customHeight="1" x14ac:dyDescent="0.25">
      <c r="B20" s="13" t="s">
        <v>12</v>
      </c>
      <c r="C20" s="155" t="s">
        <v>13</v>
      </c>
      <c r="D20" s="155" t="s">
        <v>8</v>
      </c>
      <c r="E20" s="155"/>
      <c r="F20" s="155"/>
      <c r="G20" s="155"/>
      <c r="H20" s="155"/>
      <c r="I20" s="155"/>
      <c r="J20" s="155"/>
      <c r="K20" s="156"/>
      <c r="M20" s="180" t="s">
        <v>434</v>
      </c>
      <c r="N20" s="182" t="s">
        <v>438</v>
      </c>
      <c r="O20" s="182"/>
      <c r="P20" s="182"/>
      <c r="Q20" s="182"/>
      <c r="R20" s="183"/>
    </row>
    <row r="21" spans="2:18" ht="15" customHeight="1" x14ac:dyDescent="0.25">
      <c r="B21" s="163" t="s">
        <v>24</v>
      </c>
      <c r="C21" s="162"/>
      <c r="D21" s="162"/>
      <c r="E21" s="162"/>
      <c r="F21" s="162"/>
      <c r="G21" s="162"/>
      <c r="H21" s="162"/>
      <c r="I21" s="162"/>
      <c r="J21" s="162"/>
      <c r="K21" s="161"/>
      <c r="M21" s="181"/>
      <c r="N21" s="184"/>
      <c r="O21" s="184"/>
      <c r="P21" s="184"/>
      <c r="Q21" s="184"/>
      <c r="R21" s="185"/>
    </row>
    <row r="22" spans="2:18" x14ac:dyDescent="0.25">
      <c r="B22" s="157"/>
      <c r="C22" s="162"/>
      <c r="D22" s="162"/>
      <c r="E22" s="162"/>
      <c r="F22" s="162"/>
      <c r="G22" s="162"/>
      <c r="H22" s="162"/>
      <c r="I22" s="162"/>
      <c r="J22" s="162"/>
      <c r="K22" s="161"/>
      <c r="M22" s="153"/>
      <c r="N22" s="176"/>
      <c r="O22" s="176"/>
      <c r="P22" s="176"/>
      <c r="Q22" s="176"/>
      <c r="R22" s="177"/>
    </row>
    <row r="23" spans="2:18" x14ac:dyDescent="0.25">
      <c r="B23" s="157"/>
      <c r="C23" s="162"/>
      <c r="D23" s="162"/>
      <c r="E23" s="162"/>
      <c r="F23" s="162"/>
      <c r="G23" s="162"/>
      <c r="H23" s="162"/>
      <c r="I23" s="162"/>
      <c r="J23" s="162"/>
      <c r="K23" s="161"/>
      <c r="M23" s="153"/>
      <c r="N23" s="176"/>
      <c r="O23" s="176"/>
      <c r="P23" s="176"/>
      <c r="Q23" s="176"/>
      <c r="R23" s="177"/>
    </row>
    <row r="24" spans="2:18" x14ac:dyDescent="0.25">
      <c r="B24" s="157"/>
      <c r="C24" s="162"/>
      <c r="D24" s="162"/>
      <c r="E24" s="162"/>
      <c r="F24" s="162"/>
      <c r="G24" s="162"/>
      <c r="H24" s="162"/>
      <c r="I24" s="162"/>
      <c r="J24" s="162"/>
      <c r="K24" s="161"/>
      <c r="M24" s="153"/>
      <c r="N24" s="176"/>
      <c r="O24" s="176"/>
      <c r="P24" s="176"/>
      <c r="Q24" s="176"/>
      <c r="R24" s="177"/>
    </row>
    <row r="25" spans="2:18" x14ac:dyDescent="0.25">
      <c r="B25" s="157"/>
      <c r="C25" s="162"/>
      <c r="D25" s="162"/>
      <c r="E25" s="162"/>
      <c r="F25" s="162"/>
      <c r="G25" s="162"/>
      <c r="H25" s="162"/>
      <c r="I25" s="162"/>
      <c r="J25" s="162"/>
      <c r="K25" s="161"/>
      <c r="M25" s="153"/>
      <c r="N25" s="176"/>
      <c r="O25" s="176"/>
      <c r="P25" s="176"/>
      <c r="Q25" s="176"/>
      <c r="R25" s="177"/>
    </row>
    <row r="26" spans="2:18" s="152" customFormat="1" x14ac:dyDescent="0.25">
      <c r="B26" s="157"/>
      <c r="C26" s="162"/>
      <c r="D26" s="162"/>
      <c r="E26" s="162"/>
      <c r="F26" s="162"/>
      <c r="G26" s="162"/>
      <c r="H26" s="162"/>
      <c r="I26" s="162"/>
      <c r="J26" s="162"/>
      <c r="K26" s="161"/>
      <c r="M26" s="153"/>
      <c r="N26" s="176"/>
      <c r="O26" s="176"/>
      <c r="P26" s="176"/>
      <c r="Q26" s="176"/>
      <c r="R26" s="177"/>
    </row>
    <row r="27" spans="2:18" s="152" customFormat="1" x14ac:dyDescent="0.25">
      <c r="B27" s="157"/>
      <c r="C27" s="162"/>
      <c r="D27" s="162"/>
      <c r="E27" s="162"/>
      <c r="F27" s="162"/>
      <c r="G27" s="162"/>
      <c r="H27" s="162"/>
      <c r="I27" s="162"/>
      <c r="J27" s="162"/>
      <c r="K27" s="161"/>
      <c r="M27" s="153"/>
      <c r="N27" s="176"/>
      <c r="O27" s="176"/>
      <c r="P27" s="176"/>
      <c r="Q27" s="176"/>
      <c r="R27" s="177"/>
    </row>
    <row r="28" spans="2:18" ht="15.75" customHeight="1" thickBot="1" x14ac:dyDescent="0.3">
      <c r="B28" s="158"/>
      <c r="C28" s="159"/>
      <c r="D28" s="159"/>
      <c r="E28" s="159"/>
      <c r="F28" s="159"/>
      <c r="G28" s="159"/>
      <c r="H28" s="159"/>
      <c r="I28" s="159"/>
      <c r="J28" s="159"/>
      <c r="K28" s="160"/>
      <c r="M28" s="154"/>
      <c r="N28" s="178"/>
      <c r="O28" s="178"/>
      <c r="P28" s="178"/>
      <c r="Q28" s="178"/>
      <c r="R28" s="179"/>
    </row>
    <row r="30" spans="2:18" ht="15.75" customHeight="1" thickBot="1" x14ac:dyDescent="0.3"/>
    <row r="31" spans="2:18" x14ac:dyDescent="0.25">
      <c r="B31" s="13" t="s">
        <v>14</v>
      </c>
      <c r="C31" s="35"/>
      <c r="D31" s="35" t="s">
        <v>15</v>
      </c>
      <c r="E31" s="35"/>
      <c r="F31" s="35"/>
      <c r="G31" s="35"/>
      <c r="H31" s="35"/>
      <c r="I31" s="35"/>
      <c r="J31" s="35"/>
      <c r="K31" s="36"/>
    </row>
    <row r="32" spans="2:18" x14ac:dyDescent="0.25">
      <c r="B32" s="32" t="s">
        <v>424</v>
      </c>
      <c r="D32" s="31" t="s">
        <v>426</v>
      </c>
      <c r="K32" s="37"/>
    </row>
    <row r="33" spans="2:11" x14ac:dyDescent="0.25">
      <c r="B33" s="32" t="s">
        <v>16</v>
      </c>
      <c r="K33" s="37"/>
    </row>
    <row r="34" spans="2:11" s="148" customFormat="1" x14ac:dyDescent="0.25">
      <c r="B34" s="149" t="s">
        <v>425</v>
      </c>
      <c r="D34" s="148" t="s">
        <v>426</v>
      </c>
      <c r="K34" s="150"/>
    </row>
    <row r="35" spans="2:11" s="148" customFormat="1" x14ac:dyDescent="0.25">
      <c r="B35" s="149" t="s">
        <v>17</v>
      </c>
      <c r="K35" s="150"/>
    </row>
    <row r="36" spans="2:11" ht="15.75" customHeight="1" thickBot="1" x14ac:dyDescent="0.3">
      <c r="B36" s="33" t="s">
        <v>18</v>
      </c>
      <c r="C36" s="34"/>
      <c r="D36" s="34"/>
      <c r="E36" s="34"/>
      <c r="F36" s="34"/>
      <c r="G36" s="34"/>
      <c r="H36" s="34"/>
      <c r="I36" s="34"/>
      <c r="J36" s="34"/>
      <c r="K36" s="38"/>
    </row>
    <row r="37" spans="2:11" ht="15.75" thickBot="1" x14ac:dyDescent="0.3"/>
    <row r="38" spans="2:11" x14ac:dyDescent="0.25">
      <c r="B38" s="146" t="s">
        <v>417</v>
      </c>
      <c r="C38" s="141" t="s">
        <v>418</v>
      </c>
      <c r="D38" s="141" t="s">
        <v>419</v>
      </c>
      <c r="E38" s="141" t="s">
        <v>428</v>
      </c>
      <c r="F38" s="141"/>
      <c r="G38" s="141"/>
      <c r="H38" s="141"/>
      <c r="I38" s="141"/>
      <c r="J38" s="141"/>
      <c r="K38" s="142"/>
    </row>
    <row r="39" spans="2:11" x14ac:dyDescent="0.25">
      <c r="B39" s="138"/>
      <c r="C39" s="147" t="s">
        <v>420</v>
      </c>
      <c r="D39" s="147">
        <v>1</v>
      </c>
      <c r="E39" s="147" t="s">
        <v>429</v>
      </c>
      <c r="F39" s="147"/>
      <c r="G39" s="147"/>
      <c r="H39" s="147"/>
      <c r="I39" s="147"/>
      <c r="J39" s="147"/>
      <c r="K39" s="143"/>
    </row>
    <row r="40" spans="2:11" x14ac:dyDescent="0.25">
      <c r="B40" s="138"/>
      <c r="C40" s="147" t="s">
        <v>421</v>
      </c>
      <c r="D40" s="147">
        <v>2</v>
      </c>
      <c r="E40" s="147" t="s">
        <v>430</v>
      </c>
      <c r="F40" s="147"/>
      <c r="G40" s="147"/>
      <c r="H40" s="147"/>
      <c r="I40" s="147"/>
      <c r="J40" s="147"/>
      <c r="K40" s="143"/>
    </row>
    <row r="41" spans="2:11" x14ac:dyDescent="0.25">
      <c r="B41" s="138"/>
      <c r="C41" s="145" t="s">
        <v>422</v>
      </c>
      <c r="D41" s="147">
        <v>-32</v>
      </c>
      <c r="E41" s="145" t="s">
        <v>431</v>
      </c>
      <c r="F41" s="147"/>
      <c r="G41" s="147"/>
      <c r="H41" s="147"/>
      <c r="I41" s="147"/>
      <c r="J41" s="147"/>
      <c r="K41" s="143"/>
    </row>
    <row r="42" spans="2:11" x14ac:dyDescent="0.25">
      <c r="B42" s="138"/>
      <c r="C42" s="145" t="s">
        <v>423</v>
      </c>
      <c r="D42" s="145">
        <v>-16</v>
      </c>
      <c r="E42" s="145" t="s">
        <v>431</v>
      </c>
      <c r="F42" s="147"/>
      <c r="G42" s="147"/>
      <c r="H42" s="147"/>
      <c r="I42" s="147"/>
      <c r="J42" s="147"/>
      <c r="K42" s="143"/>
    </row>
    <row r="43" spans="2:11" x14ac:dyDescent="0.25">
      <c r="B43" s="138"/>
      <c r="C43" s="145" t="s">
        <v>427</v>
      </c>
      <c r="D43" s="145">
        <v>-1</v>
      </c>
      <c r="E43" s="145" t="s">
        <v>432</v>
      </c>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x14ac:dyDescent="0.25">
      <c r="B46" s="138"/>
      <c r="C46" s="147"/>
      <c r="D46" s="147"/>
      <c r="E46" s="147"/>
      <c r="F46" s="147"/>
      <c r="G46" s="147"/>
      <c r="H46" s="147"/>
      <c r="I46" s="147"/>
      <c r="J46" s="147"/>
      <c r="K46" s="143"/>
    </row>
    <row r="47" spans="2:11" x14ac:dyDescent="0.25">
      <c r="B47" s="138"/>
      <c r="C47" s="147"/>
      <c r="D47" s="147"/>
      <c r="E47" s="147"/>
      <c r="F47" s="147"/>
      <c r="G47" s="147"/>
      <c r="H47" s="147"/>
      <c r="I47" s="147"/>
      <c r="J47" s="147"/>
      <c r="K47" s="143"/>
    </row>
    <row r="48" spans="2:11" ht="15.75" thickBot="1" x14ac:dyDescent="0.3">
      <c r="B48" s="139"/>
      <c r="C48" s="140"/>
      <c r="D48" s="140"/>
      <c r="E48" s="140"/>
      <c r="F48" s="140"/>
      <c r="G48" s="140"/>
      <c r="H48" s="140"/>
      <c r="I48" s="140"/>
      <c r="J48" s="140"/>
      <c r="K48" s="144"/>
    </row>
  </sheetData>
  <mergeCells count="10">
    <mergeCell ref="A1:B1"/>
    <mergeCell ref="B12:H17"/>
    <mergeCell ref="B3:K6"/>
    <mergeCell ref="I12:K17"/>
    <mergeCell ref="N22:R28"/>
    <mergeCell ref="M20:M21"/>
    <mergeCell ref="N20:R21"/>
    <mergeCell ref="M9:M10"/>
    <mergeCell ref="N9:R10"/>
    <mergeCell ref="N11:R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11</xdr:row>
                    <xdr:rowOff>76200</xdr:rowOff>
                  </from>
                  <to>
                    <xdr:col>10</xdr:col>
                    <xdr:colOff>361950</xdr:colOff>
                    <xdr:row>13</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22</xdr:row>
                    <xdr:rowOff>104775</xdr:rowOff>
                  </from>
                  <to>
                    <xdr:col>10</xdr:col>
                    <xdr:colOff>352425</xdr:colOff>
                    <xdr:row>24</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25</xdr:row>
                    <xdr:rowOff>9525</xdr:rowOff>
                  </from>
                  <to>
                    <xdr:col>10</xdr:col>
                    <xdr:colOff>352425</xdr:colOff>
                    <xdr:row>27</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11</xdr:row>
                    <xdr:rowOff>85725</xdr:rowOff>
                  </from>
                  <to>
                    <xdr:col>12</xdr:col>
                    <xdr:colOff>1971675</xdr:colOff>
                    <xdr:row>13</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13</xdr:row>
                    <xdr:rowOff>180975</xdr:rowOff>
                  </from>
                  <to>
                    <xdr:col>12</xdr:col>
                    <xdr:colOff>1962150</xdr:colOff>
                    <xdr:row>16</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22</xdr:row>
                    <xdr:rowOff>85725</xdr:rowOff>
                  </from>
                  <to>
                    <xdr:col>12</xdr:col>
                    <xdr:colOff>1971675</xdr:colOff>
                    <xdr:row>24</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24</xdr:row>
                    <xdr:rowOff>180975</xdr:rowOff>
                  </from>
                  <to>
                    <xdr:col>12</xdr:col>
                    <xdr:colOff>1962150</xdr:colOff>
                    <xdr:row>27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206" t="s">
        <v>135</v>
      </c>
      <c r="B1" s="186"/>
      <c r="C1" s="186" t="s">
        <v>124</v>
      </c>
      <c r="D1" s="204"/>
      <c r="E1" s="204"/>
      <c r="F1" s="205"/>
      <c r="G1" s="186" t="s">
        <v>125</v>
      </c>
      <c r="H1" s="204"/>
      <c r="I1" s="204"/>
      <c r="J1" s="205"/>
      <c r="K1" s="186" t="s">
        <v>126</v>
      </c>
      <c r="L1" s="204"/>
      <c r="M1" s="204"/>
      <c r="N1" s="205"/>
      <c r="O1" s="186" t="s">
        <v>127</v>
      </c>
      <c r="P1" s="204"/>
      <c r="Q1" s="204"/>
      <c r="R1" s="205"/>
      <c r="S1" s="46"/>
      <c r="T1" s="207" t="s">
        <v>128</v>
      </c>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t="s">
        <v>129</v>
      </c>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t="s">
        <v>130</v>
      </c>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7"/>
      <c r="DQ1" s="207"/>
      <c r="DR1" s="207"/>
      <c r="DS1" s="207"/>
      <c r="DT1" s="207"/>
      <c r="DU1" s="207"/>
      <c r="DV1" s="207"/>
      <c r="DW1" s="207"/>
      <c r="DX1" s="186" t="s">
        <v>131</v>
      </c>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t="s">
        <v>132</v>
      </c>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c r="GR1" s="186" t="s">
        <v>133</v>
      </c>
      <c r="GS1" s="186"/>
      <c r="GT1" s="186"/>
      <c r="GU1" s="186"/>
      <c r="GV1" s="186"/>
      <c r="GW1" s="186"/>
      <c r="GX1" s="186"/>
      <c r="GY1" s="186"/>
      <c r="GZ1" s="186"/>
      <c r="HA1" s="186"/>
      <c r="HB1" s="186"/>
      <c r="HC1" s="186"/>
      <c r="HD1" s="186"/>
      <c r="HE1" s="186"/>
      <c r="HF1" s="186"/>
      <c r="HG1" s="186"/>
      <c r="HH1" s="186"/>
      <c r="HI1" s="186"/>
      <c r="HJ1" s="186"/>
      <c r="HK1" s="186"/>
      <c r="HL1" s="186"/>
      <c r="HM1" s="186"/>
      <c r="HN1" s="186"/>
      <c r="HO1" s="186"/>
      <c r="HP1" s="186"/>
      <c r="HQ1" s="186"/>
      <c r="HR1" s="186"/>
      <c r="HS1" s="186"/>
      <c r="HT1" s="186"/>
      <c r="HU1" s="186"/>
      <c r="HV1" s="186"/>
      <c r="HW1" s="186"/>
      <c r="HX1" s="186"/>
      <c r="HY1" s="186"/>
      <c r="HZ1" s="186"/>
      <c r="IA1" s="186"/>
      <c r="IB1" s="186" t="s">
        <v>134</v>
      </c>
      <c r="IC1" s="204"/>
      <c r="ID1" s="204"/>
      <c r="IE1" s="205"/>
    </row>
    <row r="2" spans="1:239" ht="312.75" thickBot="1" x14ac:dyDescent="0.3">
      <c r="A2" s="1"/>
      <c r="B2" s="2" t="s">
        <v>52</v>
      </c>
      <c r="C2" s="4" t="s">
        <v>110</v>
      </c>
      <c r="D2" s="199"/>
      <c r="E2" s="197"/>
      <c r="F2" s="198"/>
      <c r="G2" s="109" t="s">
        <v>108</v>
      </c>
      <c r="H2" s="208"/>
      <c r="I2" s="171"/>
      <c r="J2" s="172"/>
      <c r="K2" s="109" t="s">
        <v>111</v>
      </c>
      <c r="L2" s="208"/>
      <c r="M2" s="171"/>
      <c r="N2" s="172"/>
      <c r="O2" s="4" t="s">
        <v>107</v>
      </c>
      <c r="P2" s="209"/>
      <c r="Q2" s="171"/>
      <c r="R2" s="172"/>
      <c r="S2" s="110" t="s">
        <v>136</v>
      </c>
      <c r="T2" s="16" t="s">
        <v>25</v>
      </c>
      <c r="U2" s="17" t="s">
        <v>26</v>
      </c>
      <c r="V2" s="17"/>
      <c r="W2" s="17" t="s">
        <v>27</v>
      </c>
      <c r="X2" s="17" t="s">
        <v>28</v>
      </c>
      <c r="Y2" s="59"/>
      <c r="Z2" s="59"/>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95"/>
      <c r="BB2" s="187"/>
      <c r="BC2" s="188"/>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95"/>
      <c r="CL2" s="187"/>
      <c r="CM2" s="188"/>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95"/>
      <c r="DV2" s="187"/>
      <c r="DW2" s="188"/>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96"/>
      <c r="FF2" s="197"/>
      <c r="FG2" s="198"/>
      <c r="FH2" s="108" t="s">
        <v>341</v>
      </c>
      <c r="FI2" s="47" t="s">
        <v>342</v>
      </c>
      <c r="FJ2" s="47" t="s">
        <v>343</v>
      </c>
      <c r="FK2" s="47" t="s">
        <v>344</v>
      </c>
      <c r="FL2" s="47" t="s">
        <v>345</v>
      </c>
      <c r="FM2" s="47"/>
      <c r="FN2" s="47"/>
      <c r="FO2" s="47"/>
      <c r="FP2" s="47"/>
      <c r="FQ2" s="47"/>
      <c r="FR2" s="47"/>
      <c r="FS2" s="47"/>
      <c r="FT2" s="47"/>
      <c r="FU2" s="47"/>
      <c r="FV2" s="47"/>
      <c r="FW2" s="47"/>
      <c r="FX2" s="47"/>
      <c r="FY2" s="47"/>
      <c r="FZ2" s="47"/>
      <c r="GA2" s="47"/>
      <c r="GB2" s="47"/>
      <c r="GC2" s="47"/>
      <c r="GD2" s="47"/>
      <c r="GE2" s="47" t="s">
        <v>346</v>
      </c>
      <c r="GF2" s="47" t="s">
        <v>347</v>
      </c>
      <c r="GG2" s="47" t="s">
        <v>348</v>
      </c>
      <c r="GH2" s="47" t="s">
        <v>349</v>
      </c>
      <c r="GI2" s="47" t="s">
        <v>350</v>
      </c>
      <c r="GJ2" s="47" t="s">
        <v>351</v>
      </c>
      <c r="GK2" s="47" t="s">
        <v>352</v>
      </c>
      <c r="GL2" s="47" t="s">
        <v>353</v>
      </c>
      <c r="GM2" s="48" t="s">
        <v>354</v>
      </c>
      <c r="GN2" s="2"/>
      <c r="GO2" s="196"/>
      <c r="GP2" s="197"/>
      <c r="GQ2" s="198"/>
      <c r="GR2" s="108"/>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96"/>
      <c r="HZ2" s="197"/>
      <c r="IA2" s="198"/>
      <c r="IB2" s="4" t="s">
        <v>19</v>
      </c>
      <c r="IC2" s="199"/>
      <c r="ID2" s="197"/>
      <c r="IE2" s="198"/>
    </row>
    <row r="3" spans="1:239" ht="15.75" customHeight="1" thickBot="1" x14ac:dyDescent="0.3">
      <c r="A3" s="40" t="s">
        <v>20</v>
      </c>
      <c r="B3" s="40"/>
      <c r="C3" s="43" t="s">
        <v>18</v>
      </c>
      <c r="D3" s="186" t="s">
        <v>21</v>
      </c>
      <c r="E3" s="187"/>
      <c r="F3" s="188"/>
      <c r="G3" s="107" t="s">
        <v>17</v>
      </c>
      <c r="H3" s="191" t="s">
        <v>21</v>
      </c>
      <c r="I3" s="187"/>
      <c r="J3" s="188"/>
      <c r="K3" s="107" t="s">
        <v>17</v>
      </c>
      <c r="L3" s="191" t="s">
        <v>21</v>
      </c>
      <c r="M3" s="187"/>
      <c r="N3" s="188"/>
      <c r="O3" s="43" t="s">
        <v>17</v>
      </c>
      <c r="P3" s="186" t="s">
        <v>21</v>
      </c>
      <c r="Q3" s="187"/>
      <c r="R3" s="188"/>
      <c r="S3" s="110"/>
      <c r="T3" s="189"/>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8"/>
      <c r="AZ3" s="40" t="s">
        <v>425</v>
      </c>
      <c r="BA3" s="190" t="s">
        <v>21</v>
      </c>
      <c r="BB3" s="187"/>
      <c r="BC3" s="188"/>
      <c r="BD3" s="189"/>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8"/>
      <c r="CJ3" s="43" t="s">
        <v>425</v>
      </c>
      <c r="CK3" s="190" t="s">
        <v>21</v>
      </c>
      <c r="CL3" s="187"/>
      <c r="CM3" s="188"/>
      <c r="CN3" s="189"/>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8"/>
      <c r="DT3" s="43" t="s">
        <v>425</v>
      </c>
      <c r="DU3" s="191" t="s">
        <v>21</v>
      </c>
      <c r="DV3" s="187"/>
      <c r="DW3" s="188"/>
      <c r="DX3" s="192"/>
      <c r="DY3" s="193"/>
      <c r="DZ3" s="193"/>
      <c r="EA3" s="193"/>
      <c r="EB3" s="193"/>
      <c r="EC3" s="193"/>
      <c r="ED3" s="193"/>
      <c r="EE3" s="193"/>
      <c r="EF3" s="193"/>
      <c r="EG3" s="193"/>
      <c r="EH3" s="193"/>
      <c r="EI3" s="193"/>
      <c r="EJ3" s="193"/>
      <c r="EK3" s="193"/>
      <c r="EL3" s="193"/>
      <c r="EM3" s="193"/>
      <c r="EN3" s="193"/>
      <c r="EO3" s="193"/>
      <c r="EP3" s="193"/>
      <c r="EQ3" s="193"/>
      <c r="ER3" s="193"/>
      <c r="ES3" s="193"/>
      <c r="ET3" s="193"/>
      <c r="EU3" s="193"/>
      <c r="EV3" s="193"/>
      <c r="EW3" s="193"/>
      <c r="EX3" s="193"/>
      <c r="EY3" s="193"/>
      <c r="EZ3" s="193"/>
      <c r="FA3" s="193"/>
      <c r="FB3" s="193"/>
      <c r="FC3" s="194"/>
      <c r="FD3" s="44" t="s">
        <v>425</v>
      </c>
      <c r="FE3" s="191" t="s">
        <v>21</v>
      </c>
      <c r="FF3" s="187"/>
      <c r="FG3" s="188"/>
      <c r="FH3" s="192"/>
      <c r="FI3" s="193"/>
      <c r="FJ3" s="193"/>
      <c r="FK3" s="193"/>
      <c r="FL3" s="193"/>
      <c r="FM3" s="193"/>
      <c r="FN3" s="193"/>
      <c r="FO3" s="193"/>
      <c r="FP3" s="193"/>
      <c r="FQ3" s="193"/>
      <c r="FR3" s="193"/>
      <c r="FS3" s="193"/>
      <c r="FT3" s="193"/>
      <c r="FU3" s="193"/>
      <c r="FV3" s="193"/>
      <c r="FW3" s="193"/>
      <c r="FX3" s="193"/>
      <c r="FY3" s="193"/>
      <c r="FZ3" s="193"/>
      <c r="GA3" s="193"/>
      <c r="GB3" s="193"/>
      <c r="GC3" s="193"/>
      <c r="GD3" s="193"/>
      <c r="GE3" s="193"/>
      <c r="GF3" s="193"/>
      <c r="GG3" s="193"/>
      <c r="GH3" s="193"/>
      <c r="GI3" s="193"/>
      <c r="GJ3" s="193"/>
      <c r="GK3" s="193"/>
      <c r="GL3" s="193"/>
      <c r="GM3" s="194"/>
      <c r="GN3" s="44" t="s">
        <v>425</v>
      </c>
      <c r="GO3" s="191" t="s">
        <v>21</v>
      </c>
      <c r="GP3" s="187"/>
      <c r="GQ3" s="188"/>
      <c r="GR3" s="192"/>
      <c r="GS3" s="193"/>
      <c r="GT3" s="193"/>
      <c r="GU3" s="193"/>
      <c r="GV3" s="193"/>
      <c r="GW3" s="193"/>
      <c r="GX3" s="193"/>
      <c r="GY3" s="193"/>
      <c r="GZ3" s="193"/>
      <c r="HA3" s="193"/>
      <c r="HB3" s="193"/>
      <c r="HC3" s="193"/>
      <c r="HD3" s="193"/>
      <c r="HE3" s="193"/>
      <c r="HF3" s="193"/>
      <c r="HG3" s="193"/>
      <c r="HH3" s="193"/>
      <c r="HI3" s="193"/>
      <c r="HJ3" s="193"/>
      <c r="HK3" s="193"/>
      <c r="HL3" s="193"/>
      <c r="HM3" s="193"/>
      <c r="HN3" s="193"/>
      <c r="HO3" s="193"/>
      <c r="HP3" s="193"/>
      <c r="HQ3" s="193"/>
      <c r="HR3" s="193"/>
      <c r="HS3" s="193"/>
      <c r="HT3" s="193"/>
      <c r="HU3" s="193"/>
      <c r="HV3" s="193"/>
      <c r="HW3" s="194"/>
      <c r="HX3" s="44" t="s">
        <v>425</v>
      </c>
      <c r="HY3" s="191" t="s">
        <v>21</v>
      </c>
      <c r="HZ3" s="187"/>
      <c r="IA3" s="188"/>
      <c r="IB3" s="40" t="s">
        <v>18</v>
      </c>
      <c r="IC3" s="186" t="s">
        <v>21</v>
      </c>
      <c r="ID3" s="187"/>
      <c r="IE3" s="188"/>
    </row>
    <row r="4" spans="1:239" x14ac:dyDescent="0.25">
      <c r="A4" s="8" t="s">
        <v>22</v>
      </c>
      <c r="B4" s="8" t="s">
        <v>19</v>
      </c>
      <c r="C4" s="8"/>
      <c r="D4" s="200"/>
      <c r="E4" s="201"/>
      <c r="F4" s="202"/>
      <c r="G4" s="7"/>
      <c r="H4" s="200"/>
      <c r="I4" s="201"/>
      <c r="J4" s="202"/>
      <c r="K4" s="7"/>
      <c r="L4" s="200"/>
      <c r="M4" s="201"/>
      <c r="N4" s="202"/>
      <c r="O4" s="5"/>
      <c r="P4" s="200"/>
      <c r="Q4" s="201"/>
      <c r="R4" s="202"/>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200"/>
      <c r="BB4" s="201"/>
      <c r="BC4" s="203"/>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200"/>
      <c r="CL4" s="201"/>
      <c r="CM4" s="203"/>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200"/>
      <c r="DV4" s="201"/>
      <c r="DW4" s="202"/>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200"/>
      <c r="FF4" s="201"/>
      <c r="FG4" s="202"/>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200"/>
      <c r="GP4" s="201"/>
      <c r="GQ4" s="202"/>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200"/>
      <c r="HZ4" s="201"/>
      <c r="IA4" s="202"/>
      <c r="IB4" s="8"/>
      <c r="IC4" s="200"/>
      <c r="ID4" s="201"/>
      <c r="IE4" s="202"/>
    </row>
    <row r="5" spans="1:239" x14ac:dyDescent="0.25">
      <c r="A5" s="8">
        <v>0</v>
      </c>
      <c r="B5" s="8" t="str">
        <f t="shared" ref="B5:B29" si="0">IF($IB5&lt;&gt;"", $IB5, "")</f>
        <v>HOME</v>
      </c>
      <c r="C5" s="10"/>
      <c r="D5" s="25" t="s">
        <v>113</v>
      </c>
      <c r="E5" s="26">
        <v>0</v>
      </c>
      <c r="F5" s="30" t="s">
        <v>23</v>
      </c>
      <c r="G5" s="11">
        <v>0</v>
      </c>
      <c r="H5" s="25" t="s">
        <v>114</v>
      </c>
      <c r="I5" s="26">
        <v>0</v>
      </c>
      <c r="J5" s="30" t="s">
        <v>23</v>
      </c>
      <c r="K5" s="11">
        <v>0</v>
      </c>
      <c r="L5" s="25" t="s">
        <v>115</v>
      </c>
      <c r="M5" s="26">
        <v>0</v>
      </c>
      <c r="N5" s="30" t="s">
        <v>23</v>
      </c>
      <c r="O5" s="12">
        <v>0</v>
      </c>
      <c r="P5" s="25" t="s">
        <v>116</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117</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118</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119</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120</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121</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122</v>
      </c>
      <c r="HZ5" s="26">
        <v>0</v>
      </c>
      <c r="IA5" s="30" t="s">
        <v>23</v>
      </c>
      <c r="IB5" s="10" t="s">
        <v>207</v>
      </c>
      <c r="IC5" s="25" t="s">
        <v>123</v>
      </c>
      <c r="ID5" s="26">
        <v>0</v>
      </c>
      <c r="IE5" s="30" t="s">
        <v>23</v>
      </c>
    </row>
    <row r="6" spans="1:239" x14ac:dyDescent="0.25">
      <c r="A6" s="8">
        <v>1</v>
      </c>
      <c r="B6" s="8" t="str">
        <f t="shared" si="0"/>
        <v>FILLING FEED TANK TO SETPOINT</v>
      </c>
      <c r="C6" s="10"/>
      <c r="D6" s="6" t="str">
        <f t="shared" ref="D6:D29" si="1">D$5</f>
        <v>RO_Data[1].ACK_DESC[</v>
      </c>
      <c r="E6" s="26">
        <f>E5+1</f>
        <v>1</v>
      </c>
      <c r="F6" s="30" t="s">
        <v>23</v>
      </c>
      <c r="G6" s="11">
        <v>0</v>
      </c>
      <c r="H6" s="6" t="str">
        <f t="shared" ref="H6:H29" si="2">H$5</f>
        <v>RO_Data[1].MIN[</v>
      </c>
      <c r="I6" s="26">
        <f>I5+1</f>
        <v>1</v>
      </c>
      <c r="J6" s="30" t="s">
        <v>23</v>
      </c>
      <c r="K6" s="11">
        <v>1</v>
      </c>
      <c r="L6" s="6" t="str">
        <f t="shared" ref="L6:L29" si="3">L$5</f>
        <v>RO_Data[1].SEC[</v>
      </c>
      <c r="M6" s="26">
        <f>M5+1</f>
        <v>1</v>
      </c>
      <c r="N6" s="30" t="s">
        <v>23</v>
      </c>
      <c r="O6" s="12">
        <v>0</v>
      </c>
      <c r="P6" s="6" t="str">
        <f t="shared" ref="P6:P29" si="4">P$5</f>
        <v>RO_Data[1].SETPOINT[</v>
      </c>
      <c r="Q6" s="26">
        <f>Q5+1</f>
        <v>1</v>
      </c>
      <c r="R6" s="30" t="s">
        <v>23</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23</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23</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23</v>
      </c>
      <c r="IB6" s="10" t="s">
        <v>208</v>
      </c>
      <c r="IC6" s="6" t="str">
        <f t="shared" ref="IC6:IC29" si="12">IC$5</f>
        <v>RO_Data[1].STEP_DESC[</v>
      </c>
      <c r="ID6" s="26">
        <f>ID5+1</f>
        <v>1</v>
      </c>
      <c r="IE6" s="30" t="s">
        <v>23</v>
      </c>
    </row>
    <row r="7" spans="1:239" s="75" customFormat="1" x14ac:dyDescent="0.25">
      <c r="A7" s="64">
        <v>2</v>
      </c>
      <c r="B7" s="64" t="str">
        <f t="shared" si="0"/>
        <v>STARTING FEED AND PRESSURE PUMPS</v>
      </c>
      <c r="C7" s="65"/>
      <c r="D7" s="6" t="str">
        <f t="shared" si="1"/>
        <v>RO_Data[1].ACK_DESC[</v>
      </c>
      <c r="E7" s="67">
        <f t="shared" ref="E7:E29" si="13">E6+1</f>
        <v>2</v>
      </c>
      <c r="F7" s="68" t="s">
        <v>23</v>
      </c>
      <c r="G7" s="69">
        <v>0</v>
      </c>
      <c r="H7" s="6" t="str">
        <f t="shared" si="2"/>
        <v>RO_Data[1].MIN[</v>
      </c>
      <c r="I7" s="67">
        <f t="shared" ref="I7:I29" si="14">I6+1</f>
        <v>2</v>
      </c>
      <c r="J7" s="68" t="s">
        <v>23</v>
      </c>
      <c r="K7" s="69">
        <v>5</v>
      </c>
      <c r="L7" s="6" t="str">
        <f t="shared" si="3"/>
        <v>RO_Data[1].SEC[</v>
      </c>
      <c r="M7" s="67">
        <f t="shared" ref="M7:M29" si="15">M6+1</f>
        <v>2</v>
      </c>
      <c r="N7" s="68" t="s">
        <v>23</v>
      </c>
      <c r="O7" s="70">
        <v>0</v>
      </c>
      <c r="P7" s="6" t="str">
        <f t="shared" si="4"/>
        <v>RO_Data[1].SETPOINT[</v>
      </c>
      <c r="Q7" s="67">
        <f t="shared" ref="Q7:Q29" si="16">Q6+1</f>
        <v>2</v>
      </c>
      <c r="R7" s="68" t="s">
        <v>23</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23</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23</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23</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23</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23</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23</v>
      </c>
      <c r="IB7" s="65" t="s">
        <v>209</v>
      </c>
      <c r="IC7" s="66" t="str">
        <f t="shared" si="12"/>
        <v>RO_Data[1].STEP_DESC[</v>
      </c>
      <c r="ID7" s="67">
        <f t="shared" ref="ID7:ID29" si="23">ID6+1</f>
        <v>2</v>
      </c>
      <c r="IE7" s="68" t="s">
        <v>23</v>
      </c>
    </row>
    <row r="8" spans="1:239" s="75" customFormat="1" x14ac:dyDescent="0.25">
      <c r="A8" s="64">
        <v>3</v>
      </c>
      <c r="B8" s="64" t="str">
        <f t="shared" si="0"/>
        <v>STARTING RECIRC PUMP STAGE 1</v>
      </c>
      <c r="C8" s="65"/>
      <c r="D8" s="6" t="str">
        <f t="shared" si="1"/>
        <v>RO_Data[1].ACK_DESC[</v>
      </c>
      <c r="E8" s="67">
        <f t="shared" si="13"/>
        <v>3</v>
      </c>
      <c r="F8" s="68" t="s">
        <v>23</v>
      </c>
      <c r="G8" s="69">
        <v>0</v>
      </c>
      <c r="H8" s="6" t="str">
        <f t="shared" si="2"/>
        <v>RO_Data[1].MIN[</v>
      </c>
      <c r="I8" s="67">
        <f t="shared" si="14"/>
        <v>3</v>
      </c>
      <c r="J8" s="68" t="s">
        <v>23</v>
      </c>
      <c r="K8" s="69">
        <v>5</v>
      </c>
      <c r="L8" s="6" t="str">
        <f t="shared" si="3"/>
        <v>RO_Data[1].SEC[</v>
      </c>
      <c r="M8" s="67">
        <f t="shared" si="15"/>
        <v>3</v>
      </c>
      <c r="N8" s="68" t="s">
        <v>23</v>
      </c>
      <c r="O8" s="70">
        <v>0</v>
      </c>
      <c r="P8" s="6" t="str">
        <f t="shared" si="4"/>
        <v>RO_Data[1].SETPOINT[</v>
      </c>
      <c r="Q8" s="67">
        <f t="shared" si="16"/>
        <v>3</v>
      </c>
      <c r="R8" s="68" t="s">
        <v>23</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23</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23</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23</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23</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23</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23</v>
      </c>
      <c r="IB8" s="65" t="s">
        <v>210</v>
      </c>
      <c r="IC8" s="66" t="str">
        <f t="shared" si="12"/>
        <v>RO_Data[1].STEP_DESC[</v>
      </c>
      <c r="ID8" s="67">
        <f t="shared" si="23"/>
        <v>3</v>
      </c>
      <c r="IE8" s="68" t="s">
        <v>23</v>
      </c>
    </row>
    <row r="9" spans="1:239" x14ac:dyDescent="0.25">
      <c r="A9" s="8">
        <v>4</v>
      </c>
      <c r="B9" s="8" t="str">
        <f t="shared" si="0"/>
        <v>STARTING RECIRC PUMP STAGE 2</v>
      </c>
      <c r="C9" s="10"/>
      <c r="D9" s="6" t="str">
        <f t="shared" si="1"/>
        <v>RO_Data[1].ACK_DESC[</v>
      </c>
      <c r="E9" s="26">
        <f t="shared" si="13"/>
        <v>4</v>
      </c>
      <c r="F9" s="30" t="s">
        <v>23</v>
      </c>
      <c r="G9" s="11">
        <v>0</v>
      </c>
      <c r="H9" s="6" t="str">
        <f t="shared" si="2"/>
        <v>RO_Data[1].MIN[</v>
      </c>
      <c r="I9" s="26">
        <f t="shared" si="14"/>
        <v>4</v>
      </c>
      <c r="J9" s="30" t="s">
        <v>23</v>
      </c>
      <c r="K9" s="11">
        <v>5</v>
      </c>
      <c r="L9" s="6" t="str">
        <f t="shared" si="3"/>
        <v>RO_Data[1].SEC[</v>
      </c>
      <c r="M9" s="26">
        <f t="shared" si="15"/>
        <v>4</v>
      </c>
      <c r="N9" s="30" t="s">
        <v>23</v>
      </c>
      <c r="O9" s="12">
        <v>0</v>
      </c>
      <c r="P9" s="6" t="str">
        <f t="shared" si="4"/>
        <v>RO_Data[1].SETPOINT[</v>
      </c>
      <c r="Q9" s="26">
        <f t="shared" si="16"/>
        <v>4</v>
      </c>
      <c r="R9" s="30" t="s">
        <v>23</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23</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23</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23</v>
      </c>
      <c r="IB9" s="10" t="s">
        <v>211</v>
      </c>
      <c r="IC9" s="66" t="str">
        <f t="shared" si="12"/>
        <v>RO_Data[1].STEP_DESC[</v>
      </c>
      <c r="ID9" s="26">
        <f t="shared" si="23"/>
        <v>4</v>
      </c>
      <c r="IE9" s="30" t="s">
        <v>23</v>
      </c>
    </row>
    <row r="10" spans="1:239" x14ac:dyDescent="0.25">
      <c r="A10" s="8">
        <v>5</v>
      </c>
      <c r="B10" s="8" t="str">
        <f t="shared" si="0"/>
        <v>STARTING RECIRC PUMP STAGE 3</v>
      </c>
      <c r="C10" s="10"/>
      <c r="D10" s="6" t="str">
        <f t="shared" si="1"/>
        <v>RO_Data[1].ACK_DESC[</v>
      </c>
      <c r="E10" s="26">
        <f t="shared" si="13"/>
        <v>5</v>
      </c>
      <c r="F10" s="30" t="s">
        <v>23</v>
      </c>
      <c r="G10" s="11">
        <v>0</v>
      </c>
      <c r="H10" s="6" t="str">
        <f t="shared" si="2"/>
        <v>RO_Data[1].MIN[</v>
      </c>
      <c r="I10" s="26">
        <f t="shared" si="14"/>
        <v>5</v>
      </c>
      <c r="J10" s="30" t="s">
        <v>23</v>
      </c>
      <c r="K10" s="11">
        <v>5</v>
      </c>
      <c r="L10" s="6" t="str">
        <f t="shared" si="3"/>
        <v>RO_Data[1].SEC[</v>
      </c>
      <c r="M10" s="26">
        <f t="shared" si="15"/>
        <v>5</v>
      </c>
      <c r="N10" s="30" t="s">
        <v>23</v>
      </c>
      <c r="O10" s="12">
        <v>0</v>
      </c>
      <c r="P10" s="6" t="str">
        <f t="shared" si="4"/>
        <v>RO_Data[1].SETPOINT[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23</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23</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23</v>
      </c>
      <c r="IB10" s="10" t="s">
        <v>212</v>
      </c>
      <c r="IC10" s="66" t="str">
        <f t="shared" si="12"/>
        <v>RO_Data[1].STEP_DESC[</v>
      </c>
      <c r="ID10" s="26">
        <f t="shared" si="23"/>
        <v>5</v>
      </c>
      <c r="IE10" s="30" t="s">
        <v>23</v>
      </c>
    </row>
    <row r="11" spans="1:239" x14ac:dyDescent="0.25">
      <c r="A11" s="8">
        <v>6</v>
      </c>
      <c r="B11" s="8" t="str">
        <f t="shared" si="0"/>
        <v>STARTING RECIRC PUMP STAGE 4</v>
      </c>
      <c r="C11" s="10"/>
      <c r="D11" s="6" t="str">
        <f t="shared" si="1"/>
        <v>RO_Data[1].ACK_DESC[</v>
      </c>
      <c r="E11" s="26">
        <f t="shared" si="13"/>
        <v>6</v>
      </c>
      <c r="F11" s="30" t="s">
        <v>23</v>
      </c>
      <c r="G11" s="11">
        <v>0</v>
      </c>
      <c r="H11" s="6" t="str">
        <f t="shared" si="2"/>
        <v>RO_Data[1].MIN[</v>
      </c>
      <c r="I11" s="26">
        <f t="shared" si="14"/>
        <v>6</v>
      </c>
      <c r="J11" s="30" t="s">
        <v>23</v>
      </c>
      <c r="K11" s="11">
        <v>5</v>
      </c>
      <c r="L11" s="6" t="str">
        <f t="shared" si="3"/>
        <v>RO_Data[1].SEC[</v>
      </c>
      <c r="M11" s="26">
        <f t="shared" si="15"/>
        <v>6</v>
      </c>
      <c r="N11" s="30" t="s">
        <v>23</v>
      </c>
      <c r="O11" s="12">
        <v>0</v>
      </c>
      <c r="P11" s="6" t="str">
        <f t="shared" si="4"/>
        <v>RO_Data[1].SETPOINT[</v>
      </c>
      <c r="Q11" s="26">
        <f t="shared" si="16"/>
        <v>6</v>
      </c>
      <c r="R11" s="30" t="s">
        <v>23</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23</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23</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23</v>
      </c>
      <c r="IB11" s="10" t="s">
        <v>213</v>
      </c>
      <c r="IC11" s="66" t="str">
        <f t="shared" si="12"/>
        <v>RO_Data[1].STEP_DESC[</v>
      </c>
      <c r="ID11" s="26">
        <f t="shared" si="23"/>
        <v>6</v>
      </c>
      <c r="IE11" s="30" t="s">
        <v>23</v>
      </c>
    </row>
    <row r="12" spans="1:239" x14ac:dyDescent="0.25">
      <c r="A12" s="8">
        <v>7</v>
      </c>
      <c r="B12" s="8" t="str">
        <f t="shared" si="0"/>
        <v>STARTING RECIRC PUMP STAGE 5</v>
      </c>
      <c r="C12" s="10"/>
      <c r="D12" s="6" t="str">
        <f t="shared" si="1"/>
        <v>RO_Data[1].ACK_DESC[</v>
      </c>
      <c r="E12" s="26">
        <f t="shared" si="13"/>
        <v>7</v>
      </c>
      <c r="F12" s="30" t="s">
        <v>23</v>
      </c>
      <c r="G12" s="11">
        <v>0</v>
      </c>
      <c r="H12" s="6" t="str">
        <f t="shared" si="2"/>
        <v>RO_Data[1].MIN[</v>
      </c>
      <c r="I12" s="26">
        <f t="shared" si="14"/>
        <v>7</v>
      </c>
      <c r="J12" s="30" t="s">
        <v>23</v>
      </c>
      <c r="K12" s="11">
        <v>5</v>
      </c>
      <c r="L12" s="6" t="str">
        <f t="shared" si="3"/>
        <v>RO_Data[1].SEC[</v>
      </c>
      <c r="M12" s="26">
        <f t="shared" si="15"/>
        <v>7</v>
      </c>
      <c r="N12" s="30" t="s">
        <v>23</v>
      </c>
      <c r="O12" s="12">
        <v>0</v>
      </c>
      <c r="P12" s="6" t="str">
        <f t="shared" si="4"/>
        <v>RO_Data[1].SETPOINT[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23</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23</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23</v>
      </c>
      <c r="IB12" s="10" t="s">
        <v>214</v>
      </c>
      <c r="IC12" s="66" t="str">
        <f t="shared" si="12"/>
        <v>RO_Data[1].STEP_DESC[</v>
      </c>
      <c r="ID12" s="26">
        <f t="shared" si="23"/>
        <v>7</v>
      </c>
      <c r="IE12" s="30" t="s">
        <v>23</v>
      </c>
    </row>
    <row r="13" spans="1:239" s="75" customFormat="1" x14ac:dyDescent="0.25">
      <c r="A13" s="64">
        <v>8</v>
      </c>
      <c r="B13" s="64" t="str">
        <f t="shared" si="0"/>
        <v>BUILD SOLIDS</v>
      </c>
      <c r="C13" s="65"/>
      <c r="D13" s="6" t="str">
        <f t="shared" si="1"/>
        <v>RO_Data[1].ACK_DESC[</v>
      </c>
      <c r="E13" s="67">
        <f t="shared" si="13"/>
        <v>8</v>
      </c>
      <c r="F13" s="68" t="s">
        <v>23</v>
      </c>
      <c r="G13" s="69">
        <v>0</v>
      </c>
      <c r="H13" s="6" t="str">
        <f t="shared" si="2"/>
        <v>RO_Data[1].MIN[</v>
      </c>
      <c r="I13" s="67">
        <f t="shared" si="14"/>
        <v>8</v>
      </c>
      <c r="J13" s="68" t="s">
        <v>23</v>
      </c>
      <c r="K13" s="69">
        <v>1</v>
      </c>
      <c r="L13" s="6" t="str">
        <f t="shared" si="3"/>
        <v>RO_Data[1].SEC[</v>
      </c>
      <c r="M13" s="67">
        <f t="shared" si="15"/>
        <v>8</v>
      </c>
      <c r="N13" s="68" t="s">
        <v>23</v>
      </c>
      <c r="O13" s="70">
        <v>0</v>
      </c>
      <c r="P13" s="6" t="str">
        <f t="shared" si="4"/>
        <v>RO_Data[1].SETPOINT[</v>
      </c>
      <c r="Q13" s="67">
        <f t="shared" si="16"/>
        <v>8</v>
      </c>
      <c r="R13" s="68" t="s">
        <v>23</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23</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23</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23</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23</v>
      </c>
      <c r="IB13" s="65" t="s">
        <v>215</v>
      </c>
      <c r="IC13" s="66" t="str">
        <f t="shared" si="12"/>
        <v>RO_Data[1].STEP_DESC[</v>
      </c>
      <c r="ID13" s="67">
        <f t="shared" si="23"/>
        <v>8</v>
      </c>
      <c r="IE13" s="68" t="s">
        <v>23</v>
      </c>
    </row>
    <row r="14" spans="1:239" s="121" customFormat="1" x14ac:dyDescent="0.25">
      <c r="A14" s="111">
        <v>9</v>
      </c>
      <c r="B14" s="111" t="str">
        <f t="shared" si="0"/>
        <v>PROCESSING</v>
      </c>
      <c r="C14" s="112" t="s">
        <v>109</v>
      </c>
      <c r="D14" s="6" t="str">
        <f t="shared" si="1"/>
        <v>RO_Data[1].ACK_DESC[</v>
      </c>
      <c r="E14" s="113">
        <f t="shared" si="13"/>
        <v>9</v>
      </c>
      <c r="F14" s="114" t="s">
        <v>23</v>
      </c>
      <c r="G14" s="115">
        <v>0</v>
      </c>
      <c r="H14" s="6" t="str">
        <f t="shared" si="2"/>
        <v>RO_Data[1].MIN[</v>
      </c>
      <c r="I14" s="113">
        <f t="shared" si="14"/>
        <v>9</v>
      </c>
      <c r="J14" s="114" t="s">
        <v>23</v>
      </c>
      <c r="K14" s="115">
        <v>1</v>
      </c>
      <c r="L14" s="6" t="str">
        <f t="shared" si="3"/>
        <v>RO_Data[1].SEC[</v>
      </c>
      <c r="M14" s="113">
        <f t="shared" si="15"/>
        <v>9</v>
      </c>
      <c r="N14" s="114" t="s">
        <v>23</v>
      </c>
      <c r="O14" s="116">
        <v>0</v>
      </c>
      <c r="P14" s="6" t="str">
        <f t="shared" si="4"/>
        <v>RO_Data[1].SETPOINT[</v>
      </c>
      <c r="Q14" s="113">
        <f t="shared" si="16"/>
        <v>9</v>
      </c>
      <c r="R14" s="114" t="s">
        <v>23</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23</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23</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23</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23</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23</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23</v>
      </c>
      <c r="IB14" s="112" t="s">
        <v>216</v>
      </c>
      <c r="IC14" s="66" t="str">
        <f t="shared" si="12"/>
        <v>RO_Data[1].STEP_DESC[</v>
      </c>
      <c r="ID14" s="113">
        <f t="shared" si="23"/>
        <v>9</v>
      </c>
      <c r="IE14" s="114" t="s">
        <v>23</v>
      </c>
    </row>
    <row r="15" spans="1:239" s="75" customFormat="1" x14ac:dyDescent="0.25">
      <c r="A15" s="64">
        <v>10</v>
      </c>
      <c r="B15" s="64" t="str">
        <f t="shared" si="0"/>
        <v>PUMPING FEED TANK TO LOW LEVEL</v>
      </c>
      <c r="C15" s="65"/>
      <c r="D15" s="6" t="str">
        <f t="shared" si="1"/>
        <v>RO_Data[1].ACK_DESC[</v>
      </c>
      <c r="E15" s="67">
        <f t="shared" si="13"/>
        <v>10</v>
      </c>
      <c r="F15" s="68" t="s">
        <v>23</v>
      </c>
      <c r="G15" s="69">
        <v>0</v>
      </c>
      <c r="H15" s="6" t="str">
        <f t="shared" si="2"/>
        <v>RO_Data[1].MIN[</v>
      </c>
      <c r="I15" s="67">
        <f t="shared" si="14"/>
        <v>10</v>
      </c>
      <c r="J15" s="68" t="s">
        <v>23</v>
      </c>
      <c r="K15" s="69">
        <v>1</v>
      </c>
      <c r="L15" s="6" t="str">
        <f t="shared" si="3"/>
        <v>RO_Data[1].SEC[</v>
      </c>
      <c r="M15" s="67">
        <f t="shared" si="15"/>
        <v>10</v>
      </c>
      <c r="N15" s="68" t="s">
        <v>23</v>
      </c>
      <c r="O15" s="70">
        <v>0</v>
      </c>
      <c r="P15" s="6" t="str">
        <f t="shared" si="4"/>
        <v>RO_Data[1].SETPOINT[</v>
      </c>
      <c r="Q15" s="67">
        <f t="shared" si="16"/>
        <v>10</v>
      </c>
      <c r="R15" s="68" t="s">
        <v>23</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23</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23</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23</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23</v>
      </c>
      <c r="IB15" s="65" t="s">
        <v>217</v>
      </c>
      <c r="IC15" s="66" t="str">
        <f t="shared" si="12"/>
        <v>RO_Data[1].STEP_DESC[</v>
      </c>
      <c r="ID15" s="67">
        <f t="shared" si="23"/>
        <v>10</v>
      </c>
      <c r="IE15" s="68" t="s">
        <v>23</v>
      </c>
    </row>
    <row r="16" spans="1:239" x14ac:dyDescent="0.25">
      <c r="A16" s="8">
        <v>11</v>
      </c>
      <c r="B16" s="8" t="str">
        <f t="shared" si="0"/>
        <v>FLUSHING STAGES 1-5</v>
      </c>
      <c r="C16" s="10"/>
      <c r="D16" s="6" t="str">
        <f t="shared" si="1"/>
        <v>RO_Data[1].ACK_DESC[</v>
      </c>
      <c r="E16" s="26">
        <f t="shared" si="13"/>
        <v>11</v>
      </c>
      <c r="F16" s="30" t="s">
        <v>23</v>
      </c>
      <c r="G16" s="11">
        <v>0</v>
      </c>
      <c r="H16" s="6" t="str">
        <f t="shared" si="2"/>
        <v>RO_Data[1].MIN[</v>
      </c>
      <c r="I16" s="26">
        <f t="shared" si="14"/>
        <v>11</v>
      </c>
      <c r="J16" s="30" t="s">
        <v>23</v>
      </c>
      <c r="K16" s="11">
        <v>1</v>
      </c>
      <c r="L16" s="6" t="str">
        <f t="shared" si="3"/>
        <v>RO_Data[1].SEC[</v>
      </c>
      <c r="M16" s="26">
        <f t="shared" si="15"/>
        <v>11</v>
      </c>
      <c r="N16" s="30" t="s">
        <v>23</v>
      </c>
      <c r="O16" s="12">
        <v>0</v>
      </c>
      <c r="P16" s="6" t="str">
        <f t="shared" si="4"/>
        <v>RO_Data[1].SETPOINT[</v>
      </c>
      <c r="Q16" s="26">
        <f t="shared" si="16"/>
        <v>11</v>
      </c>
      <c r="R16" s="30" t="s">
        <v>23</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23</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23</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23</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23</v>
      </c>
      <c r="IB16" s="10" t="s">
        <v>218</v>
      </c>
      <c r="IC16" s="66" t="str">
        <f t="shared" si="12"/>
        <v>RO_Data[1].STEP_DESC[</v>
      </c>
      <c r="ID16" s="26">
        <f t="shared" si="23"/>
        <v>11</v>
      </c>
      <c r="IE16" s="30" t="s">
        <v>23</v>
      </c>
    </row>
    <row r="17" spans="1:239" x14ac:dyDescent="0.25">
      <c r="A17" s="8">
        <v>12</v>
      </c>
      <c r="B17" s="8" t="str">
        <f t="shared" si="0"/>
        <v>FLUSHING STAGES 2-5</v>
      </c>
      <c r="C17" s="10"/>
      <c r="D17" s="6" t="str">
        <f t="shared" si="1"/>
        <v>RO_Data[1].ACK_DESC[</v>
      </c>
      <c r="E17" s="26">
        <f t="shared" si="13"/>
        <v>12</v>
      </c>
      <c r="F17" s="30" t="s">
        <v>23</v>
      </c>
      <c r="G17" s="11">
        <v>0</v>
      </c>
      <c r="H17" s="6" t="str">
        <f t="shared" si="2"/>
        <v>RO_Data[1].MIN[</v>
      </c>
      <c r="I17" s="26">
        <f t="shared" si="14"/>
        <v>12</v>
      </c>
      <c r="J17" s="30" t="s">
        <v>23</v>
      </c>
      <c r="K17" s="11">
        <v>1</v>
      </c>
      <c r="L17" s="6" t="str">
        <f t="shared" si="3"/>
        <v>RO_Data[1].SEC[</v>
      </c>
      <c r="M17" s="26">
        <f t="shared" si="15"/>
        <v>12</v>
      </c>
      <c r="N17" s="30" t="s">
        <v>23</v>
      </c>
      <c r="O17" s="12">
        <v>0</v>
      </c>
      <c r="P17" s="6" t="str">
        <f t="shared" si="4"/>
        <v>RO_Data[1].SETPOINT[</v>
      </c>
      <c r="Q17" s="26">
        <f t="shared" si="16"/>
        <v>12</v>
      </c>
      <c r="R17" s="30" t="s">
        <v>23</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23</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23</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23</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23</v>
      </c>
      <c r="IB17" s="10" t="s">
        <v>219</v>
      </c>
      <c r="IC17" s="66" t="str">
        <f t="shared" si="12"/>
        <v>RO_Data[1].STEP_DESC[</v>
      </c>
      <c r="ID17" s="26">
        <f t="shared" si="23"/>
        <v>12</v>
      </c>
      <c r="IE17" s="30" t="s">
        <v>23</v>
      </c>
    </row>
    <row r="18" spans="1:239" x14ac:dyDescent="0.25">
      <c r="A18" s="8">
        <v>13</v>
      </c>
      <c r="B18" s="8" t="str">
        <f t="shared" si="0"/>
        <v>FLUSHING STAGES 3-5</v>
      </c>
      <c r="C18" s="10"/>
      <c r="D18" s="6" t="str">
        <f t="shared" si="1"/>
        <v>RO_Data[1].ACK_DESC[</v>
      </c>
      <c r="E18" s="26">
        <f t="shared" si="13"/>
        <v>13</v>
      </c>
      <c r="F18" s="30" t="s">
        <v>23</v>
      </c>
      <c r="G18" s="11">
        <v>0</v>
      </c>
      <c r="H18" s="6" t="str">
        <f t="shared" si="2"/>
        <v>RO_Data[1].MIN[</v>
      </c>
      <c r="I18" s="26">
        <f t="shared" si="14"/>
        <v>13</v>
      </c>
      <c r="J18" s="30" t="s">
        <v>23</v>
      </c>
      <c r="K18" s="11">
        <v>1</v>
      </c>
      <c r="L18" s="6" t="str">
        <f t="shared" si="3"/>
        <v>RO_Data[1].SEC[</v>
      </c>
      <c r="M18" s="26">
        <f t="shared" si="15"/>
        <v>13</v>
      </c>
      <c r="N18" s="30" t="s">
        <v>23</v>
      </c>
      <c r="O18" s="12">
        <v>0</v>
      </c>
      <c r="P18" s="6" t="str">
        <f t="shared" si="4"/>
        <v>RO_Data[1].SETPOINT[</v>
      </c>
      <c r="Q18" s="26">
        <f t="shared" si="16"/>
        <v>13</v>
      </c>
      <c r="R18" s="30" t="s">
        <v>23</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23</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23</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23</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23</v>
      </c>
      <c r="IB18" s="10" t="s">
        <v>220</v>
      </c>
      <c r="IC18" s="66" t="str">
        <f t="shared" si="12"/>
        <v>RO_Data[1].STEP_DESC[</v>
      </c>
      <c r="ID18" s="26">
        <f t="shared" si="23"/>
        <v>13</v>
      </c>
      <c r="IE18" s="30" t="s">
        <v>23</v>
      </c>
    </row>
    <row r="19" spans="1:239" x14ac:dyDescent="0.25">
      <c r="A19" s="8">
        <v>14</v>
      </c>
      <c r="B19" s="8" t="str">
        <f t="shared" si="0"/>
        <v>FLUSHING STAGES 4-5</v>
      </c>
      <c r="C19" s="10"/>
      <c r="D19" s="6" t="str">
        <f t="shared" si="1"/>
        <v>RO_Data[1].ACK_DESC[</v>
      </c>
      <c r="E19" s="26">
        <f t="shared" si="13"/>
        <v>14</v>
      </c>
      <c r="F19" s="30" t="s">
        <v>23</v>
      </c>
      <c r="G19" s="11">
        <v>0</v>
      </c>
      <c r="H19" s="6" t="str">
        <f t="shared" si="2"/>
        <v>RO_Data[1].MIN[</v>
      </c>
      <c r="I19" s="26">
        <f t="shared" si="14"/>
        <v>14</v>
      </c>
      <c r="J19" s="30" t="s">
        <v>23</v>
      </c>
      <c r="K19" s="11">
        <v>1</v>
      </c>
      <c r="L19" s="6" t="str">
        <f t="shared" si="3"/>
        <v>RO_Data[1].SEC[</v>
      </c>
      <c r="M19" s="26">
        <f t="shared" si="15"/>
        <v>14</v>
      </c>
      <c r="N19" s="30" t="s">
        <v>23</v>
      </c>
      <c r="O19" s="12">
        <v>0</v>
      </c>
      <c r="P19" s="6" t="str">
        <f t="shared" si="4"/>
        <v>RO_Data[1].SETPOINT[</v>
      </c>
      <c r="Q19" s="26">
        <f t="shared" si="16"/>
        <v>14</v>
      </c>
      <c r="R19" s="30" t="s">
        <v>23</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23</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23</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23</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23</v>
      </c>
      <c r="IB19" s="10" t="s">
        <v>221</v>
      </c>
      <c r="IC19" s="66" t="str">
        <f t="shared" si="12"/>
        <v>RO_Data[1].STEP_DESC[</v>
      </c>
      <c r="ID19" s="26">
        <f t="shared" si="23"/>
        <v>14</v>
      </c>
      <c r="IE19" s="30" t="s">
        <v>23</v>
      </c>
    </row>
    <row r="20" spans="1:239" x14ac:dyDescent="0.25">
      <c r="A20" s="8">
        <v>15</v>
      </c>
      <c r="B20" s="8" t="str">
        <f t="shared" si="0"/>
        <v>FLUSHING STAGES 5</v>
      </c>
      <c r="C20" s="10"/>
      <c r="D20" s="6" t="str">
        <f t="shared" si="1"/>
        <v>RO_Data[1].ACK_DESC[</v>
      </c>
      <c r="E20" s="26">
        <f t="shared" si="13"/>
        <v>15</v>
      </c>
      <c r="F20" s="30" t="s">
        <v>23</v>
      </c>
      <c r="G20" s="11">
        <v>0</v>
      </c>
      <c r="H20" s="6" t="str">
        <f t="shared" si="2"/>
        <v>RO_Data[1].MIN[</v>
      </c>
      <c r="I20" s="26">
        <f t="shared" si="14"/>
        <v>15</v>
      </c>
      <c r="J20" s="30" t="s">
        <v>23</v>
      </c>
      <c r="K20" s="11">
        <v>1</v>
      </c>
      <c r="L20" s="6" t="str">
        <f t="shared" si="3"/>
        <v>RO_Data[1].SEC[</v>
      </c>
      <c r="M20" s="26">
        <f t="shared" si="15"/>
        <v>15</v>
      </c>
      <c r="N20" s="30" t="s">
        <v>23</v>
      </c>
      <c r="O20" s="12">
        <v>0</v>
      </c>
      <c r="P20" s="6" t="str">
        <f t="shared" si="4"/>
        <v>RO_Data[1].SETPOINT[</v>
      </c>
      <c r="Q20" s="26">
        <f t="shared" si="16"/>
        <v>15</v>
      </c>
      <c r="R20" s="30" t="s">
        <v>23</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23</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23</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23</v>
      </c>
      <c r="IB20" s="10" t="s">
        <v>222</v>
      </c>
      <c r="IC20" s="66" t="str">
        <f t="shared" si="12"/>
        <v>RO_Data[1].STEP_DESC[</v>
      </c>
      <c r="ID20" s="26">
        <f t="shared" si="23"/>
        <v>15</v>
      </c>
      <c r="IE20" s="30" t="s">
        <v>23</v>
      </c>
    </row>
    <row r="21" spans="1:239" x14ac:dyDescent="0.25">
      <c r="A21" s="8">
        <v>16</v>
      </c>
      <c r="B21" s="8" t="str">
        <f t="shared" si="0"/>
        <v>PAUSE</v>
      </c>
      <c r="C21" s="10"/>
      <c r="D21" s="6" t="str">
        <f t="shared" si="1"/>
        <v>RO_Data[1].ACK_DESC[</v>
      </c>
      <c r="E21" s="26">
        <f t="shared" si="13"/>
        <v>16</v>
      </c>
      <c r="F21" s="30" t="s">
        <v>23</v>
      </c>
      <c r="G21" s="11">
        <v>0</v>
      </c>
      <c r="H21" s="6" t="str">
        <f t="shared" si="2"/>
        <v>RO_Data[1].MIN[</v>
      </c>
      <c r="I21" s="26">
        <f t="shared" si="14"/>
        <v>16</v>
      </c>
      <c r="J21" s="30" t="s">
        <v>23</v>
      </c>
      <c r="K21" s="11">
        <v>10</v>
      </c>
      <c r="L21" s="6" t="str">
        <f t="shared" si="3"/>
        <v>RO_Data[1].SEC[</v>
      </c>
      <c r="M21" s="26">
        <f t="shared" si="15"/>
        <v>16</v>
      </c>
      <c r="N21" s="30" t="s">
        <v>23</v>
      </c>
      <c r="O21" s="12">
        <v>0</v>
      </c>
      <c r="P21" s="6" t="str">
        <f t="shared" si="4"/>
        <v>RO_Data[1].SETPOINT[</v>
      </c>
      <c r="Q21" s="26">
        <f t="shared" si="16"/>
        <v>16</v>
      </c>
      <c r="R21" s="30" t="s">
        <v>23</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23</v>
      </c>
      <c r="IB21" s="10" t="s">
        <v>223</v>
      </c>
      <c r="IC21" s="66" t="str">
        <f t="shared" si="12"/>
        <v>RO_Data[1].STEP_DESC[</v>
      </c>
      <c r="ID21" s="26">
        <f t="shared" si="23"/>
        <v>16</v>
      </c>
      <c r="IE21" s="30" t="s">
        <v>23</v>
      </c>
    </row>
    <row r="22" spans="1:239" x14ac:dyDescent="0.25">
      <c r="A22" s="8">
        <v>17</v>
      </c>
      <c r="B22" s="8" t="str">
        <f t="shared" si="0"/>
        <v>CYCLE COMPLETE</v>
      </c>
      <c r="C22" s="10"/>
      <c r="D22" s="6" t="str">
        <f t="shared" si="1"/>
        <v>RO_Data[1].ACK_DESC[</v>
      </c>
      <c r="E22" s="26">
        <f t="shared" si="13"/>
        <v>17</v>
      </c>
      <c r="F22" s="30" t="s">
        <v>23</v>
      </c>
      <c r="G22" s="11">
        <v>0</v>
      </c>
      <c r="H22" s="6" t="str">
        <f t="shared" si="2"/>
        <v>RO_Data[1].MIN[</v>
      </c>
      <c r="I22" s="26">
        <f t="shared" si="14"/>
        <v>17</v>
      </c>
      <c r="J22" s="30" t="s">
        <v>23</v>
      </c>
      <c r="K22" s="11">
        <v>1</v>
      </c>
      <c r="L22" s="6" t="str">
        <f t="shared" si="3"/>
        <v>RO_Data[1].SEC[</v>
      </c>
      <c r="M22" s="26">
        <f t="shared" si="15"/>
        <v>17</v>
      </c>
      <c r="N22" s="30" t="s">
        <v>23</v>
      </c>
      <c r="O22" s="12">
        <v>0</v>
      </c>
      <c r="P22" s="6" t="str">
        <f t="shared" si="4"/>
        <v>RO_Data[1].SETPOINT[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23</v>
      </c>
      <c r="IB22" s="10" t="s">
        <v>224</v>
      </c>
      <c r="IC22" s="66" t="str">
        <f t="shared" si="12"/>
        <v>RO_Data[1].STEP_DESC[</v>
      </c>
      <c r="ID22" s="26">
        <f t="shared" si="23"/>
        <v>17</v>
      </c>
      <c r="IE22" s="30" t="s">
        <v>23</v>
      </c>
    </row>
    <row r="23" spans="1:239" x14ac:dyDescent="0.25">
      <c r="A23" s="8">
        <v>18</v>
      </c>
      <c r="B23" s="8" t="str">
        <f t="shared" si="0"/>
        <v/>
      </c>
      <c r="C23" s="10"/>
      <c r="D23" s="6" t="str">
        <f t="shared" si="1"/>
        <v>RO_Data[1].ACK_DESC[</v>
      </c>
      <c r="E23" s="26">
        <f t="shared" si="13"/>
        <v>18</v>
      </c>
      <c r="F23" s="30" t="s">
        <v>23</v>
      </c>
      <c r="G23" s="11">
        <v>0</v>
      </c>
      <c r="H23" s="6" t="str">
        <f t="shared" si="2"/>
        <v>RO_Data[1].MIN[</v>
      </c>
      <c r="I23" s="26">
        <f t="shared" si="14"/>
        <v>18</v>
      </c>
      <c r="J23" s="30" t="s">
        <v>23</v>
      </c>
      <c r="K23" s="11">
        <v>0</v>
      </c>
      <c r="L23" s="6" t="str">
        <f t="shared" si="3"/>
        <v>RO_Data[1].SEC[</v>
      </c>
      <c r="M23" s="26">
        <f t="shared" si="15"/>
        <v>18</v>
      </c>
      <c r="N23" s="30" t="s">
        <v>23</v>
      </c>
      <c r="O23" s="12">
        <v>0</v>
      </c>
      <c r="P23" s="6" t="str">
        <f t="shared" si="4"/>
        <v>RO_Data[1].SETPOINT[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23</v>
      </c>
      <c r="IB23" s="10"/>
      <c r="IC23" s="66" t="str">
        <f t="shared" si="12"/>
        <v>RO_Data[1].STEP_DESC[</v>
      </c>
      <c r="ID23" s="26">
        <f t="shared" si="23"/>
        <v>18</v>
      </c>
      <c r="IE23" s="30" t="s">
        <v>23</v>
      </c>
    </row>
    <row r="24" spans="1:239" x14ac:dyDescent="0.25">
      <c r="A24" s="8">
        <v>19</v>
      </c>
      <c r="B24" s="8" t="str">
        <f t="shared" si="0"/>
        <v/>
      </c>
      <c r="C24" s="10"/>
      <c r="D24" s="6" t="str">
        <f t="shared" si="1"/>
        <v>RO_Data[1].ACK_DESC[</v>
      </c>
      <c r="E24" s="26">
        <f t="shared" si="13"/>
        <v>19</v>
      </c>
      <c r="F24" s="30" t="s">
        <v>23</v>
      </c>
      <c r="G24" s="11">
        <v>0</v>
      </c>
      <c r="H24" s="6" t="str">
        <f t="shared" si="2"/>
        <v>RO_Data[1].MIN[</v>
      </c>
      <c r="I24" s="26">
        <f t="shared" si="14"/>
        <v>19</v>
      </c>
      <c r="J24" s="30" t="s">
        <v>23</v>
      </c>
      <c r="K24" s="11">
        <v>0</v>
      </c>
      <c r="L24" s="6" t="str">
        <f t="shared" si="3"/>
        <v>RO_Data[1].SEC[</v>
      </c>
      <c r="M24" s="26">
        <f t="shared" si="15"/>
        <v>19</v>
      </c>
      <c r="N24" s="30" t="s">
        <v>23</v>
      </c>
      <c r="O24" s="12">
        <v>0</v>
      </c>
      <c r="P24" s="6" t="str">
        <f t="shared" si="4"/>
        <v>RO_Data[1].SETPOINT[</v>
      </c>
      <c r="Q24" s="26">
        <f t="shared" si="16"/>
        <v>19</v>
      </c>
      <c r="R24" s="30" t="s">
        <v>23</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23</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23</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23</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23</v>
      </c>
      <c r="IB24" s="10"/>
      <c r="IC24" s="66" t="str">
        <f t="shared" si="12"/>
        <v>RO_Data[1].STEP_DESC[</v>
      </c>
      <c r="ID24" s="26">
        <f t="shared" si="23"/>
        <v>19</v>
      </c>
      <c r="IE24" s="30" t="s">
        <v>23</v>
      </c>
    </row>
    <row r="25" spans="1:239" x14ac:dyDescent="0.25">
      <c r="A25" s="8">
        <v>20</v>
      </c>
      <c r="B25" s="8" t="str">
        <f t="shared" si="0"/>
        <v/>
      </c>
      <c r="C25" s="10"/>
      <c r="D25" s="6" t="str">
        <f t="shared" si="1"/>
        <v>RO_Data[1].ACK_DESC[</v>
      </c>
      <c r="E25" s="26">
        <f t="shared" si="13"/>
        <v>20</v>
      </c>
      <c r="F25" s="30" t="s">
        <v>23</v>
      </c>
      <c r="G25" s="11">
        <v>0</v>
      </c>
      <c r="H25" s="6" t="str">
        <f t="shared" si="2"/>
        <v>RO_Data[1].MIN[</v>
      </c>
      <c r="I25" s="26">
        <f t="shared" si="14"/>
        <v>20</v>
      </c>
      <c r="J25" s="30" t="s">
        <v>23</v>
      </c>
      <c r="K25" s="11">
        <v>0</v>
      </c>
      <c r="L25" s="6" t="str">
        <f t="shared" si="3"/>
        <v>RO_Data[1].SEC[</v>
      </c>
      <c r="M25" s="26">
        <f t="shared" si="15"/>
        <v>20</v>
      </c>
      <c r="N25" s="30" t="s">
        <v>23</v>
      </c>
      <c r="O25" s="12">
        <v>0</v>
      </c>
      <c r="P25" s="6" t="str">
        <f t="shared" si="4"/>
        <v>RO_Data[1].SETPOINT[</v>
      </c>
      <c r="Q25" s="26">
        <f t="shared" si="16"/>
        <v>20</v>
      </c>
      <c r="R25" s="30" t="s">
        <v>23</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23</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23</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23</v>
      </c>
      <c r="IB25" s="10"/>
      <c r="IC25" s="66" t="str">
        <f t="shared" si="12"/>
        <v>RO_Data[1].STEP_DESC[</v>
      </c>
      <c r="ID25" s="26">
        <f t="shared" si="23"/>
        <v>20</v>
      </c>
      <c r="IE25" s="30" t="s">
        <v>23</v>
      </c>
    </row>
    <row r="26" spans="1:239" x14ac:dyDescent="0.25">
      <c r="A26" s="8">
        <v>21</v>
      </c>
      <c r="B26" s="8" t="str">
        <f t="shared" si="0"/>
        <v/>
      </c>
      <c r="C26" s="10"/>
      <c r="D26" s="6" t="str">
        <f t="shared" si="1"/>
        <v>RO_Data[1].ACK_DESC[</v>
      </c>
      <c r="E26" s="26">
        <f t="shared" si="13"/>
        <v>21</v>
      </c>
      <c r="F26" s="30" t="s">
        <v>23</v>
      </c>
      <c r="G26" s="11">
        <v>0</v>
      </c>
      <c r="H26" s="6" t="str">
        <f t="shared" si="2"/>
        <v>RO_Data[1].MIN[</v>
      </c>
      <c r="I26" s="26">
        <f t="shared" si="14"/>
        <v>21</v>
      </c>
      <c r="J26" s="30" t="s">
        <v>23</v>
      </c>
      <c r="K26" s="11">
        <v>0</v>
      </c>
      <c r="L26" s="6" t="str">
        <f t="shared" si="3"/>
        <v>RO_Data[1].SEC[</v>
      </c>
      <c r="M26" s="26">
        <f t="shared" si="15"/>
        <v>21</v>
      </c>
      <c r="N26" s="30" t="s">
        <v>23</v>
      </c>
      <c r="O26" s="12">
        <v>0</v>
      </c>
      <c r="P26" s="6" t="str">
        <f t="shared" si="4"/>
        <v>RO_Data[1].SETPOINT[</v>
      </c>
      <c r="Q26" s="26">
        <f t="shared" si="16"/>
        <v>21</v>
      </c>
      <c r="R26" s="30"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23</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23</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23</v>
      </c>
      <c r="IB26" s="10"/>
      <c r="IC26" s="66" t="str">
        <f t="shared" si="12"/>
        <v>RO_Data[1].STEP_DESC[</v>
      </c>
      <c r="ID26" s="26">
        <f t="shared" si="23"/>
        <v>21</v>
      </c>
      <c r="IE26" s="30" t="s">
        <v>23</v>
      </c>
    </row>
    <row r="27" spans="1:239" x14ac:dyDescent="0.25">
      <c r="A27" s="8">
        <v>22</v>
      </c>
      <c r="B27" s="8" t="str">
        <f t="shared" si="0"/>
        <v/>
      </c>
      <c r="C27" s="10"/>
      <c r="D27" s="6" t="str">
        <f t="shared" si="1"/>
        <v>RO_Data[1].ACK_DESC[</v>
      </c>
      <c r="E27" s="26">
        <f t="shared" si="13"/>
        <v>22</v>
      </c>
      <c r="F27" s="30" t="s">
        <v>23</v>
      </c>
      <c r="G27" s="11">
        <v>0</v>
      </c>
      <c r="H27" s="6" t="str">
        <f t="shared" si="2"/>
        <v>RO_Data[1].MIN[</v>
      </c>
      <c r="I27" s="26">
        <f t="shared" si="14"/>
        <v>22</v>
      </c>
      <c r="J27" s="30" t="s">
        <v>23</v>
      </c>
      <c r="K27" s="11">
        <v>0</v>
      </c>
      <c r="L27" s="6" t="str">
        <f t="shared" si="3"/>
        <v>RO_Data[1].SEC[</v>
      </c>
      <c r="M27" s="26">
        <f t="shared" si="15"/>
        <v>22</v>
      </c>
      <c r="N27" s="30" t="s">
        <v>23</v>
      </c>
      <c r="O27" s="12">
        <v>0</v>
      </c>
      <c r="P27" s="6" t="str">
        <f t="shared" si="4"/>
        <v>RO_Data[1].SETPOINT[</v>
      </c>
      <c r="Q27" s="26">
        <f t="shared" si="16"/>
        <v>22</v>
      </c>
      <c r="R27" s="30" t="s">
        <v>23</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23</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23</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23</v>
      </c>
      <c r="IB27" s="10"/>
      <c r="IC27" s="66" t="str">
        <f t="shared" si="12"/>
        <v>RO_Data[1].STEP_DESC[</v>
      </c>
      <c r="ID27" s="26">
        <f t="shared" si="23"/>
        <v>22</v>
      </c>
      <c r="IE27" s="30" t="s">
        <v>23</v>
      </c>
    </row>
    <row r="28" spans="1:239" x14ac:dyDescent="0.25">
      <c r="A28" s="8">
        <v>23</v>
      </c>
      <c r="B28" s="8" t="str">
        <f t="shared" si="0"/>
        <v/>
      </c>
      <c r="C28" s="10"/>
      <c r="D28" s="6" t="str">
        <f t="shared" si="1"/>
        <v>RO_Data[1].ACK_DESC[</v>
      </c>
      <c r="E28" s="26">
        <f t="shared" si="13"/>
        <v>23</v>
      </c>
      <c r="F28" s="30" t="s">
        <v>23</v>
      </c>
      <c r="G28" s="11">
        <v>0</v>
      </c>
      <c r="H28" s="6" t="str">
        <f t="shared" si="2"/>
        <v>RO_Data[1].MIN[</v>
      </c>
      <c r="I28" s="26">
        <f t="shared" si="14"/>
        <v>23</v>
      </c>
      <c r="J28" s="30" t="s">
        <v>23</v>
      </c>
      <c r="K28" s="11">
        <v>0</v>
      </c>
      <c r="L28" s="6" t="str">
        <f t="shared" si="3"/>
        <v>RO_Data[1].SEC[</v>
      </c>
      <c r="M28" s="26">
        <f t="shared" si="15"/>
        <v>23</v>
      </c>
      <c r="N28" s="30" t="s">
        <v>23</v>
      </c>
      <c r="O28" s="12">
        <v>0</v>
      </c>
      <c r="P28" s="6" t="str">
        <f t="shared" si="4"/>
        <v>RO_Data[1].SETPOINT[</v>
      </c>
      <c r="Q28" s="26">
        <f t="shared" si="16"/>
        <v>23</v>
      </c>
      <c r="R28" s="30" t="s">
        <v>23</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23</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23</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23</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23</v>
      </c>
      <c r="IB28" s="10"/>
      <c r="IC28" s="66" t="str">
        <f t="shared" si="12"/>
        <v>RO_Data[1].STEP_DESC[</v>
      </c>
      <c r="ID28" s="26">
        <f t="shared" si="23"/>
        <v>23</v>
      </c>
      <c r="IE28" s="30" t="s">
        <v>23</v>
      </c>
    </row>
    <row r="29" spans="1:239" ht="15.75" customHeight="1" thickBot="1" x14ac:dyDescent="0.3">
      <c r="A29" s="56">
        <v>24</v>
      </c>
      <c r="B29" s="56" t="str">
        <f t="shared" si="0"/>
        <v/>
      </c>
      <c r="C29" s="57"/>
      <c r="D29" s="54" t="str">
        <f t="shared" si="1"/>
        <v>RO_Data[1].ACK_DESC[</v>
      </c>
      <c r="E29" s="55">
        <f t="shared" si="13"/>
        <v>24</v>
      </c>
      <c r="F29" s="58" t="s">
        <v>23</v>
      </c>
      <c r="G29" s="93">
        <v>0</v>
      </c>
      <c r="H29" s="54" t="str">
        <f t="shared" si="2"/>
        <v>RO_Data[1].MIN[</v>
      </c>
      <c r="I29" s="55">
        <f t="shared" si="14"/>
        <v>24</v>
      </c>
      <c r="J29" s="58" t="s">
        <v>23</v>
      </c>
      <c r="K29" s="93">
        <v>0</v>
      </c>
      <c r="L29" s="54" t="str">
        <f t="shared" si="3"/>
        <v>RO_Data[1].SEC[</v>
      </c>
      <c r="M29" s="55">
        <f t="shared" si="15"/>
        <v>24</v>
      </c>
      <c r="N29" s="58" t="s">
        <v>23</v>
      </c>
      <c r="O29" s="91">
        <v>0</v>
      </c>
      <c r="P29" s="54" t="str">
        <f t="shared" si="4"/>
        <v>RO_Data[1].SETPOINT[</v>
      </c>
      <c r="Q29" s="55">
        <f t="shared" si="16"/>
        <v>24</v>
      </c>
      <c r="R29" s="58" t="s">
        <v>23</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23</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23</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23</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23</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23</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23</v>
      </c>
      <c r="IB29" s="57"/>
      <c r="IC29" s="137" t="str">
        <f t="shared" si="12"/>
        <v>RO_Data[1].STEP_DESC[</v>
      </c>
      <c r="ID29" s="29">
        <f t="shared" si="23"/>
        <v>24</v>
      </c>
      <c r="IE29" s="106" t="s">
        <v>23</v>
      </c>
    </row>
  </sheetData>
  <mergeCells count="51">
    <mergeCell ref="H4:J4"/>
    <mergeCell ref="L4:N4"/>
    <mergeCell ref="P4:R4"/>
    <mergeCell ref="C1:F1"/>
    <mergeCell ref="D2:F2"/>
    <mergeCell ref="D3:F3"/>
    <mergeCell ref="D4:F4"/>
    <mergeCell ref="H2:J2"/>
    <mergeCell ref="L2:N2"/>
    <mergeCell ref="P2:R2"/>
    <mergeCell ref="H3:J3"/>
    <mergeCell ref="L3:N3"/>
    <mergeCell ref="P3:R3"/>
    <mergeCell ref="IB1:IE1"/>
    <mergeCell ref="A1:B1"/>
    <mergeCell ref="DX1:FG1"/>
    <mergeCell ref="T1:BC1"/>
    <mergeCell ref="BD1:CM1"/>
    <mergeCell ref="CN1:DW1"/>
    <mergeCell ref="FH1:GQ1"/>
    <mergeCell ref="GR1:IA1"/>
    <mergeCell ref="G1:J1"/>
    <mergeCell ref="K1:N1"/>
    <mergeCell ref="O1:R1"/>
    <mergeCell ref="FE4:FG4"/>
    <mergeCell ref="BA4:BC4"/>
    <mergeCell ref="IC4:IE4"/>
    <mergeCell ref="CK4:CM4"/>
    <mergeCell ref="DU4:DW4"/>
    <mergeCell ref="GO4:GQ4"/>
    <mergeCell ref="HY4:IA4"/>
    <mergeCell ref="BA2:BC2"/>
    <mergeCell ref="FE2:FG2"/>
    <mergeCell ref="IC2:IE2"/>
    <mergeCell ref="CK2:CM2"/>
    <mergeCell ref="DU2:DW2"/>
    <mergeCell ref="GO2:GQ2"/>
    <mergeCell ref="HY2:IA2"/>
    <mergeCell ref="IC3:IE3"/>
    <mergeCell ref="T3:AY3"/>
    <mergeCell ref="BA3:BC3"/>
    <mergeCell ref="FE3:FG3"/>
    <mergeCell ref="DX3:FC3"/>
    <mergeCell ref="BD3:CI3"/>
    <mergeCell ref="CK3:CM3"/>
    <mergeCell ref="CN3:DS3"/>
    <mergeCell ref="DU3:DW3"/>
    <mergeCell ref="FH3:GM3"/>
    <mergeCell ref="GO3:GQ3"/>
    <mergeCell ref="GR3:HW3"/>
    <mergeCell ref="HY3:IA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Program'!$B$31:$B$36</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206" t="s">
        <v>135</v>
      </c>
      <c r="B1" s="186"/>
      <c r="C1" s="186" t="s">
        <v>124</v>
      </c>
      <c r="D1" s="204"/>
      <c r="E1" s="204"/>
      <c r="F1" s="205"/>
      <c r="G1" s="186" t="s">
        <v>125</v>
      </c>
      <c r="H1" s="204"/>
      <c r="I1" s="204"/>
      <c r="J1" s="205"/>
      <c r="K1" s="186" t="s">
        <v>126</v>
      </c>
      <c r="L1" s="204"/>
      <c r="M1" s="204"/>
      <c r="N1" s="205"/>
      <c r="O1" s="186" t="s">
        <v>127</v>
      </c>
      <c r="P1" s="204"/>
      <c r="Q1" s="204"/>
      <c r="R1" s="205"/>
      <c r="S1" s="81"/>
      <c r="T1" s="207" t="s">
        <v>128</v>
      </c>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t="s">
        <v>129</v>
      </c>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t="s">
        <v>130</v>
      </c>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7"/>
      <c r="DQ1" s="207"/>
      <c r="DR1" s="207"/>
      <c r="DS1" s="207"/>
      <c r="DT1" s="207"/>
      <c r="DU1" s="207"/>
      <c r="DV1" s="207"/>
      <c r="DW1" s="207"/>
      <c r="DX1" s="186" t="s">
        <v>131</v>
      </c>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t="s">
        <v>132</v>
      </c>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c r="GR1" s="186" t="s">
        <v>133</v>
      </c>
      <c r="GS1" s="186"/>
      <c r="GT1" s="186"/>
      <c r="GU1" s="186"/>
      <c r="GV1" s="186"/>
      <c r="GW1" s="186"/>
      <c r="GX1" s="186"/>
      <c r="GY1" s="186"/>
      <c r="GZ1" s="186"/>
      <c r="HA1" s="186"/>
      <c r="HB1" s="186"/>
      <c r="HC1" s="186"/>
      <c r="HD1" s="186"/>
      <c r="HE1" s="186"/>
      <c r="HF1" s="186"/>
      <c r="HG1" s="186"/>
      <c r="HH1" s="186"/>
      <c r="HI1" s="186"/>
      <c r="HJ1" s="186"/>
      <c r="HK1" s="186"/>
      <c r="HL1" s="186"/>
      <c r="HM1" s="186"/>
      <c r="HN1" s="186"/>
      <c r="HO1" s="186"/>
      <c r="HP1" s="186"/>
      <c r="HQ1" s="186"/>
      <c r="HR1" s="186"/>
      <c r="HS1" s="186"/>
      <c r="HT1" s="186"/>
      <c r="HU1" s="186"/>
      <c r="HV1" s="186"/>
      <c r="HW1" s="186"/>
      <c r="HX1" s="186"/>
      <c r="HY1" s="186"/>
      <c r="HZ1" s="186"/>
      <c r="IA1" s="186"/>
      <c r="IB1" s="186" t="s">
        <v>134</v>
      </c>
      <c r="IC1" s="204"/>
      <c r="ID1" s="204"/>
      <c r="IE1" s="205"/>
    </row>
    <row r="2" spans="1:239" ht="312.75" thickBot="1" x14ac:dyDescent="0.3">
      <c r="A2" s="1"/>
      <c r="B2" s="2" t="s">
        <v>52</v>
      </c>
      <c r="C2" s="4" t="s">
        <v>110</v>
      </c>
      <c r="D2" s="199"/>
      <c r="E2" s="197"/>
      <c r="F2" s="198"/>
      <c r="G2" s="109" t="s">
        <v>108</v>
      </c>
      <c r="H2" s="208"/>
      <c r="I2" s="171"/>
      <c r="J2" s="172"/>
      <c r="K2" s="109" t="s">
        <v>111</v>
      </c>
      <c r="L2" s="208"/>
      <c r="M2" s="171"/>
      <c r="N2" s="216"/>
      <c r="O2" s="4" t="s">
        <v>107</v>
      </c>
      <c r="P2" s="209"/>
      <c r="Q2" s="171"/>
      <c r="R2" s="172"/>
      <c r="S2" s="110"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95"/>
      <c r="BB2" s="187"/>
      <c r="BC2" s="188"/>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95"/>
      <c r="CL2" s="187"/>
      <c r="CM2" s="188"/>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95"/>
      <c r="DV2" s="187"/>
      <c r="DW2" s="188"/>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96"/>
      <c r="FF2" s="197"/>
      <c r="FG2" s="198"/>
      <c r="FH2" s="108"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96"/>
      <c r="GP2" s="197"/>
      <c r="GQ2" s="198"/>
      <c r="GR2" s="108"/>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96"/>
      <c r="HZ2" s="197"/>
      <c r="IA2" s="197"/>
      <c r="IB2" s="4" t="s">
        <v>19</v>
      </c>
      <c r="IC2" s="199"/>
      <c r="ID2" s="197"/>
      <c r="IE2" s="198"/>
    </row>
    <row r="3" spans="1:239" ht="15.75" customHeight="1" thickBot="1" x14ac:dyDescent="0.3">
      <c r="A3" s="123" t="s">
        <v>20</v>
      </c>
      <c r="B3" s="123"/>
      <c r="C3" s="123" t="s">
        <v>18</v>
      </c>
      <c r="D3" s="186" t="s">
        <v>21</v>
      </c>
      <c r="E3" s="187"/>
      <c r="F3" s="188"/>
      <c r="G3" s="124" t="s">
        <v>17</v>
      </c>
      <c r="H3" s="191" t="s">
        <v>21</v>
      </c>
      <c r="I3" s="187"/>
      <c r="J3" s="188"/>
      <c r="K3" s="124" t="s">
        <v>17</v>
      </c>
      <c r="L3" s="191" t="s">
        <v>21</v>
      </c>
      <c r="M3" s="187"/>
      <c r="N3" s="188"/>
      <c r="O3" s="123" t="s">
        <v>17</v>
      </c>
      <c r="P3" s="186" t="s">
        <v>21</v>
      </c>
      <c r="Q3" s="187"/>
      <c r="R3" s="188"/>
      <c r="S3" s="110"/>
      <c r="T3" s="214"/>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8"/>
      <c r="AZ3" s="123" t="s">
        <v>425</v>
      </c>
      <c r="BA3" s="191" t="s">
        <v>21</v>
      </c>
      <c r="BB3" s="187"/>
      <c r="BC3" s="188"/>
      <c r="BD3" s="214"/>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8"/>
      <c r="CJ3" s="151" t="s">
        <v>425</v>
      </c>
      <c r="CK3" s="191" t="s">
        <v>21</v>
      </c>
      <c r="CL3" s="187"/>
      <c r="CM3" s="188"/>
      <c r="CN3" s="214"/>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8"/>
      <c r="DT3" s="151" t="s">
        <v>425</v>
      </c>
      <c r="DU3" s="191" t="s">
        <v>21</v>
      </c>
      <c r="DV3" s="187"/>
      <c r="DW3" s="188"/>
      <c r="DX3" s="215"/>
      <c r="DY3" s="193"/>
      <c r="DZ3" s="193"/>
      <c r="EA3" s="193"/>
      <c r="EB3" s="193"/>
      <c r="EC3" s="193"/>
      <c r="ED3" s="193"/>
      <c r="EE3" s="193"/>
      <c r="EF3" s="193"/>
      <c r="EG3" s="193"/>
      <c r="EH3" s="193"/>
      <c r="EI3" s="193"/>
      <c r="EJ3" s="193"/>
      <c r="EK3" s="193"/>
      <c r="EL3" s="193"/>
      <c r="EM3" s="193"/>
      <c r="EN3" s="193"/>
      <c r="EO3" s="193"/>
      <c r="EP3" s="193"/>
      <c r="EQ3" s="193"/>
      <c r="ER3" s="193"/>
      <c r="ES3" s="193"/>
      <c r="ET3" s="193"/>
      <c r="EU3" s="193"/>
      <c r="EV3" s="193"/>
      <c r="EW3" s="193"/>
      <c r="EX3" s="193"/>
      <c r="EY3" s="193"/>
      <c r="EZ3" s="193"/>
      <c r="FA3" s="193"/>
      <c r="FB3" s="193"/>
      <c r="FC3" s="194"/>
      <c r="FD3" s="151" t="s">
        <v>425</v>
      </c>
      <c r="FE3" s="191" t="s">
        <v>21</v>
      </c>
      <c r="FF3" s="187"/>
      <c r="FG3" s="188"/>
      <c r="FH3" s="192"/>
      <c r="FI3" s="193"/>
      <c r="FJ3" s="193"/>
      <c r="FK3" s="193"/>
      <c r="FL3" s="193"/>
      <c r="FM3" s="193"/>
      <c r="FN3" s="193"/>
      <c r="FO3" s="193"/>
      <c r="FP3" s="193"/>
      <c r="FQ3" s="193"/>
      <c r="FR3" s="193"/>
      <c r="FS3" s="193"/>
      <c r="FT3" s="193"/>
      <c r="FU3" s="193"/>
      <c r="FV3" s="193"/>
      <c r="FW3" s="193"/>
      <c r="FX3" s="193"/>
      <c r="FY3" s="193"/>
      <c r="FZ3" s="193"/>
      <c r="GA3" s="193"/>
      <c r="GB3" s="193"/>
      <c r="GC3" s="193"/>
      <c r="GD3" s="193"/>
      <c r="GE3" s="193"/>
      <c r="GF3" s="193"/>
      <c r="GG3" s="193"/>
      <c r="GH3" s="193"/>
      <c r="GI3" s="193"/>
      <c r="GJ3" s="193"/>
      <c r="GK3" s="193"/>
      <c r="GL3" s="193"/>
      <c r="GM3" s="194"/>
      <c r="GN3" s="151" t="s">
        <v>425</v>
      </c>
      <c r="GO3" s="191" t="s">
        <v>21</v>
      </c>
      <c r="GP3" s="187"/>
      <c r="GQ3" s="188"/>
      <c r="GR3" s="192"/>
      <c r="GS3" s="193"/>
      <c r="GT3" s="193"/>
      <c r="GU3" s="193"/>
      <c r="GV3" s="193"/>
      <c r="GW3" s="193"/>
      <c r="GX3" s="193"/>
      <c r="GY3" s="193"/>
      <c r="GZ3" s="193"/>
      <c r="HA3" s="193"/>
      <c r="HB3" s="193"/>
      <c r="HC3" s="193"/>
      <c r="HD3" s="193"/>
      <c r="HE3" s="193"/>
      <c r="HF3" s="193"/>
      <c r="HG3" s="193"/>
      <c r="HH3" s="193"/>
      <c r="HI3" s="193"/>
      <c r="HJ3" s="193"/>
      <c r="HK3" s="193"/>
      <c r="HL3" s="193"/>
      <c r="HM3" s="193"/>
      <c r="HN3" s="193"/>
      <c r="HO3" s="193"/>
      <c r="HP3" s="193"/>
      <c r="HQ3" s="193"/>
      <c r="HR3" s="193"/>
      <c r="HS3" s="193"/>
      <c r="HT3" s="193"/>
      <c r="HU3" s="193"/>
      <c r="HV3" s="193"/>
      <c r="HW3" s="194"/>
      <c r="HX3" s="151" t="s">
        <v>425</v>
      </c>
      <c r="HY3" s="191" t="s">
        <v>21</v>
      </c>
      <c r="HZ3" s="187"/>
      <c r="IA3" s="188"/>
      <c r="IB3" s="123" t="s">
        <v>18</v>
      </c>
      <c r="IC3" s="186" t="s">
        <v>21</v>
      </c>
      <c r="ID3" s="187"/>
      <c r="IE3" s="188"/>
    </row>
    <row r="4" spans="1:239" x14ac:dyDescent="0.25">
      <c r="A4" s="130" t="s">
        <v>22</v>
      </c>
      <c r="B4" s="130" t="s">
        <v>19</v>
      </c>
      <c r="C4" s="131"/>
      <c r="D4" s="210"/>
      <c r="E4" s="211"/>
      <c r="F4" s="213"/>
      <c r="G4" s="132"/>
      <c r="H4" s="210"/>
      <c r="I4" s="211"/>
      <c r="J4" s="213"/>
      <c r="K4" s="132"/>
      <c r="L4" s="210"/>
      <c r="M4" s="211"/>
      <c r="N4" s="212"/>
      <c r="O4" s="133"/>
      <c r="P4" s="210"/>
      <c r="Q4" s="211"/>
      <c r="R4" s="213"/>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210"/>
      <c r="BB4" s="211"/>
      <c r="BC4" s="212"/>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210"/>
      <c r="CL4" s="211"/>
      <c r="CM4" s="212"/>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210"/>
      <c r="DV4" s="211"/>
      <c r="DW4" s="212"/>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210"/>
      <c r="FF4" s="211"/>
      <c r="FG4" s="213"/>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210"/>
      <c r="GP4" s="211"/>
      <c r="GQ4" s="213"/>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210"/>
      <c r="HZ4" s="211"/>
      <c r="IA4" s="212"/>
      <c r="IB4" s="130"/>
      <c r="IC4" s="210"/>
      <c r="ID4" s="211"/>
      <c r="IE4" s="213"/>
    </row>
    <row r="5" spans="1:239" x14ac:dyDescent="0.25">
      <c r="A5" s="8">
        <v>0</v>
      </c>
      <c r="B5" s="8" t="str">
        <f t="shared" ref="B5:B68" si="0">IF($IB5&lt;&gt;"", $IB5, "")</f>
        <v>HOME</v>
      </c>
      <c r="C5" s="82"/>
      <c r="D5" s="25" t="s">
        <v>362</v>
      </c>
      <c r="E5" s="26">
        <v>0</v>
      </c>
      <c r="F5" s="122" t="s">
        <v>23</v>
      </c>
      <c r="G5" s="11">
        <v>0</v>
      </c>
      <c r="H5" s="25" t="s">
        <v>363</v>
      </c>
      <c r="I5" s="26">
        <v>0</v>
      </c>
      <c r="J5" s="122" t="s">
        <v>23</v>
      </c>
      <c r="K5" s="11">
        <v>0</v>
      </c>
      <c r="L5" s="25" t="s">
        <v>364</v>
      </c>
      <c r="M5" s="26">
        <v>0</v>
      </c>
      <c r="N5" s="30" t="s">
        <v>23</v>
      </c>
      <c r="O5" s="12">
        <v>0</v>
      </c>
      <c r="P5" s="25" t="s">
        <v>365</v>
      </c>
      <c r="Q5" s="26">
        <v>0</v>
      </c>
      <c r="R5" s="122"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366</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367</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368</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369</v>
      </c>
      <c r="FF5" s="26">
        <v>0</v>
      </c>
      <c r="FG5" s="122"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370</v>
      </c>
      <c r="GP5" s="26">
        <v>0</v>
      </c>
      <c r="GQ5" s="122"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371</v>
      </c>
      <c r="HZ5" s="26">
        <v>0</v>
      </c>
      <c r="IA5" s="30" t="s">
        <v>23</v>
      </c>
      <c r="IB5" s="10" t="s">
        <v>207</v>
      </c>
      <c r="IC5" s="25" t="s">
        <v>372</v>
      </c>
      <c r="ID5" s="26">
        <v>0</v>
      </c>
      <c r="IE5" s="122" t="s">
        <v>23</v>
      </c>
    </row>
    <row r="6" spans="1:239" x14ac:dyDescent="0.25">
      <c r="A6" s="8">
        <v>1</v>
      </c>
      <c r="B6" s="8" t="str">
        <f t="shared" si="0"/>
        <v>FILLING FEED TANK TO SET POINT LEVEL</v>
      </c>
      <c r="C6" s="82"/>
      <c r="D6" s="6" t="str">
        <f t="shared" ref="D6:D69" si="1">D$5</f>
        <v>RO_Data[2].ACK_DESC[</v>
      </c>
      <c r="E6" s="26">
        <f>E5+1</f>
        <v>1</v>
      </c>
      <c r="F6" s="122" t="s">
        <v>23</v>
      </c>
      <c r="G6" s="11">
        <v>0</v>
      </c>
      <c r="H6" s="6" t="str">
        <f t="shared" ref="H6:H69" si="2">H$5</f>
        <v>RO_Data[2].MIN[</v>
      </c>
      <c r="I6" s="26">
        <f>I5+1</f>
        <v>1</v>
      </c>
      <c r="J6" s="122" t="s">
        <v>23</v>
      </c>
      <c r="K6" s="11">
        <v>1</v>
      </c>
      <c r="L6" s="6" t="str">
        <f t="shared" ref="L6:L69" si="3">L$5</f>
        <v>RO_Data[2].SEC[</v>
      </c>
      <c r="M6" s="26">
        <f>M5+1</f>
        <v>1</v>
      </c>
      <c r="N6" s="30" t="s">
        <v>23</v>
      </c>
      <c r="O6" s="12">
        <v>0</v>
      </c>
      <c r="P6" s="6" t="str">
        <f t="shared" ref="P6:P69" si="4">P$5</f>
        <v>RO_Data[2].SETPOINT[</v>
      </c>
      <c r="Q6" s="26">
        <f>Q5+1</f>
        <v>1</v>
      </c>
      <c r="R6" s="122" t="s">
        <v>23</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23</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23</v>
      </c>
      <c r="IB6" s="10" t="s">
        <v>225</v>
      </c>
      <c r="IC6" s="6" t="str">
        <f t="shared" ref="IC6:IC69" si="12">IC$5</f>
        <v>RO_Data[2].STEP_DESC[</v>
      </c>
      <c r="ID6" s="26">
        <f>ID5+1</f>
        <v>1</v>
      </c>
      <c r="IE6" s="122" t="s">
        <v>23</v>
      </c>
    </row>
    <row r="7" spans="1:239" x14ac:dyDescent="0.25">
      <c r="A7" s="8">
        <v>2</v>
      </c>
      <c r="B7" s="8" t="str">
        <f t="shared" si="0"/>
        <v>STARTING PUMPS</v>
      </c>
      <c r="C7" s="82"/>
      <c r="D7" s="6" t="str">
        <f t="shared" si="1"/>
        <v>RO_Data[2].ACK_DESC[</v>
      </c>
      <c r="E7" s="26">
        <f t="shared" ref="E7:E29" si="13">E6+1</f>
        <v>2</v>
      </c>
      <c r="F7" s="122" t="s">
        <v>23</v>
      </c>
      <c r="G7" s="11">
        <v>0</v>
      </c>
      <c r="H7" s="6" t="str">
        <f t="shared" si="2"/>
        <v>RO_Data[2].MIN[</v>
      </c>
      <c r="I7" s="26">
        <f t="shared" ref="I7:I29" si="14">I6+1</f>
        <v>2</v>
      </c>
      <c r="J7" s="122" t="s">
        <v>23</v>
      </c>
      <c r="K7" s="11">
        <v>30</v>
      </c>
      <c r="L7" s="6" t="str">
        <f t="shared" si="3"/>
        <v>RO_Data[2].SEC[</v>
      </c>
      <c r="M7" s="26">
        <f t="shared" ref="M7:M29" si="15">M6+1</f>
        <v>2</v>
      </c>
      <c r="N7" s="30" t="s">
        <v>23</v>
      </c>
      <c r="O7" s="12">
        <v>0</v>
      </c>
      <c r="P7" s="6" t="str">
        <f t="shared" si="4"/>
        <v>RO_Data[2].SETPOINT[</v>
      </c>
      <c r="Q7" s="26">
        <f t="shared" ref="Q7:Q29" si="16">Q6+1</f>
        <v>2</v>
      </c>
      <c r="R7" s="122" t="s">
        <v>23</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23</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23</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23</v>
      </c>
      <c r="IB7" s="10" t="s">
        <v>226</v>
      </c>
      <c r="IC7" s="6" t="str">
        <f t="shared" si="12"/>
        <v>RO_Data[2].STEP_DESC[</v>
      </c>
      <c r="ID7" s="26">
        <f t="shared" ref="ID7:ID29" si="23">ID6+1</f>
        <v>2</v>
      </c>
      <c r="IE7" s="122" t="s">
        <v>23</v>
      </c>
    </row>
    <row r="8" spans="1:239" x14ac:dyDescent="0.25">
      <c r="A8" s="8">
        <v>3</v>
      </c>
      <c r="B8" s="8" t="str">
        <f t="shared" si="0"/>
        <v>RINSING STAGES</v>
      </c>
      <c r="C8" s="82"/>
      <c r="D8" s="6" t="str">
        <f t="shared" si="1"/>
        <v>RO_Data[2].ACK_DESC[</v>
      </c>
      <c r="E8" s="26">
        <f t="shared" si="13"/>
        <v>3</v>
      </c>
      <c r="F8" s="122" t="s">
        <v>23</v>
      </c>
      <c r="G8" s="11">
        <v>0</v>
      </c>
      <c r="H8" s="6" t="str">
        <f t="shared" si="2"/>
        <v>RO_Data[2].MIN[</v>
      </c>
      <c r="I8" s="26">
        <f t="shared" si="14"/>
        <v>3</v>
      </c>
      <c r="J8" s="122" t="s">
        <v>23</v>
      </c>
      <c r="K8" s="11">
        <v>1</v>
      </c>
      <c r="L8" s="6" t="str">
        <f t="shared" si="3"/>
        <v>RO_Data[2].SEC[</v>
      </c>
      <c r="M8" s="26">
        <f t="shared" si="15"/>
        <v>3</v>
      </c>
      <c r="N8" s="30" t="s">
        <v>23</v>
      </c>
      <c r="O8" s="12">
        <v>0</v>
      </c>
      <c r="P8" s="6" t="str">
        <f t="shared" si="4"/>
        <v>RO_Data[2].SETPOINT[</v>
      </c>
      <c r="Q8" s="26">
        <f t="shared" si="16"/>
        <v>3</v>
      </c>
      <c r="R8" s="122" t="s">
        <v>23</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23</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23</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23</v>
      </c>
      <c r="IB8" s="10" t="s">
        <v>227</v>
      </c>
      <c r="IC8" s="6" t="str">
        <f t="shared" si="12"/>
        <v>RO_Data[2].STEP_DESC[</v>
      </c>
      <c r="ID8" s="26">
        <f t="shared" si="23"/>
        <v>3</v>
      </c>
      <c r="IE8" s="122" t="s">
        <v>23</v>
      </c>
    </row>
    <row r="9" spans="1:239" x14ac:dyDescent="0.25">
      <c r="A9" s="8">
        <v>4</v>
      </c>
      <c r="B9" s="8" t="str">
        <f t="shared" si="0"/>
        <v>PAUSE</v>
      </c>
      <c r="C9" s="82"/>
      <c r="D9" s="6" t="str">
        <f t="shared" si="1"/>
        <v>RO_Data[2].ACK_DESC[</v>
      </c>
      <c r="E9" s="26">
        <f t="shared" si="13"/>
        <v>4</v>
      </c>
      <c r="F9" s="122" t="s">
        <v>23</v>
      </c>
      <c r="G9" s="11">
        <v>0</v>
      </c>
      <c r="H9" s="6" t="str">
        <f t="shared" si="2"/>
        <v>RO_Data[2].MIN[</v>
      </c>
      <c r="I9" s="26">
        <f t="shared" si="14"/>
        <v>4</v>
      </c>
      <c r="J9" s="122" t="s">
        <v>23</v>
      </c>
      <c r="K9" s="11">
        <v>10</v>
      </c>
      <c r="L9" s="6" t="str">
        <f t="shared" si="3"/>
        <v>RO_Data[2].SEC[</v>
      </c>
      <c r="M9" s="26">
        <f t="shared" si="15"/>
        <v>4</v>
      </c>
      <c r="N9" s="30" t="s">
        <v>23</v>
      </c>
      <c r="O9" s="12">
        <v>0</v>
      </c>
      <c r="P9" s="6" t="str">
        <f t="shared" si="4"/>
        <v>RO_Data[2].SETPOINT[</v>
      </c>
      <c r="Q9" s="26">
        <f t="shared" si="16"/>
        <v>4</v>
      </c>
      <c r="R9" s="122" t="s">
        <v>23</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23</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23</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23</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23</v>
      </c>
      <c r="IB9" s="10" t="s">
        <v>223</v>
      </c>
      <c r="IC9" s="6" t="str">
        <f t="shared" si="12"/>
        <v>RO_Data[2].STEP_DESC[</v>
      </c>
      <c r="ID9" s="26">
        <f t="shared" si="23"/>
        <v>4</v>
      </c>
      <c r="IE9" s="122" t="s">
        <v>23</v>
      </c>
    </row>
    <row r="10" spans="1:239" x14ac:dyDescent="0.25">
      <c r="A10" s="8">
        <v>5</v>
      </c>
      <c r="B10" s="8" t="str">
        <f t="shared" si="0"/>
        <v>FILLING FEED TANK TO SET POINT LEVEL</v>
      </c>
      <c r="C10" s="82"/>
      <c r="D10" s="6" t="str">
        <f t="shared" si="1"/>
        <v>RO_Data[2].ACK_DESC[</v>
      </c>
      <c r="E10" s="26">
        <f t="shared" si="13"/>
        <v>5</v>
      </c>
      <c r="F10" s="122" t="s">
        <v>23</v>
      </c>
      <c r="G10" s="11">
        <v>0</v>
      </c>
      <c r="H10" s="6" t="str">
        <f t="shared" si="2"/>
        <v>RO_Data[2].MIN[</v>
      </c>
      <c r="I10" s="26">
        <f t="shared" si="14"/>
        <v>5</v>
      </c>
      <c r="J10" s="122" t="s">
        <v>23</v>
      </c>
      <c r="K10" s="11">
        <v>1</v>
      </c>
      <c r="L10" s="6" t="str">
        <f t="shared" si="3"/>
        <v>RO_Data[2].SEC[</v>
      </c>
      <c r="M10" s="26">
        <f t="shared" si="15"/>
        <v>5</v>
      </c>
      <c r="N10" s="30" t="s">
        <v>23</v>
      </c>
      <c r="O10" s="12">
        <v>0</v>
      </c>
      <c r="P10" s="6" t="str">
        <f t="shared" si="4"/>
        <v>RO_Data[2].SETPOINT[</v>
      </c>
      <c r="Q10" s="26">
        <f t="shared" si="16"/>
        <v>5</v>
      </c>
      <c r="R10" s="122" t="s">
        <v>23</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23</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23</v>
      </c>
      <c r="IB10" s="10" t="s">
        <v>225</v>
      </c>
      <c r="IC10" s="6" t="str">
        <f t="shared" si="12"/>
        <v>RO_Data[2].STEP_DESC[</v>
      </c>
      <c r="ID10" s="26">
        <f t="shared" si="23"/>
        <v>5</v>
      </c>
      <c r="IE10" s="122" t="s">
        <v>23</v>
      </c>
    </row>
    <row r="11" spans="1:239" x14ac:dyDescent="0.25">
      <c r="A11" s="8">
        <v>6</v>
      </c>
      <c r="B11" s="8" t="str">
        <f t="shared" si="0"/>
        <v>STARTING PUMPS</v>
      </c>
      <c r="C11" s="82"/>
      <c r="D11" s="6" t="str">
        <f t="shared" si="1"/>
        <v>RO_Data[2].ACK_DESC[</v>
      </c>
      <c r="E11" s="26">
        <f t="shared" si="13"/>
        <v>6</v>
      </c>
      <c r="F11" s="122" t="s">
        <v>23</v>
      </c>
      <c r="G11" s="11">
        <v>0</v>
      </c>
      <c r="H11" s="6" t="str">
        <f t="shared" si="2"/>
        <v>RO_Data[2].MIN[</v>
      </c>
      <c r="I11" s="26">
        <f t="shared" si="14"/>
        <v>6</v>
      </c>
      <c r="J11" s="122" t="s">
        <v>23</v>
      </c>
      <c r="K11" s="11">
        <v>30</v>
      </c>
      <c r="L11" s="6" t="str">
        <f t="shared" si="3"/>
        <v>RO_Data[2].SEC[</v>
      </c>
      <c r="M11" s="26">
        <f t="shared" si="15"/>
        <v>6</v>
      </c>
      <c r="N11" s="30" t="s">
        <v>23</v>
      </c>
      <c r="O11" s="12">
        <v>0</v>
      </c>
      <c r="P11" s="6" t="str">
        <f t="shared" si="4"/>
        <v>RO_Data[2].SETPOINT[</v>
      </c>
      <c r="Q11" s="26">
        <f t="shared" si="16"/>
        <v>6</v>
      </c>
      <c r="R11" s="122" t="s">
        <v>23</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23</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23</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23</v>
      </c>
      <c r="IB11" s="10" t="s">
        <v>226</v>
      </c>
      <c r="IC11" s="6" t="str">
        <f t="shared" si="12"/>
        <v>RO_Data[2].STEP_DESC[</v>
      </c>
      <c r="ID11" s="26">
        <f t="shared" si="23"/>
        <v>6</v>
      </c>
      <c r="IE11" s="122" t="s">
        <v>23</v>
      </c>
    </row>
    <row r="12" spans="1:239" x14ac:dyDescent="0.25">
      <c r="A12" s="8">
        <v>7</v>
      </c>
      <c r="B12" s="8" t="str">
        <f t="shared" si="0"/>
        <v>ADDING CHEMICALS</v>
      </c>
      <c r="C12" s="82"/>
      <c r="D12" s="6" t="str">
        <f t="shared" si="1"/>
        <v>RO_Data[2].ACK_DESC[</v>
      </c>
      <c r="E12" s="26">
        <f t="shared" si="13"/>
        <v>7</v>
      </c>
      <c r="F12" s="122" t="s">
        <v>23</v>
      </c>
      <c r="G12" s="11">
        <v>0</v>
      </c>
      <c r="H12" s="6" t="str">
        <f t="shared" si="2"/>
        <v>RO_Data[2].MIN[</v>
      </c>
      <c r="I12" s="26">
        <f t="shared" si="14"/>
        <v>7</v>
      </c>
      <c r="J12" s="122" t="s">
        <v>23</v>
      </c>
      <c r="K12" s="11">
        <v>1</v>
      </c>
      <c r="L12" s="6" t="str">
        <f t="shared" si="3"/>
        <v>RO_Data[2].SEC[</v>
      </c>
      <c r="M12" s="26">
        <f t="shared" si="15"/>
        <v>7</v>
      </c>
      <c r="N12" s="30" t="s">
        <v>23</v>
      </c>
      <c r="O12" s="12">
        <v>0</v>
      </c>
      <c r="P12" s="6" t="str">
        <f t="shared" si="4"/>
        <v>RO_Data[2].SETPOINT[</v>
      </c>
      <c r="Q12" s="26">
        <f t="shared" si="16"/>
        <v>7</v>
      </c>
      <c r="R12" s="122" t="s">
        <v>23</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23</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23</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23</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23</v>
      </c>
      <c r="IB12" s="10" t="s">
        <v>228</v>
      </c>
      <c r="IC12" s="6" t="str">
        <f t="shared" si="12"/>
        <v>RO_Data[2].STEP_DESC[</v>
      </c>
      <c r="ID12" s="26">
        <f t="shared" si="23"/>
        <v>7</v>
      </c>
      <c r="IE12" s="122" t="s">
        <v>23</v>
      </c>
    </row>
    <row r="13" spans="1:239" s="75" customFormat="1" x14ac:dyDescent="0.25">
      <c r="A13" s="64">
        <v>8</v>
      </c>
      <c r="B13" s="64" t="str">
        <f t="shared" si="0"/>
        <v>HEATING TO TEMPERATURE (WASH 1)</v>
      </c>
      <c r="C13" s="83"/>
      <c r="D13" s="6" t="str">
        <f t="shared" si="1"/>
        <v>RO_Data[2].ACK_DESC[</v>
      </c>
      <c r="E13" s="67">
        <f t="shared" si="13"/>
        <v>8</v>
      </c>
      <c r="F13" s="68" t="s">
        <v>23</v>
      </c>
      <c r="G13" s="69">
        <v>0</v>
      </c>
      <c r="H13" s="6" t="str">
        <f t="shared" si="2"/>
        <v>RO_Data[2].MIN[</v>
      </c>
      <c r="I13" s="67">
        <f t="shared" si="14"/>
        <v>8</v>
      </c>
      <c r="J13" s="68" t="s">
        <v>23</v>
      </c>
      <c r="K13" s="69">
        <v>1</v>
      </c>
      <c r="L13" s="6" t="str">
        <f t="shared" si="3"/>
        <v>RO_Data[2].SEC[</v>
      </c>
      <c r="M13" s="67">
        <f t="shared" si="15"/>
        <v>8</v>
      </c>
      <c r="N13" s="68" t="s">
        <v>23</v>
      </c>
      <c r="O13" s="70">
        <v>0</v>
      </c>
      <c r="P13" s="6" t="str">
        <f t="shared" si="4"/>
        <v>RO_Data[2].SETPOINT[</v>
      </c>
      <c r="Q13" s="67">
        <f t="shared" si="16"/>
        <v>8</v>
      </c>
      <c r="R13" s="68" t="s">
        <v>23</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23</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23</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23</v>
      </c>
      <c r="IB13" s="65" t="s">
        <v>229</v>
      </c>
      <c r="IC13" s="6" t="str">
        <f t="shared" si="12"/>
        <v>RO_Data[2].STEP_DESC[</v>
      </c>
      <c r="ID13" s="67">
        <f t="shared" si="23"/>
        <v>8</v>
      </c>
      <c r="IE13" s="68" t="s">
        <v>23</v>
      </c>
    </row>
    <row r="14" spans="1:239" s="75" customFormat="1" x14ac:dyDescent="0.25">
      <c r="A14" s="64">
        <v>9</v>
      </c>
      <c r="B14" s="64" t="str">
        <f t="shared" si="0"/>
        <v>CHECK PH - HOLD FOR ACKNOWLEDGE</v>
      </c>
      <c r="C14" s="83"/>
      <c r="D14" s="6" t="str">
        <f t="shared" si="1"/>
        <v>RO_Data[2].ACK_DESC[</v>
      </c>
      <c r="E14" s="67">
        <f t="shared" si="13"/>
        <v>9</v>
      </c>
      <c r="F14" s="68" t="s">
        <v>23</v>
      </c>
      <c r="G14" s="69">
        <v>0</v>
      </c>
      <c r="H14" s="6" t="str">
        <f t="shared" si="2"/>
        <v>RO_Data[2].MIN[</v>
      </c>
      <c r="I14" s="67">
        <f t="shared" si="14"/>
        <v>9</v>
      </c>
      <c r="J14" s="68" t="s">
        <v>23</v>
      </c>
      <c r="K14" s="69">
        <v>0</v>
      </c>
      <c r="L14" s="6" t="str">
        <f t="shared" si="3"/>
        <v>RO_Data[2].SEC[</v>
      </c>
      <c r="M14" s="67">
        <f t="shared" si="15"/>
        <v>9</v>
      </c>
      <c r="N14" s="68" t="s">
        <v>23</v>
      </c>
      <c r="O14" s="70">
        <v>0</v>
      </c>
      <c r="P14" s="6" t="str">
        <f t="shared" si="4"/>
        <v>RO_Data[2].SETPOINT[</v>
      </c>
      <c r="Q14" s="67">
        <f t="shared" si="16"/>
        <v>9</v>
      </c>
      <c r="R14" s="68" t="s">
        <v>23</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23</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23</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23</v>
      </c>
      <c r="IB14" s="65" t="s">
        <v>356</v>
      </c>
      <c r="IC14" s="6" t="str">
        <f t="shared" si="12"/>
        <v>RO_Data[2].STEP_DESC[</v>
      </c>
      <c r="ID14" s="67">
        <f t="shared" si="23"/>
        <v>9</v>
      </c>
      <c r="IE14" s="68" t="s">
        <v>23</v>
      </c>
    </row>
    <row r="15" spans="1:239" s="75" customFormat="1" x14ac:dyDescent="0.25">
      <c r="A15" s="64">
        <v>10</v>
      </c>
      <c r="B15" s="64" t="str">
        <f t="shared" si="0"/>
        <v>WASH 1</v>
      </c>
      <c r="C15" s="83"/>
      <c r="D15" s="6" t="str">
        <f t="shared" si="1"/>
        <v>RO_Data[2].ACK_DESC[</v>
      </c>
      <c r="E15" s="67">
        <f t="shared" si="13"/>
        <v>10</v>
      </c>
      <c r="F15" s="68" t="s">
        <v>23</v>
      </c>
      <c r="G15" s="69">
        <v>0</v>
      </c>
      <c r="H15" s="6" t="str">
        <f t="shared" si="2"/>
        <v>RO_Data[2].MIN[</v>
      </c>
      <c r="I15" s="67">
        <f t="shared" si="14"/>
        <v>10</v>
      </c>
      <c r="J15" s="68" t="s">
        <v>23</v>
      </c>
      <c r="K15" s="69">
        <v>1</v>
      </c>
      <c r="L15" s="6" t="str">
        <f t="shared" si="3"/>
        <v>RO_Data[2].SEC[</v>
      </c>
      <c r="M15" s="67">
        <f t="shared" si="15"/>
        <v>10</v>
      </c>
      <c r="N15" s="68" t="s">
        <v>23</v>
      </c>
      <c r="O15" s="70">
        <v>0</v>
      </c>
      <c r="P15" s="6" t="str">
        <f t="shared" si="4"/>
        <v>RO_Data[2].SETPOINT[</v>
      </c>
      <c r="Q15" s="67">
        <f t="shared" si="16"/>
        <v>10</v>
      </c>
      <c r="R15" s="68" t="s">
        <v>23</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23</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23</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23</v>
      </c>
      <c r="IB15" s="65" t="s">
        <v>230</v>
      </c>
      <c r="IC15" s="6" t="str">
        <f t="shared" si="12"/>
        <v>RO_Data[2].STEP_DESC[</v>
      </c>
      <c r="ID15" s="67">
        <f t="shared" si="23"/>
        <v>10</v>
      </c>
      <c r="IE15" s="68" t="s">
        <v>23</v>
      </c>
    </row>
    <row r="16" spans="1:239" x14ac:dyDescent="0.25">
      <c r="A16" s="8">
        <v>11</v>
      </c>
      <c r="B16" s="8" t="str">
        <f t="shared" si="0"/>
        <v>PUMPING DOWN FEED TANK</v>
      </c>
      <c r="C16" s="82"/>
      <c r="D16" s="6" t="str">
        <f t="shared" si="1"/>
        <v>RO_Data[2].ACK_DESC[</v>
      </c>
      <c r="E16" s="26">
        <f t="shared" si="13"/>
        <v>11</v>
      </c>
      <c r="F16" s="122" t="s">
        <v>23</v>
      </c>
      <c r="G16" s="11">
        <v>0</v>
      </c>
      <c r="H16" s="6" t="str">
        <f t="shared" si="2"/>
        <v>RO_Data[2].MIN[</v>
      </c>
      <c r="I16" s="26">
        <f t="shared" si="14"/>
        <v>11</v>
      </c>
      <c r="J16" s="122" t="s">
        <v>23</v>
      </c>
      <c r="K16" s="11">
        <v>1</v>
      </c>
      <c r="L16" s="6" t="str">
        <f t="shared" si="3"/>
        <v>RO_Data[2].SEC[</v>
      </c>
      <c r="M16" s="26">
        <f t="shared" si="15"/>
        <v>11</v>
      </c>
      <c r="N16" s="30" t="s">
        <v>23</v>
      </c>
      <c r="O16" s="12">
        <v>0</v>
      </c>
      <c r="P16" s="6" t="str">
        <f t="shared" si="4"/>
        <v>RO_Data[2].SETPOINT[</v>
      </c>
      <c r="Q16" s="26">
        <f t="shared" si="16"/>
        <v>11</v>
      </c>
      <c r="R16" s="122" t="s">
        <v>23</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23</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23</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23</v>
      </c>
      <c r="IB16" s="10" t="s">
        <v>231</v>
      </c>
      <c r="IC16" s="6" t="str">
        <f t="shared" si="12"/>
        <v>RO_Data[2].STEP_DESC[</v>
      </c>
      <c r="ID16" s="26">
        <f t="shared" si="23"/>
        <v>11</v>
      </c>
      <c r="IE16" s="122" t="s">
        <v>23</v>
      </c>
    </row>
    <row r="17" spans="1:239" x14ac:dyDescent="0.25">
      <c r="A17" s="8">
        <v>12</v>
      </c>
      <c r="B17" s="8" t="str">
        <f t="shared" si="0"/>
        <v>DRAINING FEED TANK</v>
      </c>
      <c r="C17" s="82"/>
      <c r="D17" s="6" t="str">
        <f t="shared" si="1"/>
        <v>RO_Data[2].ACK_DESC[</v>
      </c>
      <c r="E17" s="26">
        <f t="shared" si="13"/>
        <v>12</v>
      </c>
      <c r="F17" s="122" t="s">
        <v>23</v>
      </c>
      <c r="G17" s="11">
        <v>0</v>
      </c>
      <c r="H17" s="6" t="str">
        <f t="shared" si="2"/>
        <v>RO_Data[2].MIN[</v>
      </c>
      <c r="I17" s="26">
        <f t="shared" si="14"/>
        <v>12</v>
      </c>
      <c r="J17" s="122" t="s">
        <v>23</v>
      </c>
      <c r="K17" s="11">
        <v>1</v>
      </c>
      <c r="L17" s="6" t="str">
        <f t="shared" si="3"/>
        <v>RO_Data[2].SEC[</v>
      </c>
      <c r="M17" s="26">
        <f t="shared" si="15"/>
        <v>12</v>
      </c>
      <c r="N17" s="30" t="s">
        <v>23</v>
      </c>
      <c r="O17" s="12">
        <v>0</v>
      </c>
      <c r="P17" s="6" t="str">
        <f t="shared" si="4"/>
        <v>RO_Data[2].SETPOINT[</v>
      </c>
      <c r="Q17" s="26">
        <f t="shared" si="16"/>
        <v>12</v>
      </c>
      <c r="R17" s="122" t="s">
        <v>23</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23</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23</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23</v>
      </c>
      <c r="IB17" s="10" t="s">
        <v>232</v>
      </c>
      <c r="IC17" s="6" t="str">
        <f t="shared" si="12"/>
        <v>RO_Data[2].STEP_DESC[</v>
      </c>
      <c r="ID17" s="26">
        <f t="shared" si="23"/>
        <v>12</v>
      </c>
      <c r="IE17" s="122" t="s">
        <v>23</v>
      </c>
    </row>
    <row r="18" spans="1:239" x14ac:dyDescent="0.25">
      <c r="A18" s="8">
        <v>13</v>
      </c>
      <c r="B18" s="8" t="str">
        <f t="shared" si="0"/>
        <v>FILLING FEED TANK TO SET POINT LEVEL</v>
      </c>
      <c r="C18" s="82"/>
      <c r="D18" s="6" t="str">
        <f t="shared" si="1"/>
        <v>RO_Data[2].ACK_DESC[</v>
      </c>
      <c r="E18" s="26">
        <f t="shared" si="13"/>
        <v>13</v>
      </c>
      <c r="F18" s="122" t="s">
        <v>23</v>
      </c>
      <c r="G18" s="11">
        <v>0</v>
      </c>
      <c r="H18" s="6" t="str">
        <f t="shared" si="2"/>
        <v>RO_Data[2].MIN[</v>
      </c>
      <c r="I18" s="26">
        <f t="shared" si="14"/>
        <v>13</v>
      </c>
      <c r="J18" s="122" t="s">
        <v>23</v>
      </c>
      <c r="K18" s="11">
        <v>1</v>
      </c>
      <c r="L18" s="6" t="str">
        <f t="shared" si="3"/>
        <v>RO_Data[2].SEC[</v>
      </c>
      <c r="M18" s="26">
        <f t="shared" si="15"/>
        <v>13</v>
      </c>
      <c r="N18" s="30" t="s">
        <v>23</v>
      </c>
      <c r="O18" s="12">
        <v>0</v>
      </c>
      <c r="P18" s="6" t="str">
        <f t="shared" si="4"/>
        <v>RO_Data[2].SETPOINT[</v>
      </c>
      <c r="Q18" s="26">
        <f t="shared" si="16"/>
        <v>13</v>
      </c>
      <c r="R18" s="122" t="s">
        <v>23</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23</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23</v>
      </c>
      <c r="IB18" s="10" t="s">
        <v>225</v>
      </c>
      <c r="IC18" s="6" t="str">
        <f t="shared" si="12"/>
        <v>RO_Data[2].STEP_DESC[</v>
      </c>
      <c r="ID18" s="26">
        <f t="shared" si="23"/>
        <v>13</v>
      </c>
      <c r="IE18" s="122" t="s">
        <v>23</v>
      </c>
    </row>
    <row r="19" spans="1:239" x14ac:dyDescent="0.25">
      <c r="A19" s="8">
        <v>14</v>
      </c>
      <c r="B19" s="8" t="str">
        <f t="shared" si="0"/>
        <v>STARTING PUMPS</v>
      </c>
      <c r="C19" s="82"/>
      <c r="D19" s="6" t="str">
        <f t="shared" si="1"/>
        <v>RO_Data[2].ACK_DESC[</v>
      </c>
      <c r="E19" s="26">
        <f t="shared" si="13"/>
        <v>14</v>
      </c>
      <c r="F19" s="122" t="s">
        <v>23</v>
      </c>
      <c r="G19" s="11">
        <v>0</v>
      </c>
      <c r="H19" s="6" t="str">
        <f t="shared" si="2"/>
        <v>RO_Data[2].MIN[</v>
      </c>
      <c r="I19" s="26">
        <f t="shared" si="14"/>
        <v>14</v>
      </c>
      <c r="J19" s="122" t="s">
        <v>23</v>
      </c>
      <c r="K19" s="11">
        <v>30</v>
      </c>
      <c r="L19" s="6" t="str">
        <f t="shared" si="3"/>
        <v>RO_Data[2].SEC[</v>
      </c>
      <c r="M19" s="26">
        <f t="shared" si="15"/>
        <v>14</v>
      </c>
      <c r="N19" s="30" t="s">
        <v>23</v>
      </c>
      <c r="O19" s="12">
        <v>0</v>
      </c>
      <c r="P19" s="6" t="str">
        <f t="shared" si="4"/>
        <v>RO_Data[2].SETPOINT[</v>
      </c>
      <c r="Q19" s="26">
        <f t="shared" si="16"/>
        <v>14</v>
      </c>
      <c r="R19" s="122" t="s">
        <v>23</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23</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23</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23</v>
      </c>
      <c r="IB19" s="10" t="s">
        <v>226</v>
      </c>
      <c r="IC19" s="6" t="str">
        <f t="shared" si="12"/>
        <v>RO_Data[2].STEP_DESC[</v>
      </c>
      <c r="ID19" s="26">
        <f t="shared" si="23"/>
        <v>14</v>
      </c>
      <c r="IE19" s="122" t="s">
        <v>23</v>
      </c>
    </row>
    <row r="20" spans="1:239" x14ac:dyDescent="0.25">
      <c r="A20" s="8">
        <v>15</v>
      </c>
      <c r="B20" s="8" t="str">
        <f t="shared" si="0"/>
        <v>RINSING STAGES</v>
      </c>
      <c r="C20" s="82"/>
      <c r="D20" s="6" t="str">
        <f t="shared" si="1"/>
        <v>RO_Data[2].ACK_DESC[</v>
      </c>
      <c r="E20" s="26">
        <f t="shared" si="13"/>
        <v>15</v>
      </c>
      <c r="F20" s="122" t="s">
        <v>23</v>
      </c>
      <c r="G20" s="11">
        <v>0</v>
      </c>
      <c r="H20" s="6" t="str">
        <f t="shared" si="2"/>
        <v>RO_Data[2].MIN[</v>
      </c>
      <c r="I20" s="26">
        <f t="shared" si="14"/>
        <v>15</v>
      </c>
      <c r="J20" s="122" t="s">
        <v>23</v>
      </c>
      <c r="K20" s="11">
        <v>1</v>
      </c>
      <c r="L20" s="6" t="str">
        <f t="shared" si="3"/>
        <v>RO_Data[2].SEC[</v>
      </c>
      <c r="M20" s="26">
        <f t="shared" si="15"/>
        <v>15</v>
      </c>
      <c r="N20" s="30" t="s">
        <v>23</v>
      </c>
      <c r="O20" s="12">
        <v>0</v>
      </c>
      <c r="P20" s="6" t="str">
        <f t="shared" si="4"/>
        <v>RO_Data[2].SETPOINT[</v>
      </c>
      <c r="Q20" s="26">
        <f t="shared" si="16"/>
        <v>15</v>
      </c>
      <c r="R20" s="122" t="s">
        <v>23</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23</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23</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23</v>
      </c>
      <c r="IB20" s="10" t="s">
        <v>227</v>
      </c>
      <c r="IC20" s="6" t="str">
        <f t="shared" si="12"/>
        <v>RO_Data[2].STEP_DESC[</v>
      </c>
      <c r="ID20" s="26">
        <f t="shared" si="23"/>
        <v>15</v>
      </c>
      <c r="IE20" s="122" t="s">
        <v>23</v>
      </c>
    </row>
    <row r="21" spans="1:239" x14ac:dyDescent="0.25">
      <c r="A21" s="8">
        <v>16</v>
      </c>
      <c r="B21" s="8" t="str">
        <f t="shared" si="0"/>
        <v>PAUSE</v>
      </c>
      <c r="C21" s="82"/>
      <c r="D21" s="6" t="str">
        <f t="shared" si="1"/>
        <v>RO_Data[2].ACK_DESC[</v>
      </c>
      <c r="E21" s="26">
        <f t="shared" si="13"/>
        <v>16</v>
      </c>
      <c r="F21" s="122" t="s">
        <v>23</v>
      </c>
      <c r="G21" s="11">
        <v>0</v>
      </c>
      <c r="H21" s="6" t="str">
        <f t="shared" si="2"/>
        <v>RO_Data[2].MIN[</v>
      </c>
      <c r="I21" s="26">
        <f t="shared" si="14"/>
        <v>16</v>
      </c>
      <c r="J21" s="122" t="s">
        <v>23</v>
      </c>
      <c r="K21" s="11">
        <v>10</v>
      </c>
      <c r="L21" s="6" t="str">
        <f t="shared" si="3"/>
        <v>RO_Data[2].SEC[</v>
      </c>
      <c r="M21" s="26">
        <f t="shared" si="15"/>
        <v>16</v>
      </c>
      <c r="N21" s="30" t="s">
        <v>23</v>
      </c>
      <c r="O21" s="12">
        <v>0</v>
      </c>
      <c r="P21" s="6" t="str">
        <f t="shared" si="4"/>
        <v>RO_Data[2].SETPOINT[</v>
      </c>
      <c r="Q21" s="26">
        <f t="shared" si="16"/>
        <v>16</v>
      </c>
      <c r="R21" s="122" t="s">
        <v>23</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23</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23</v>
      </c>
      <c r="IB21" s="10" t="s">
        <v>223</v>
      </c>
      <c r="IC21" s="6" t="str">
        <f t="shared" si="12"/>
        <v>RO_Data[2].STEP_DESC[</v>
      </c>
      <c r="ID21" s="26">
        <f t="shared" si="23"/>
        <v>16</v>
      </c>
      <c r="IE21" s="122" t="s">
        <v>23</v>
      </c>
    </row>
    <row r="22" spans="1:239" x14ac:dyDescent="0.25">
      <c r="A22" s="8">
        <v>17</v>
      </c>
      <c r="B22" s="8" t="str">
        <f t="shared" si="0"/>
        <v>FILLING FEED TANK TO SET POINT LEVEL</v>
      </c>
      <c r="C22" s="82"/>
      <c r="D22" s="6" t="str">
        <f t="shared" si="1"/>
        <v>RO_Data[2].ACK_DESC[</v>
      </c>
      <c r="E22" s="26">
        <f t="shared" si="13"/>
        <v>17</v>
      </c>
      <c r="F22" s="122" t="s">
        <v>23</v>
      </c>
      <c r="G22" s="11">
        <v>0</v>
      </c>
      <c r="H22" s="6" t="str">
        <f t="shared" si="2"/>
        <v>RO_Data[2].MIN[</v>
      </c>
      <c r="I22" s="26">
        <f t="shared" si="14"/>
        <v>17</v>
      </c>
      <c r="J22" s="122" t="s">
        <v>23</v>
      </c>
      <c r="K22" s="11">
        <v>1</v>
      </c>
      <c r="L22" s="6" t="str">
        <f t="shared" si="3"/>
        <v>RO_Data[2].SEC[</v>
      </c>
      <c r="M22" s="26">
        <f t="shared" si="15"/>
        <v>17</v>
      </c>
      <c r="N22" s="30" t="s">
        <v>23</v>
      </c>
      <c r="O22" s="12">
        <v>0</v>
      </c>
      <c r="P22" s="6" t="str">
        <f t="shared" si="4"/>
        <v>RO_Data[2].SETPOINT[</v>
      </c>
      <c r="Q22" s="26">
        <f t="shared" si="16"/>
        <v>17</v>
      </c>
      <c r="R22" s="122" t="s">
        <v>23</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23</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23</v>
      </c>
      <c r="IB22" s="10" t="s">
        <v>225</v>
      </c>
      <c r="IC22" s="6" t="str">
        <f t="shared" si="12"/>
        <v>RO_Data[2].STEP_DESC[</v>
      </c>
      <c r="ID22" s="26">
        <f t="shared" si="23"/>
        <v>17</v>
      </c>
      <c r="IE22" s="122" t="s">
        <v>23</v>
      </c>
    </row>
    <row r="23" spans="1:239" x14ac:dyDescent="0.25">
      <c r="A23" s="8">
        <v>18</v>
      </c>
      <c r="B23" s="8" t="str">
        <f t="shared" si="0"/>
        <v>STARTING PUMPS</v>
      </c>
      <c r="C23" s="82"/>
      <c r="D23" s="6" t="str">
        <f t="shared" si="1"/>
        <v>RO_Data[2].ACK_DESC[</v>
      </c>
      <c r="E23" s="26">
        <f t="shared" si="13"/>
        <v>18</v>
      </c>
      <c r="F23" s="122" t="s">
        <v>23</v>
      </c>
      <c r="G23" s="11">
        <v>0</v>
      </c>
      <c r="H23" s="6" t="str">
        <f t="shared" si="2"/>
        <v>RO_Data[2].MIN[</v>
      </c>
      <c r="I23" s="26">
        <f t="shared" si="14"/>
        <v>18</v>
      </c>
      <c r="J23" s="122" t="s">
        <v>23</v>
      </c>
      <c r="K23" s="11">
        <v>30</v>
      </c>
      <c r="L23" s="6" t="str">
        <f t="shared" si="3"/>
        <v>RO_Data[2].SEC[</v>
      </c>
      <c r="M23" s="26">
        <f t="shared" si="15"/>
        <v>18</v>
      </c>
      <c r="N23" s="30" t="s">
        <v>23</v>
      </c>
      <c r="O23" s="12">
        <v>0</v>
      </c>
      <c r="P23" s="6" t="str">
        <f t="shared" si="4"/>
        <v>RO_Data[2].SETPOINT[</v>
      </c>
      <c r="Q23" s="26">
        <f t="shared" si="16"/>
        <v>18</v>
      </c>
      <c r="R23" s="122" t="s">
        <v>23</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23</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23</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23</v>
      </c>
      <c r="IB23" s="10" t="s">
        <v>226</v>
      </c>
      <c r="IC23" s="6" t="str">
        <f t="shared" si="12"/>
        <v>RO_Data[2].STEP_DESC[</v>
      </c>
      <c r="ID23" s="26">
        <f t="shared" si="23"/>
        <v>18</v>
      </c>
      <c r="IE23" s="122" t="s">
        <v>23</v>
      </c>
    </row>
    <row r="24" spans="1:239" x14ac:dyDescent="0.25">
      <c r="A24" s="8">
        <v>19</v>
      </c>
      <c r="B24" s="8" t="str">
        <f t="shared" si="0"/>
        <v>ADDING CHEMICALS</v>
      </c>
      <c r="C24" s="82"/>
      <c r="D24" s="6" t="str">
        <f t="shared" si="1"/>
        <v>RO_Data[2].ACK_DESC[</v>
      </c>
      <c r="E24" s="26">
        <f t="shared" si="13"/>
        <v>19</v>
      </c>
      <c r="F24" s="122" t="s">
        <v>23</v>
      </c>
      <c r="G24" s="11">
        <v>0</v>
      </c>
      <c r="H24" s="6" t="str">
        <f t="shared" si="2"/>
        <v>RO_Data[2].MIN[</v>
      </c>
      <c r="I24" s="26">
        <f t="shared" si="14"/>
        <v>19</v>
      </c>
      <c r="J24" s="122" t="s">
        <v>23</v>
      </c>
      <c r="K24" s="11">
        <v>1</v>
      </c>
      <c r="L24" s="6" t="str">
        <f t="shared" si="3"/>
        <v>RO_Data[2].SEC[</v>
      </c>
      <c r="M24" s="26">
        <f t="shared" si="15"/>
        <v>19</v>
      </c>
      <c r="N24" s="30" t="s">
        <v>23</v>
      </c>
      <c r="O24" s="12">
        <v>0</v>
      </c>
      <c r="P24" s="6" t="str">
        <f t="shared" si="4"/>
        <v>RO_Data[2].SETPOINT[</v>
      </c>
      <c r="Q24" s="26">
        <f t="shared" si="16"/>
        <v>19</v>
      </c>
      <c r="R24" s="122" t="s">
        <v>23</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23</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23</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23</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23</v>
      </c>
      <c r="IB24" s="10" t="s">
        <v>228</v>
      </c>
      <c r="IC24" s="6" t="str">
        <f t="shared" si="12"/>
        <v>RO_Data[2].STEP_DESC[</v>
      </c>
      <c r="ID24" s="26">
        <f t="shared" si="23"/>
        <v>19</v>
      </c>
      <c r="IE24" s="122" t="s">
        <v>23</v>
      </c>
    </row>
    <row r="25" spans="1:239" x14ac:dyDescent="0.25">
      <c r="A25" s="8">
        <v>20</v>
      </c>
      <c r="B25" s="8" t="str">
        <f t="shared" si="0"/>
        <v>HEATING TO TEMPERATURE (WASH 2)</v>
      </c>
      <c r="C25" s="82"/>
      <c r="D25" s="6" t="str">
        <f t="shared" si="1"/>
        <v>RO_Data[2].ACK_DESC[</v>
      </c>
      <c r="E25" s="26">
        <f t="shared" si="13"/>
        <v>20</v>
      </c>
      <c r="F25" s="122" t="s">
        <v>23</v>
      </c>
      <c r="G25" s="11">
        <v>0</v>
      </c>
      <c r="H25" s="6" t="str">
        <f t="shared" si="2"/>
        <v>RO_Data[2].MIN[</v>
      </c>
      <c r="I25" s="26">
        <f t="shared" si="14"/>
        <v>20</v>
      </c>
      <c r="J25" s="122" t="s">
        <v>23</v>
      </c>
      <c r="K25" s="11">
        <v>1</v>
      </c>
      <c r="L25" s="6" t="str">
        <f t="shared" si="3"/>
        <v>RO_Data[2].SEC[</v>
      </c>
      <c r="M25" s="26">
        <f t="shared" si="15"/>
        <v>20</v>
      </c>
      <c r="N25" s="30" t="s">
        <v>23</v>
      </c>
      <c r="O25" s="12">
        <v>0</v>
      </c>
      <c r="P25" s="6" t="str">
        <f t="shared" si="4"/>
        <v>RO_Data[2].SETPOINT[</v>
      </c>
      <c r="Q25" s="26">
        <f t="shared" si="16"/>
        <v>20</v>
      </c>
      <c r="R25" s="122" t="s">
        <v>23</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23</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23</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23</v>
      </c>
      <c r="IB25" s="10" t="s">
        <v>233</v>
      </c>
      <c r="IC25" s="6" t="str">
        <f t="shared" si="12"/>
        <v>RO_Data[2].STEP_DESC[</v>
      </c>
      <c r="ID25" s="26">
        <f t="shared" si="23"/>
        <v>20</v>
      </c>
      <c r="IE25" s="122" t="s">
        <v>23</v>
      </c>
    </row>
    <row r="26" spans="1:239" x14ac:dyDescent="0.25">
      <c r="A26" s="8">
        <v>21</v>
      </c>
      <c r="B26" s="8" t="str">
        <f t="shared" si="0"/>
        <v>CHECK PH - HOLD FOR ACKNOWLEDGE</v>
      </c>
      <c r="C26" s="82"/>
      <c r="D26" s="6" t="str">
        <f t="shared" si="1"/>
        <v>RO_Data[2].ACK_DESC[</v>
      </c>
      <c r="E26" s="26">
        <f t="shared" si="13"/>
        <v>21</v>
      </c>
      <c r="F26" s="122" t="s">
        <v>23</v>
      </c>
      <c r="G26" s="11">
        <v>0</v>
      </c>
      <c r="H26" s="6" t="str">
        <f t="shared" si="2"/>
        <v>RO_Data[2].MIN[</v>
      </c>
      <c r="I26" s="26">
        <f t="shared" si="14"/>
        <v>21</v>
      </c>
      <c r="J26" s="122" t="s">
        <v>23</v>
      </c>
      <c r="K26" s="11">
        <v>0</v>
      </c>
      <c r="L26" s="6" t="str">
        <f t="shared" si="3"/>
        <v>RO_Data[2].SEC[</v>
      </c>
      <c r="M26" s="26">
        <f t="shared" si="15"/>
        <v>21</v>
      </c>
      <c r="N26" s="30" t="s">
        <v>23</v>
      </c>
      <c r="O26" s="12">
        <v>0</v>
      </c>
      <c r="P26" s="6" t="str">
        <f t="shared" si="4"/>
        <v>RO_Data[2].SETPOINT[</v>
      </c>
      <c r="Q26" s="26">
        <f t="shared" si="16"/>
        <v>21</v>
      </c>
      <c r="R26" s="122"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23</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23</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23</v>
      </c>
      <c r="IB26" s="65" t="s">
        <v>356</v>
      </c>
      <c r="IC26" s="6" t="str">
        <f t="shared" si="12"/>
        <v>RO_Data[2].STEP_DESC[</v>
      </c>
      <c r="ID26" s="26">
        <f t="shared" si="23"/>
        <v>21</v>
      </c>
      <c r="IE26" s="122" t="s">
        <v>23</v>
      </c>
    </row>
    <row r="27" spans="1:239" x14ac:dyDescent="0.25">
      <c r="A27" s="8">
        <v>22</v>
      </c>
      <c r="B27" s="8" t="str">
        <f t="shared" si="0"/>
        <v>WASH 2</v>
      </c>
      <c r="C27" s="82"/>
      <c r="D27" s="6" t="str">
        <f t="shared" si="1"/>
        <v>RO_Data[2].ACK_DESC[</v>
      </c>
      <c r="E27" s="26">
        <f t="shared" si="13"/>
        <v>22</v>
      </c>
      <c r="F27" s="122" t="s">
        <v>23</v>
      </c>
      <c r="G27" s="11">
        <v>0</v>
      </c>
      <c r="H27" s="6" t="str">
        <f t="shared" si="2"/>
        <v>RO_Data[2].MIN[</v>
      </c>
      <c r="I27" s="26">
        <f t="shared" si="14"/>
        <v>22</v>
      </c>
      <c r="J27" s="122" t="s">
        <v>23</v>
      </c>
      <c r="K27" s="11">
        <v>1</v>
      </c>
      <c r="L27" s="6" t="str">
        <f t="shared" si="3"/>
        <v>RO_Data[2].SEC[</v>
      </c>
      <c r="M27" s="26">
        <f t="shared" si="15"/>
        <v>22</v>
      </c>
      <c r="N27" s="30" t="s">
        <v>23</v>
      </c>
      <c r="O27" s="12">
        <v>0</v>
      </c>
      <c r="P27" s="6" t="str">
        <f t="shared" si="4"/>
        <v>RO_Data[2].SETPOINT[</v>
      </c>
      <c r="Q27" s="26">
        <f t="shared" si="16"/>
        <v>22</v>
      </c>
      <c r="R27" s="122" t="s">
        <v>23</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23</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23</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23</v>
      </c>
      <c r="IB27" s="10" t="s">
        <v>234</v>
      </c>
      <c r="IC27" s="6" t="str">
        <f t="shared" si="12"/>
        <v>RO_Data[2].STEP_DESC[</v>
      </c>
      <c r="ID27" s="26">
        <f t="shared" si="23"/>
        <v>22</v>
      </c>
      <c r="IE27" s="122" t="s">
        <v>23</v>
      </c>
    </row>
    <row r="28" spans="1:239" x14ac:dyDescent="0.25">
      <c r="A28" s="8">
        <v>23</v>
      </c>
      <c r="B28" s="8" t="str">
        <f t="shared" si="0"/>
        <v>PUMPING DOWN FEED TANK</v>
      </c>
      <c r="C28" s="82"/>
      <c r="D28" s="6" t="str">
        <f t="shared" si="1"/>
        <v>RO_Data[2].ACK_DESC[</v>
      </c>
      <c r="E28" s="26">
        <f t="shared" si="13"/>
        <v>23</v>
      </c>
      <c r="F28" s="122" t="s">
        <v>23</v>
      </c>
      <c r="G28" s="11">
        <v>0</v>
      </c>
      <c r="H28" s="6" t="str">
        <f t="shared" si="2"/>
        <v>RO_Data[2].MIN[</v>
      </c>
      <c r="I28" s="26">
        <f t="shared" si="14"/>
        <v>23</v>
      </c>
      <c r="J28" s="122" t="s">
        <v>23</v>
      </c>
      <c r="K28" s="11">
        <v>1</v>
      </c>
      <c r="L28" s="6" t="str">
        <f t="shared" si="3"/>
        <v>RO_Data[2].SEC[</v>
      </c>
      <c r="M28" s="26">
        <f t="shared" si="15"/>
        <v>23</v>
      </c>
      <c r="N28" s="30" t="s">
        <v>23</v>
      </c>
      <c r="O28" s="12">
        <v>0</v>
      </c>
      <c r="P28" s="6" t="str">
        <f t="shared" si="4"/>
        <v>RO_Data[2].SETPOINT[</v>
      </c>
      <c r="Q28" s="26">
        <f t="shared" si="16"/>
        <v>23</v>
      </c>
      <c r="R28" s="122" t="s">
        <v>23</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23</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23</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23</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23</v>
      </c>
      <c r="IB28" s="10" t="s">
        <v>231</v>
      </c>
      <c r="IC28" s="6" t="str">
        <f t="shared" si="12"/>
        <v>RO_Data[2].STEP_DESC[</v>
      </c>
      <c r="ID28" s="26">
        <f t="shared" si="23"/>
        <v>23</v>
      </c>
      <c r="IE28" s="122" t="s">
        <v>23</v>
      </c>
    </row>
    <row r="29" spans="1:239" ht="15.75" customHeight="1" x14ac:dyDescent="0.25">
      <c r="A29" s="8">
        <v>24</v>
      </c>
      <c r="B29" s="8" t="str">
        <f t="shared" si="0"/>
        <v>DRAINING FEED TANK</v>
      </c>
      <c r="C29" s="10"/>
      <c r="D29" s="6" t="str">
        <f t="shared" si="1"/>
        <v>RO_Data[2].ACK_DESC[</v>
      </c>
      <c r="E29" s="26">
        <f t="shared" si="13"/>
        <v>24</v>
      </c>
      <c r="F29" s="122" t="s">
        <v>23</v>
      </c>
      <c r="G29" s="129">
        <v>0</v>
      </c>
      <c r="H29" s="6" t="str">
        <f t="shared" si="2"/>
        <v>RO_Data[2].MIN[</v>
      </c>
      <c r="I29" s="26">
        <f t="shared" si="14"/>
        <v>24</v>
      </c>
      <c r="J29" s="122" t="s">
        <v>23</v>
      </c>
      <c r="K29" s="129">
        <v>1</v>
      </c>
      <c r="L29" s="6" t="str">
        <f t="shared" si="3"/>
        <v>RO_Data[2].SEC[</v>
      </c>
      <c r="M29" s="26">
        <f t="shared" si="15"/>
        <v>24</v>
      </c>
      <c r="N29" s="30" t="s">
        <v>23</v>
      </c>
      <c r="O29" s="12">
        <v>0</v>
      </c>
      <c r="P29" s="6" t="str">
        <f t="shared" si="4"/>
        <v>RO_Data[2].SETPOINT[</v>
      </c>
      <c r="Q29" s="26">
        <f t="shared" si="16"/>
        <v>24</v>
      </c>
      <c r="R29" s="122" t="s">
        <v>23</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23</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23</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23</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23</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23</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23</v>
      </c>
      <c r="IB29" s="10" t="s">
        <v>232</v>
      </c>
      <c r="IC29" s="6" t="str">
        <f t="shared" si="12"/>
        <v>RO_Data[2].STEP_DESC[</v>
      </c>
      <c r="ID29" s="26">
        <f t="shared" si="23"/>
        <v>24</v>
      </c>
      <c r="IE29" s="122" t="s">
        <v>23</v>
      </c>
    </row>
    <row r="30" spans="1:239" x14ac:dyDescent="0.25">
      <c r="A30" s="8">
        <v>25</v>
      </c>
      <c r="B30" s="8" t="str">
        <f t="shared" si="0"/>
        <v>FILLING FEED TANK TO SET POINT LEVEL</v>
      </c>
      <c r="C30" s="8"/>
      <c r="D30" s="6" t="str">
        <f t="shared" si="1"/>
        <v>RO_Data[2].ACK_DESC[</v>
      </c>
      <c r="E30" s="26">
        <v>25</v>
      </c>
      <c r="F30" s="122" t="s">
        <v>23</v>
      </c>
      <c r="G30" s="129">
        <v>0</v>
      </c>
      <c r="H30" s="6" t="str">
        <f t="shared" si="2"/>
        <v>RO_Data[2].MIN[</v>
      </c>
      <c r="I30" s="26">
        <v>25</v>
      </c>
      <c r="J30" s="122" t="s">
        <v>23</v>
      </c>
      <c r="K30" s="129">
        <v>1</v>
      </c>
      <c r="L30" s="6" t="str">
        <f t="shared" si="3"/>
        <v>RO_Data[2].SEC[</v>
      </c>
      <c r="M30" s="26">
        <v>25</v>
      </c>
      <c r="N30" s="30" t="s">
        <v>23</v>
      </c>
      <c r="O30" s="12">
        <v>0</v>
      </c>
      <c r="P30" s="6" t="str">
        <f t="shared" si="4"/>
        <v>RO_Data[2].SETPOINT[</v>
      </c>
      <c r="Q30" s="26">
        <v>25</v>
      </c>
      <c r="R30" s="122" t="s">
        <v>23</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23</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23</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23</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23</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23</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23</v>
      </c>
      <c r="IB30" s="8" t="s">
        <v>225</v>
      </c>
      <c r="IC30" s="6" t="str">
        <f t="shared" si="12"/>
        <v>RO_Data[2].STEP_DESC[</v>
      </c>
      <c r="ID30" s="26">
        <v>25</v>
      </c>
      <c r="IE30" s="122" t="s">
        <v>23</v>
      </c>
    </row>
    <row r="31" spans="1:239" x14ac:dyDescent="0.25">
      <c r="A31" s="8">
        <v>26</v>
      </c>
      <c r="B31" s="8" t="str">
        <f t="shared" si="0"/>
        <v>STARTING PUMPS</v>
      </c>
      <c r="C31" s="8"/>
      <c r="D31" s="6" t="str">
        <f t="shared" si="1"/>
        <v>RO_Data[2].ACK_DESC[</v>
      </c>
      <c r="E31" s="26">
        <v>26</v>
      </c>
      <c r="F31" s="122" t="s">
        <v>23</v>
      </c>
      <c r="G31" s="129">
        <v>0</v>
      </c>
      <c r="H31" s="6" t="str">
        <f t="shared" si="2"/>
        <v>RO_Data[2].MIN[</v>
      </c>
      <c r="I31" s="26">
        <v>26</v>
      </c>
      <c r="J31" s="122" t="s">
        <v>23</v>
      </c>
      <c r="K31" s="129">
        <v>30</v>
      </c>
      <c r="L31" s="6" t="str">
        <f t="shared" si="3"/>
        <v>RO_Data[2].SEC[</v>
      </c>
      <c r="M31" s="26">
        <v>26</v>
      </c>
      <c r="N31" s="30" t="s">
        <v>23</v>
      </c>
      <c r="O31" s="12">
        <v>0</v>
      </c>
      <c r="P31" s="6" t="str">
        <f t="shared" si="4"/>
        <v>RO_Data[2].SETPOINT[</v>
      </c>
      <c r="Q31" s="26">
        <v>26</v>
      </c>
      <c r="R31" s="122" t="s">
        <v>23</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23</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23</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23</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23</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23</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23</v>
      </c>
      <c r="IB31" s="8" t="s">
        <v>226</v>
      </c>
      <c r="IC31" s="6" t="str">
        <f t="shared" si="12"/>
        <v>RO_Data[2].STEP_DESC[</v>
      </c>
      <c r="ID31" s="26">
        <v>26</v>
      </c>
      <c r="IE31" s="122" t="s">
        <v>23</v>
      </c>
    </row>
    <row r="32" spans="1:239" x14ac:dyDescent="0.25">
      <c r="A32" s="8">
        <v>27</v>
      </c>
      <c r="B32" s="8" t="str">
        <f t="shared" si="0"/>
        <v>RINSING STAGES</v>
      </c>
      <c r="C32" s="8"/>
      <c r="D32" s="6" t="str">
        <f t="shared" si="1"/>
        <v>RO_Data[2].ACK_DESC[</v>
      </c>
      <c r="E32" s="26">
        <v>27</v>
      </c>
      <c r="F32" s="122" t="s">
        <v>23</v>
      </c>
      <c r="G32" s="129">
        <v>0</v>
      </c>
      <c r="H32" s="6" t="str">
        <f t="shared" si="2"/>
        <v>RO_Data[2].MIN[</v>
      </c>
      <c r="I32" s="26">
        <v>27</v>
      </c>
      <c r="J32" s="122" t="s">
        <v>23</v>
      </c>
      <c r="K32" s="129">
        <v>1</v>
      </c>
      <c r="L32" s="6" t="str">
        <f t="shared" si="3"/>
        <v>RO_Data[2].SEC[</v>
      </c>
      <c r="M32" s="26">
        <v>27</v>
      </c>
      <c r="N32" s="30" t="s">
        <v>23</v>
      </c>
      <c r="O32" s="12">
        <v>0</v>
      </c>
      <c r="P32" s="6" t="str">
        <f t="shared" si="4"/>
        <v>RO_Data[2].SETPOINT[</v>
      </c>
      <c r="Q32" s="26">
        <v>27</v>
      </c>
      <c r="R32" s="122" t="s">
        <v>23</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23</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23</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23</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23</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23</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23</v>
      </c>
      <c r="IB32" s="8" t="s">
        <v>227</v>
      </c>
      <c r="IC32" s="6" t="str">
        <f t="shared" si="12"/>
        <v>RO_Data[2].STEP_DESC[</v>
      </c>
      <c r="ID32" s="26">
        <v>27</v>
      </c>
      <c r="IE32" s="122" t="s">
        <v>23</v>
      </c>
    </row>
    <row r="33" spans="1:239" x14ac:dyDescent="0.25">
      <c r="A33" s="8">
        <v>28</v>
      </c>
      <c r="B33" s="8" t="str">
        <f t="shared" si="0"/>
        <v>PAUSE</v>
      </c>
      <c r="C33" s="8"/>
      <c r="D33" s="6" t="str">
        <f t="shared" si="1"/>
        <v>RO_Data[2].ACK_DESC[</v>
      </c>
      <c r="E33" s="26">
        <v>28</v>
      </c>
      <c r="F33" s="122" t="s">
        <v>23</v>
      </c>
      <c r="G33" s="129">
        <v>0</v>
      </c>
      <c r="H33" s="6" t="str">
        <f t="shared" si="2"/>
        <v>RO_Data[2].MIN[</v>
      </c>
      <c r="I33" s="26">
        <v>28</v>
      </c>
      <c r="J33" s="122" t="s">
        <v>23</v>
      </c>
      <c r="K33" s="129">
        <v>10</v>
      </c>
      <c r="L33" s="6" t="str">
        <f t="shared" si="3"/>
        <v>RO_Data[2].SEC[</v>
      </c>
      <c r="M33" s="26">
        <v>28</v>
      </c>
      <c r="N33" s="30" t="s">
        <v>23</v>
      </c>
      <c r="O33" s="12">
        <v>0</v>
      </c>
      <c r="P33" s="6" t="str">
        <f t="shared" si="4"/>
        <v>RO_Data[2].SETPOINT[</v>
      </c>
      <c r="Q33" s="26">
        <v>28</v>
      </c>
      <c r="R33" s="122" t="s">
        <v>23</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23</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23</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23</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23</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23</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23</v>
      </c>
      <c r="IB33" s="8" t="s">
        <v>223</v>
      </c>
      <c r="IC33" s="6" t="str">
        <f t="shared" si="12"/>
        <v>RO_Data[2].STEP_DESC[</v>
      </c>
      <c r="ID33" s="26">
        <v>28</v>
      </c>
      <c r="IE33" s="122" t="s">
        <v>23</v>
      </c>
    </row>
    <row r="34" spans="1:239" x14ac:dyDescent="0.25">
      <c r="A34" s="8">
        <v>29</v>
      </c>
      <c r="B34" s="8" t="str">
        <f t="shared" si="0"/>
        <v>FILLING FEED TANK TO SET POINT LEVEL</v>
      </c>
      <c r="C34" s="8"/>
      <c r="D34" s="6" t="str">
        <f t="shared" si="1"/>
        <v>RO_Data[2].ACK_DESC[</v>
      </c>
      <c r="E34" s="26">
        <v>29</v>
      </c>
      <c r="F34" s="122" t="s">
        <v>23</v>
      </c>
      <c r="G34" s="129">
        <v>0</v>
      </c>
      <c r="H34" s="6" t="str">
        <f t="shared" si="2"/>
        <v>RO_Data[2].MIN[</v>
      </c>
      <c r="I34" s="26">
        <v>29</v>
      </c>
      <c r="J34" s="122" t="s">
        <v>23</v>
      </c>
      <c r="K34" s="129">
        <v>1</v>
      </c>
      <c r="L34" s="6" t="str">
        <f t="shared" si="3"/>
        <v>RO_Data[2].SEC[</v>
      </c>
      <c r="M34" s="26">
        <v>29</v>
      </c>
      <c r="N34" s="30" t="s">
        <v>23</v>
      </c>
      <c r="O34" s="12">
        <v>0</v>
      </c>
      <c r="P34" s="6" t="str">
        <f t="shared" si="4"/>
        <v>RO_Data[2].SETPOINT[</v>
      </c>
      <c r="Q34" s="26">
        <v>29</v>
      </c>
      <c r="R34" s="122" t="s">
        <v>23</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23</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23</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23</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23</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23</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23</v>
      </c>
      <c r="IB34" s="8" t="s">
        <v>225</v>
      </c>
      <c r="IC34" s="6" t="str">
        <f t="shared" si="12"/>
        <v>RO_Data[2].STEP_DESC[</v>
      </c>
      <c r="ID34" s="26">
        <v>29</v>
      </c>
      <c r="IE34" s="122" t="s">
        <v>23</v>
      </c>
    </row>
    <row r="35" spans="1:239" x14ac:dyDescent="0.25">
      <c r="A35" s="8">
        <v>30</v>
      </c>
      <c r="B35" s="8" t="str">
        <f t="shared" si="0"/>
        <v>STARTING PUMPS</v>
      </c>
      <c r="C35" s="8"/>
      <c r="D35" s="6" t="str">
        <f t="shared" si="1"/>
        <v>RO_Data[2].ACK_DESC[</v>
      </c>
      <c r="E35" s="26">
        <v>30</v>
      </c>
      <c r="F35" s="122" t="s">
        <v>23</v>
      </c>
      <c r="G35" s="129">
        <v>0</v>
      </c>
      <c r="H35" s="6" t="str">
        <f t="shared" si="2"/>
        <v>RO_Data[2].MIN[</v>
      </c>
      <c r="I35" s="26">
        <v>30</v>
      </c>
      <c r="J35" s="122" t="s">
        <v>23</v>
      </c>
      <c r="K35" s="129">
        <v>30</v>
      </c>
      <c r="L35" s="6" t="str">
        <f t="shared" si="3"/>
        <v>RO_Data[2].SEC[</v>
      </c>
      <c r="M35" s="26">
        <v>30</v>
      </c>
      <c r="N35" s="30" t="s">
        <v>23</v>
      </c>
      <c r="O35" s="12">
        <v>0</v>
      </c>
      <c r="P35" s="6" t="str">
        <f t="shared" si="4"/>
        <v>RO_Data[2].SETPOINT[</v>
      </c>
      <c r="Q35" s="26">
        <v>30</v>
      </c>
      <c r="R35" s="122" t="s">
        <v>23</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23</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23</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23</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23</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23</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23</v>
      </c>
      <c r="IB35" s="8" t="s">
        <v>226</v>
      </c>
      <c r="IC35" s="6" t="str">
        <f t="shared" si="12"/>
        <v>RO_Data[2].STEP_DESC[</v>
      </c>
      <c r="ID35" s="26">
        <v>30</v>
      </c>
      <c r="IE35" s="122" t="s">
        <v>23</v>
      </c>
    </row>
    <row r="36" spans="1:239" x14ac:dyDescent="0.25">
      <c r="A36" s="8">
        <v>31</v>
      </c>
      <c r="B36" s="8" t="str">
        <f t="shared" si="0"/>
        <v>ADDING CHEMICALS</v>
      </c>
      <c r="C36" s="8"/>
      <c r="D36" s="6" t="str">
        <f t="shared" si="1"/>
        <v>RO_Data[2].ACK_DESC[</v>
      </c>
      <c r="E36" s="26">
        <v>31</v>
      </c>
      <c r="F36" s="122" t="s">
        <v>23</v>
      </c>
      <c r="G36" s="129">
        <v>0</v>
      </c>
      <c r="H36" s="6" t="str">
        <f t="shared" si="2"/>
        <v>RO_Data[2].MIN[</v>
      </c>
      <c r="I36" s="26">
        <v>31</v>
      </c>
      <c r="J36" s="122" t="s">
        <v>23</v>
      </c>
      <c r="K36" s="129">
        <v>1</v>
      </c>
      <c r="L36" s="6" t="str">
        <f t="shared" si="3"/>
        <v>RO_Data[2].SEC[</v>
      </c>
      <c r="M36" s="26">
        <v>31</v>
      </c>
      <c r="N36" s="30" t="s">
        <v>23</v>
      </c>
      <c r="O36" s="12">
        <v>0</v>
      </c>
      <c r="P36" s="6" t="str">
        <f t="shared" si="4"/>
        <v>RO_Data[2].SETPOINT[</v>
      </c>
      <c r="Q36" s="26">
        <v>31</v>
      </c>
      <c r="R36" s="122" t="s">
        <v>23</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23</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23</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23</v>
      </c>
      <c r="DX36" s="80"/>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23</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23</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23</v>
      </c>
      <c r="IB36" s="8" t="s">
        <v>228</v>
      </c>
      <c r="IC36" s="6" t="str">
        <f t="shared" si="12"/>
        <v>RO_Data[2].STEP_DESC[</v>
      </c>
      <c r="ID36" s="26">
        <v>31</v>
      </c>
      <c r="IE36" s="122" t="s">
        <v>23</v>
      </c>
    </row>
    <row r="37" spans="1:239" x14ac:dyDescent="0.25">
      <c r="A37" s="8">
        <v>32</v>
      </c>
      <c r="B37" s="8" t="str">
        <f t="shared" si="0"/>
        <v>HEATING TO TEMPERATURE (WASH 3)</v>
      </c>
      <c r="C37" s="8"/>
      <c r="D37" s="6" t="str">
        <f t="shared" si="1"/>
        <v>RO_Data[2].ACK_DESC[</v>
      </c>
      <c r="E37" s="26">
        <v>32</v>
      </c>
      <c r="F37" s="122" t="s">
        <v>23</v>
      </c>
      <c r="G37" s="129">
        <v>0</v>
      </c>
      <c r="H37" s="6" t="str">
        <f t="shared" si="2"/>
        <v>RO_Data[2].MIN[</v>
      </c>
      <c r="I37" s="26">
        <v>32</v>
      </c>
      <c r="J37" s="122" t="s">
        <v>23</v>
      </c>
      <c r="K37" s="129">
        <v>1</v>
      </c>
      <c r="L37" s="6" t="str">
        <f t="shared" si="3"/>
        <v>RO_Data[2].SEC[</v>
      </c>
      <c r="M37" s="26">
        <v>32</v>
      </c>
      <c r="N37" s="30" t="s">
        <v>23</v>
      </c>
      <c r="O37" s="12">
        <v>0</v>
      </c>
      <c r="P37" s="6" t="str">
        <f t="shared" si="4"/>
        <v>RO_Data[2].SETPOINT[</v>
      </c>
      <c r="Q37" s="26">
        <v>32</v>
      </c>
      <c r="R37" s="122" t="s">
        <v>23</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23</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23</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23</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23</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23</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23</v>
      </c>
      <c r="IB37" s="8" t="s">
        <v>235</v>
      </c>
      <c r="IC37" s="6" t="str">
        <f t="shared" si="12"/>
        <v>RO_Data[2].STEP_DESC[</v>
      </c>
      <c r="ID37" s="26">
        <v>32</v>
      </c>
      <c r="IE37" s="122" t="s">
        <v>23</v>
      </c>
    </row>
    <row r="38" spans="1:239" x14ac:dyDescent="0.25">
      <c r="A38" s="8">
        <v>33</v>
      </c>
      <c r="B38" s="8" t="str">
        <f t="shared" si="0"/>
        <v>CHECK PH - HOLD FOR ACKNOWLEDGE</v>
      </c>
      <c r="C38" s="8"/>
      <c r="D38" s="6" t="str">
        <f t="shared" si="1"/>
        <v>RO_Data[2].ACK_DESC[</v>
      </c>
      <c r="E38" s="26">
        <v>33</v>
      </c>
      <c r="F38" s="122" t="s">
        <v>23</v>
      </c>
      <c r="G38" s="129">
        <v>0</v>
      </c>
      <c r="H38" s="6" t="str">
        <f t="shared" si="2"/>
        <v>RO_Data[2].MIN[</v>
      </c>
      <c r="I38" s="26">
        <v>33</v>
      </c>
      <c r="J38" s="122" t="s">
        <v>23</v>
      </c>
      <c r="K38" s="129">
        <v>0</v>
      </c>
      <c r="L38" s="6" t="str">
        <f t="shared" si="3"/>
        <v>RO_Data[2].SEC[</v>
      </c>
      <c r="M38" s="26">
        <v>33</v>
      </c>
      <c r="N38" s="30" t="s">
        <v>23</v>
      </c>
      <c r="O38" s="12">
        <v>0</v>
      </c>
      <c r="P38" s="6" t="str">
        <f t="shared" si="4"/>
        <v>RO_Data[2].SETPOINT[</v>
      </c>
      <c r="Q38" s="26">
        <v>33</v>
      </c>
      <c r="R38" s="122" t="s">
        <v>23</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23</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23</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23</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23</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23</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23</v>
      </c>
      <c r="IB38" s="65" t="s">
        <v>356</v>
      </c>
      <c r="IC38" s="6" t="str">
        <f t="shared" si="12"/>
        <v>RO_Data[2].STEP_DESC[</v>
      </c>
      <c r="ID38" s="26">
        <v>33</v>
      </c>
      <c r="IE38" s="122" t="s">
        <v>23</v>
      </c>
    </row>
    <row r="39" spans="1:239" x14ac:dyDescent="0.25">
      <c r="A39" s="8">
        <v>34</v>
      </c>
      <c r="B39" s="8" t="str">
        <f t="shared" si="0"/>
        <v>WASH 3</v>
      </c>
      <c r="C39" s="8"/>
      <c r="D39" s="6" t="str">
        <f t="shared" si="1"/>
        <v>RO_Data[2].ACK_DESC[</v>
      </c>
      <c r="E39" s="26">
        <v>34</v>
      </c>
      <c r="F39" s="122" t="s">
        <v>23</v>
      </c>
      <c r="G39" s="129">
        <v>0</v>
      </c>
      <c r="H39" s="6" t="str">
        <f t="shared" si="2"/>
        <v>RO_Data[2].MIN[</v>
      </c>
      <c r="I39" s="26">
        <v>34</v>
      </c>
      <c r="J39" s="122" t="s">
        <v>23</v>
      </c>
      <c r="K39" s="129">
        <v>1</v>
      </c>
      <c r="L39" s="6" t="str">
        <f t="shared" si="3"/>
        <v>RO_Data[2].SEC[</v>
      </c>
      <c r="M39" s="26">
        <v>34</v>
      </c>
      <c r="N39" s="30" t="s">
        <v>23</v>
      </c>
      <c r="O39" s="12">
        <v>0</v>
      </c>
      <c r="P39" s="6" t="str">
        <f t="shared" si="4"/>
        <v>RO_Data[2].SETPOINT[</v>
      </c>
      <c r="Q39" s="26">
        <v>34</v>
      </c>
      <c r="R39" s="122" t="s">
        <v>23</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23</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23</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23</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23</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23</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23</v>
      </c>
      <c r="IB39" s="8" t="s">
        <v>236</v>
      </c>
      <c r="IC39" s="6" t="str">
        <f t="shared" si="12"/>
        <v>RO_Data[2].STEP_DESC[</v>
      </c>
      <c r="ID39" s="26">
        <v>34</v>
      </c>
      <c r="IE39" s="122" t="s">
        <v>23</v>
      </c>
    </row>
    <row r="40" spans="1:239" x14ac:dyDescent="0.25">
      <c r="A40" s="8">
        <v>35</v>
      </c>
      <c r="B40" s="8" t="str">
        <f t="shared" si="0"/>
        <v>PUMPING DOWN FEED TANK</v>
      </c>
      <c r="C40" s="8"/>
      <c r="D40" s="6" t="str">
        <f t="shared" si="1"/>
        <v>RO_Data[2].ACK_DESC[</v>
      </c>
      <c r="E40" s="26">
        <v>35</v>
      </c>
      <c r="F40" s="122" t="s">
        <v>23</v>
      </c>
      <c r="G40" s="129">
        <v>0</v>
      </c>
      <c r="H40" s="6" t="str">
        <f t="shared" si="2"/>
        <v>RO_Data[2].MIN[</v>
      </c>
      <c r="I40" s="26">
        <v>35</v>
      </c>
      <c r="J40" s="122" t="s">
        <v>23</v>
      </c>
      <c r="K40" s="129">
        <v>1</v>
      </c>
      <c r="L40" s="6" t="str">
        <f t="shared" si="3"/>
        <v>RO_Data[2].SEC[</v>
      </c>
      <c r="M40" s="26">
        <v>35</v>
      </c>
      <c r="N40" s="30" t="s">
        <v>23</v>
      </c>
      <c r="O40" s="12">
        <v>0</v>
      </c>
      <c r="P40" s="6" t="str">
        <f t="shared" si="4"/>
        <v>RO_Data[2].SETPOINT[</v>
      </c>
      <c r="Q40" s="26">
        <v>35</v>
      </c>
      <c r="R40" s="122" t="s">
        <v>23</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23</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23</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23</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23</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23</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23</v>
      </c>
      <c r="IB40" s="8" t="s">
        <v>231</v>
      </c>
      <c r="IC40" s="6" t="str">
        <f t="shared" si="12"/>
        <v>RO_Data[2].STEP_DESC[</v>
      </c>
      <c r="ID40" s="26">
        <v>35</v>
      </c>
      <c r="IE40" s="122" t="s">
        <v>23</v>
      </c>
    </row>
    <row r="41" spans="1:239" x14ac:dyDescent="0.25">
      <c r="A41" s="8">
        <v>36</v>
      </c>
      <c r="B41" s="8" t="str">
        <f t="shared" si="0"/>
        <v>DRAINING FEED TANK</v>
      </c>
      <c r="C41" s="8"/>
      <c r="D41" s="6" t="str">
        <f t="shared" si="1"/>
        <v>RO_Data[2].ACK_DESC[</v>
      </c>
      <c r="E41" s="26">
        <v>36</v>
      </c>
      <c r="F41" s="122" t="s">
        <v>23</v>
      </c>
      <c r="G41" s="129">
        <v>0</v>
      </c>
      <c r="H41" s="6" t="str">
        <f t="shared" si="2"/>
        <v>RO_Data[2].MIN[</v>
      </c>
      <c r="I41" s="26">
        <v>36</v>
      </c>
      <c r="J41" s="122" t="s">
        <v>23</v>
      </c>
      <c r="K41" s="129">
        <v>1</v>
      </c>
      <c r="L41" s="6" t="str">
        <f t="shared" si="3"/>
        <v>RO_Data[2].SEC[</v>
      </c>
      <c r="M41" s="26">
        <v>36</v>
      </c>
      <c r="N41" s="30" t="s">
        <v>23</v>
      </c>
      <c r="O41" s="12">
        <v>0</v>
      </c>
      <c r="P41" s="6" t="str">
        <f t="shared" si="4"/>
        <v>RO_Data[2].SETPOINT[</v>
      </c>
      <c r="Q41" s="26">
        <v>36</v>
      </c>
      <c r="R41" s="122" t="s">
        <v>23</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23</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23</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23</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23</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23</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23</v>
      </c>
      <c r="IB41" s="8" t="s">
        <v>232</v>
      </c>
      <c r="IC41" s="6" t="str">
        <f t="shared" si="12"/>
        <v>RO_Data[2].STEP_DESC[</v>
      </c>
      <c r="ID41" s="26">
        <v>36</v>
      </c>
      <c r="IE41" s="122" t="s">
        <v>23</v>
      </c>
    </row>
    <row r="42" spans="1:239" x14ac:dyDescent="0.25">
      <c r="A42" s="8">
        <v>37</v>
      </c>
      <c r="B42" s="8" t="str">
        <f t="shared" si="0"/>
        <v>FILLING FEED TANK TO SET POINT LEVEL</v>
      </c>
      <c r="C42" s="8"/>
      <c r="D42" s="6" t="str">
        <f t="shared" si="1"/>
        <v>RO_Data[2].ACK_DESC[</v>
      </c>
      <c r="E42" s="26">
        <v>37</v>
      </c>
      <c r="F42" s="122" t="s">
        <v>23</v>
      </c>
      <c r="G42" s="129">
        <v>0</v>
      </c>
      <c r="H42" s="6" t="str">
        <f t="shared" si="2"/>
        <v>RO_Data[2].MIN[</v>
      </c>
      <c r="I42" s="26">
        <v>37</v>
      </c>
      <c r="J42" s="122" t="s">
        <v>23</v>
      </c>
      <c r="K42" s="129">
        <v>1</v>
      </c>
      <c r="L42" s="6" t="str">
        <f t="shared" si="3"/>
        <v>RO_Data[2].SEC[</v>
      </c>
      <c r="M42" s="26">
        <v>37</v>
      </c>
      <c r="N42" s="30" t="s">
        <v>23</v>
      </c>
      <c r="O42" s="12">
        <v>0</v>
      </c>
      <c r="P42" s="6" t="str">
        <f t="shared" si="4"/>
        <v>RO_Data[2].SETPOINT[</v>
      </c>
      <c r="Q42" s="26">
        <v>37</v>
      </c>
      <c r="R42" s="122" t="s">
        <v>23</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23</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23</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23</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23</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23</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23</v>
      </c>
      <c r="IB42" s="8" t="s">
        <v>225</v>
      </c>
      <c r="IC42" s="6" t="str">
        <f t="shared" si="12"/>
        <v>RO_Data[2].STEP_DESC[</v>
      </c>
      <c r="ID42" s="26">
        <v>37</v>
      </c>
      <c r="IE42" s="122" t="s">
        <v>23</v>
      </c>
    </row>
    <row r="43" spans="1:239" x14ac:dyDescent="0.25">
      <c r="A43" s="8">
        <v>38</v>
      </c>
      <c r="B43" s="8" t="str">
        <f t="shared" si="0"/>
        <v>STARTING PUMPS</v>
      </c>
      <c r="C43" s="8"/>
      <c r="D43" s="6" t="str">
        <f t="shared" si="1"/>
        <v>RO_Data[2].ACK_DESC[</v>
      </c>
      <c r="E43" s="26">
        <v>38</v>
      </c>
      <c r="F43" s="122" t="s">
        <v>23</v>
      </c>
      <c r="G43" s="129">
        <v>0</v>
      </c>
      <c r="H43" s="6" t="str">
        <f t="shared" si="2"/>
        <v>RO_Data[2].MIN[</v>
      </c>
      <c r="I43" s="26">
        <v>38</v>
      </c>
      <c r="J43" s="122" t="s">
        <v>23</v>
      </c>
      <c r="K43" s="129">
        <v>30</v>
      </c>
      <c r="L43" s="6" t="str">
        <f t="shared" si="3"/>
        <v>RO_Data[2].SEC[</v>
      </c>
      <c r="M43" s="26">
        <v>38</v>
      </c>
      <c r="N43" s="30" t="s">
        <v>23</v>
      </c>
      <c r="O43" s="12">
        <v>0</v>
      </c>
      <c r="P43" s="6" t="str">
        <f t="shared" si="4"/>
        <v>RO_Data[2].SETPOINT[</v>
      </c>
      <c r="Q43" s="26">
        <v>38</v>
      </c>
      <c r="R43" s="122" t="s">
        <v>23</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23</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23</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23</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23</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23</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23</v>
      </c>
      <c r="IB43" s="8" t="s">
        <v>226</v>
      </c>
      <c r="IC43" s="6" t="str">
        <f t="shared" si="12"/>
        <v>RO_Data[2].STEP_DESC[</v>
      </c>
      <c r="ID43" s="26">
        <v>38</v>
      </c>
      <c r="IE43" s="122" t="s">
        <v>23</v>
      </c>
    </row>
    <row r="44" spans="1:239" x14ac:dyDescent="0.25">
      <c r="A44" s="8">
        <v>39</v>
      </c>
      <c r="B44" s="8" t="str">
        <f t="shared" si="0"/>
        <v>RINSING STAGES</v>
      </c>
      <c r="C44" s="8"/>
      <c r="D44" s="6" t="str">
        <f t="shared" si="1"/>
        <v>RO_Data[2].ACK_DESC[</v>
      </c>
      <c r="E44" s="26">
        <v>39</v>
      </c>
      <c r="F44" s="122" t="s">
        <v>23</v>
      </c>
      <c r="G44" s="129">
        <v>0</v>
      </c>
      <c r="H44" s="6" t="str">
        <f t="shared" si="2"/>
        <v>RO_Data[2].MIN[</v>
      </c>
      <c r="I44" s="26">
        <v>39</v>
      </c>
      <c r="J44" s="122" t="s">
        <v>23</v>
      </c>
      <c r="K44" s="129">
        <v>1</v>
      </c>
      <c r="L44" s="6" t="str">
        <f t="shared" si="3"/>
        <v>RO_Data[2].SEC[</v>
      </c>
      <c r="M44" s="26">
        <v>39</v>
      </c>
      <c r="N44" s="30" t="s">
        <v>23</v>
      </c>
      <c r="O44" s="12">
        <v>0</v>
      </c>
      <c r="P44" s="6" t="str">
        <f t="shared" si="4"/>
        <v>RO_Data[2].SETPOINT[</v>
      </c>
      <c r="Q44" s="26">
        <v>39</v>
      </c>
      <c r="R44" s="122" t="s">
        <v>23</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23</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23</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23</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23</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23</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23</v>
      </c>
      <c r="IB44" s="8" t="s">
        <v>227</v>
      </c>
      <c r="IC44" s="6" t="str">
        <f t="shared" si="12"/>
        <v>RO_Data[2].STEP_DESC[</v>
      </c>
      <c r="ID44" s="26">
        <v>39</v>
      </c>
      <c r="IE44" s="122" t="s">
        <v>23</v>
      </c>
    </row>
    <row r="45" spans="1:239" x14ac:dyDescent="0.25">
      <c r="A45" s="8">
        <v>40</v>
      </c>
      <c r="B45" s="8" t="str">
        <f t="shared" si="0"/>
        <v>PAUSE</v>
      </c>
      <c r="C45" s="8"/>
      <c r="D45" s="6" t="str">
        <f t="shared" si="1"/>
        <v>RO_Data[2].ACK_DESC[</v>
      </c>
      <c r="E45" s="26">
        <v>40</v>
      </c>
      <c r="F45" s="122" t="s">
        <v>23</v>
      </c>
      <c r="G45" s="129">
        <v>0</v>
      </c>
      <c r="H45" s="6" t="str">
        <f t="shared" si="2"/>
        <v>RO_Data[2].MIN[</v>
      </c>
      <c r="I45" s="26">
        <v>40</v>
      </c>
      <c r="J45" s="122" t="s">
        <v>23</v>
      </c>
      <c r="K45" s="129">
        <v>10</v>
      </c>
      <c r="L45" s="6" t="str">
        <f t="shared" si="3"/>
        <v>RO_Data[2].SEC[</v>
      </c>
      <c r="M45" s="26">
        <v>40</v>
      </c>
      <c r="N45" s="30" t="s">
        <v>23</v>
      </c>
      <c r="O45" s="12">
        <v>0</v>
      </c>
      <c r="P45" s="6" t="str">
        <f t="shared" si="4"/>
        <v>RO_Data[2].SETPOINT[</v>
      </c>
      <c r="Q45" s="26">
        <v>40</v>
      </c>
      <c r="R45" s="122" t="s">
        <v>23</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23</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23</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23</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23</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23</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23</v>
      </c>
      <c r="IB45" s="8" t="s">
        <v>223</v>
      </c>
      <c r="IC45" s="6" t="str">
        <f t="shared" si="12"/>
        <v>RO_Data[2].STEP_DESC[</v>
      </c>
      <c r="ID45" s="26">
        <v>40</v>
      </c>
      <c r="IE45" s="122" t="s">
        <v>23</v>
      </c>
    </row>
    <row r="46" spans="1:239" x14ac:dyDescent="0.25">
      <c r="A46" s="8">
        <v>41</v>
      </c>
      <c r="B46" s="8" t="str">
        <f t="shared" si="0"/>
        <v>FILLING FEED TANK TO SET POINT LEVEL</v>
      </c>
      <c r="C46" s="8"/>
      <c r="D46" s="6" t="str">
        <f t="shared" si="1"/>
        <v>RO_Data[2].ACK_DESC[</v>
      </c>
      <c r="E46" s="26">
        <v>41</v>
      </c>
      <c r="F46" s="122" t="s">
        <v>23</v>
      </c>
      <c r="G46" s="129">
        <v>0</v>
      </c>
      <c r="H46" s="6" t="str">
        <f t="shared" si="2"/>
        <v>RO_Data[2].MIN[</v>
      </c>
      <c r="I46" s="26">
        <v>41</v>
      </c>
      <c r="J46" s="122" t="s">
        <v>23</v>
      </c>
      <c r="K46" s="129">
        <v>1</v>
      </c>
      <c r="L46" s="6" t="str">
        <f t="shared" si="3"/>
        <v>RO_Data[2].SEC[</v>
      </c>
      <c r="M46" s="26">
        <v>41</v>
      </c>
      <c r="N46" s="30" t="s">
        <v>23</v>
      </c>
      <c r="O46" s="12">
        <v>0</v>
      </c>
      <c r="P46" s="6" t="str">
        <f t="shared" si="4"/>
        <v>RO_Data[2].SETPOINT[</v>
      </c>
      <c r="Q46" s="26">
        <v>41</v>
      </c>
      <c r="R46" s="122" t="s">
        <v>23</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23</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23</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23</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23</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23</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23</v>
      </c>
      <c r="IB46" s="8" t="s">
        <v>225</v>
      </c>
      <c r="IC46" s="6" t="str">
        <f t="shared" si="12"/>
        <v>RO_Data[2].STEP_DESC[</v>
      </c>
      <c r="ID46" s="26">
        <v>41</v>
      </c>
      <c r="IE46" s="122" t="s">
        <v>23</v>
      </c>
    </row>
    <row r="47" spans="1:239" x14ac:dyDescent="0.25">
      <c r="A47" s="8">
        <v>42</v>
      </c>
      <c r="B47" s="8" t="str">
        <f t="shared" si="0"/>
        <v>STARTING PUMPS</v>
      </c>
      <c r="C47" s="8"/>
      <c r="D47" s="6" t="str">
        <f t="shared" si="1"/>
        <v>RO_Data[2].ACK_DESC[</v>
      </c>
      <c r="E47" s="26">
        <v>42</v>
      </c>
      <c r="F47" s="122" t="s">
        <v>23</v>
      </c>
      <c r="G47" s="129">
        <v>0</v>
      </c>
      <c r="H47" s="6" t="str">
        <f t="shared" si="2"/>
        <v>RO_Data[2].MIN[</v>
      </c>
      <c r="I47" s="26">
        <v>42</v>
      </c>
      <c r="J47" s="122" t="s">
        <v>23</v>
      </c>
      <c r="K47" s="129">
        <v>30</v>
      </c>
      <c r="L47" s="6" t="str">
        <f t="shared" si="3"/>
        <v>RO_Data[2].SEC[</v>
      </c>
      <c r="M47" s="26">
        <v>42</v>
      </c>
      <c r="N47" s="30" t="s">
        <v>23</v>
      </c>
      <c r="O47" s="12">
        <v>0</v>
      </c>
      <c r="P47" s="6" t="str">
        <f t="shared" si="4"/>
        <v>RO_Data[2].SETPOINT[</v>
      </c>
      <c r="Q47" s="26">
        <v>42</v>
      </c>
      <c r="R47" s="122" t="s">
        <v>23</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23</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23</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23</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23</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23</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23</v>
      </c>
      <c r="IB47" s="8" t="s">
        <v>226</v>
      </c>
      <c r="IC47" s="6" t="str">
        <f t="shared" si="12"/>
        <v>RO_Data[2].STEP_DESC[</v>
      </c>
      <c r="ID47" s="26">
        <v>42</v>
      </c>
      <c r="IE47" s="122" t="s">
        <v>23</v>
      </c>
    </row>
    <row r="48" spans="1:239" x14ac:dyDescent="0.25">
      <c r="A48" s="8">
        <v>43</v>
      </c>
      <c r="B48" s="8" t="str">
        <f t="shared" si="0"/>
        <v>ADDING CHEMICALS</v>
      </c>
      <c r="C48" s="8"/>
      <c r="D48" s="6" t="str">
        <f t="shared" si="1"/>
        <v>RO_Data[2].ACK_DESC[</v>
      </c>
      <c r="E48" s="26">
        <v>43</v>
      </c>
      <c r="F48" s="122" t="s">
        <v>23</v>
      </c>
      <c r="G48" s="129">
        <v>0</v>
      </c>
      <c r="H48" s="6" t="str">
        <f t="shared" si="2"/>
        <v>RO_Data[2].MIN[</v>
      </c>
      <c r="I48" s="26">
        <v>43</v>
      </c>
      <c r="J48" s="122" t="s">
        <v>23</v>
      </c>
      <c r="K48" s="129">
        <v>1</v>
      </c>
      <c r="L48" s="6" t="str">
        <f t="shared" si="3"/>
        <v>RO_Data[2].SEC[</v>
      </c>
      <c r="M48" s="26">
        <v>43</v>
      </c>
      <c r="N48" s="30" t="s">
        <v>23</v>
      </c>
      <c r="O48" s="12">
        <v>0</v>
      </c>
      <c r="P48" s="6" t="str">
        <f t="shared" si="4"/>
        <v>RO_Data[2].SETPOINT[</v>
      </c>
      <c r="Q48" s="26">
        <v>43</v>
      </c>
      <c r="R48" s="122" t="s">
        <v>23</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23</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23</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23</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23</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23</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23</v>
      </c>
      <c r="IB48" s="8" t="s">
        <v>228</v>
      </c>
      <c r="IC48" s="6" t="str">
        <f t="shared" si="12"/>
        <v>RO_Data[2].STEP_DESC[</v>
      </c>
      <c r="ID48" s="26">
        <v>43</v>
      </c>
      <c r="IE48" s="122" t="s">
        <v>23</v>
      </c>
    </row>
    <row r="49" spans="1:239" x14ac:dyDescent="0.25">
      <c r="A49" s="8">
        <v>44</v>
      </c>
      <c r="B49" s="8" t="str">
        <f t="shared" si="0"/>
        <v>HEATING TO TEMPERATURE (WASH 4)</v>
      </c>
      <c r="C49" s="8"/>
      <c r="D49" s="6" t="str">
        <f t="shared" si="1"/>
        <v>RO_Data[2].ACK_DESC[</v>
      </c>
      <c r="E49" s="26">
        <v>44</v>
      </c>
      <c r="F49" s="122" t="s">
        <v>23</v>
      </c>
      <c r="G49" s="129">
        <v>0</v>
      </c>
      <c r="H49" s="6" t="str">
        <f t="shared" si="2"/>
        <v>RO_Data[2].MIN[</v>
      </c>
      <c r="I49" s="26">
        <v>44</v>
      </c>
      <c r="J49" s="122" t="s">
        <v>23</v>
      </c>
      <c r="K49" s="129">
        <v>1</v>
      </c>
      <c r="L49" s="6" t="str">
        <f t="shared" si="3"/>
        <v>RO_Data[2].SEC[</v>
      </c>
      <c r="M49" s="26">
        <v>44</v>
      </c>
      <c r="N49" s="30" t="s">
        <v>23</v>
      </c>
      <c r="O49" s="12">
        <v>0</v>
      </c>
      <c r="P49" s="6" t="str">
        <f t="shared" si="4"/>
        <v>RO_Data[2].SETPOINT[</v>
      </c>
      <c r="Q49" s="26">
        <v>44</v>
      </c>
      <c r="R49" s="122" t="s">
        <v>23</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23</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23</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23</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23</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23</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23</v>
      </c>
      <c r="IB49" s="8" t="s">
        <v>237</v>
      </c>
      <c r="IC49" s="6" t="str">
        <f t="shared" si="12"/>
        <v>RO_Data[2].STEP_DESC[</v>
      </c>
      <c r="ID49" s="26">
        <v>44</v>
      </c>
      <c r="IE49" s="122" t="s">
        <v>23</v>
      </c>
    </row>
    <row r="50" spans="1:239" x14ac:dyDescent="0.25">
      <c r="A50" s="8">
        <v>45</v>
      </c>
      <c r="B50" s="8" t="str">
        <f t="shared" si="0"/>
        <v>CHECK PH - HOLD FOR ACKNOWLEDGE</v>
      </c>
      <c r="C50" s="8"/>
      <c r="D50" s="6" t="str">
        <f t="shared" si="1"/>
        <v>RO_Data[2].ACK_DESC[</v>
      </c>
      <c r="E50" s="26">
        <v>45</v>
      </c>
      <c r="F50" s="122" t="s">
        <v>23</v>
      </c>
      <c r="G50" s="129">
        <v>0</v>
      </c>
      <c r="H50" s="6" t="str">
        <f t="shared" si="2"/>
        <v>RO_Data[2].MIN[</v>
      </c>
      <c r="I50" s="26">
        <v>45</v>
      </c>
      <c r="J50" s="122" t="s">
        <v>23</v>
      </c>
      <c r="K50" s="129">
        <v>0</v>
      </c>
      <c r="L50" s="6" t="str">
        <f t="shared" si="3"/>
        <v>RO_Data[2].SEC[</v>
      </c>
      <c r="M50" s="26">
        <v>45</v>
      </c>
      <c r="N50" s="30" t="s">
        <v>23</v>
      </c>
      <c r="O50" s="12">
        <v>0</v>
      </c>
      <c r="P50" s="6" t="str">
        <f t="shared" si="4"/>
        <v>RO_Data[2].SETPOINT[</v>
      </c>
      <c r="Q50" s="26">
        <v>45</v>
      </c>
      <c r="R50" s="122" t="s">
        <v>23</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23</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23</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23</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23</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23</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23</v>
      </c>
      <c r="IB50" s="65" t="s">
        <v>356</v>
      </c>
      <c r="IC50" s="6" t="str">
        <f t="shared" si="12"/>
        <v>RO_Data[2].STEP_DESC[</v>
      </c>
      <c r="ID50" s="26">
        <v>45</v>
      </c>
      <c r="IE50" s="122" t="s">
        <v>23</v>
      </c>
    </row>
    <row r="51" spans="1:239" x14ac:dyDescent="0.25">
      <c r="A51" s="8">
        <v>46</v>
      </c>
      <c r="B51" s="8" t="str">
        <f t="shared" si="0"/>
        <v>WASH 4</v>
      </c>
      <c r="C51" s="8"/>
      <c r="D51" s="6" t="str">
        <f t="shared" si="1"/>
        <v>RO_Data[2].ACK_DESC[</v>
      </c>
      <c r="E51" s="26">
        <v>46</v>
      </c>
      <c r="F51" s="122" t="s">
        <v>23</v>
      </c>
      <c r="G51" s="129">
        <v>0</v>
      </c>
      <c r="H51" s="6" t="str">
        <f t="shared" si="2"/>
        <v>RO_Data[2].MIN[</v>
      </c>
      <c r="I51" s="26">
        <v>46</v>
      </c>
      <c r="J51" s="122" t="s">
        <v>23</v>
      </c>
      <c r="K51" s="129">
        <v>1</v>
      </c>
      <c r="L51" s="6" t="str">
        <f t="shared" si="3"/>
        <v>RO_Data[2].SEC[</v>
      </c>
      <c r="M51" s="26">
        <v>46</v>
      </c>
      <c r="N51" s="30" t="s">
        <v>23</v>
      </c>
      <c r="O51" s="12">
        <v>0</v>
      </c>
      <c r="P51" s="6" t="str">
        <f t="shared" si="4"/>
        <v>RO_Data[2].SETPOINT[</v>
      </c>
      <c r="Q51" s="26">
        <v>46</v>
      </c>
      <c r="R51" s="122" t="s">
        <v>23</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23</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23</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23</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23</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23</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23</v>
      </c>
      <c r="IB51" s="8" t="s">
        <v>238</v>
      </c>
      <c r="IC51" s="6" t="str">
        <f t="shared" si="12"/>
        <v>RO_Data[2].STEP_DESC[</v>
      </c>
      <c r="ID51" s="26">
        <v>46</v>
      </c>
      <c r="IE51" s="122" t="s">
        <v>23</v>
      </c>
    </row>
    <row r="52" spans="1:239" x14ac:dyDescent="0.25">
      <c r="A52" s="8">
        <v>47</v>
      </c>
      <c r="B52" s="8" t="str">
        <f t="shared" si="0"/>
        <v>PUMPING DOWN FEED TANK</v>
      </c>
      <c r="C52" s="8"/>
      <c r="D52" s="6" t="str">
        <f t="shared" si="1"/>
        <v>RO_Data[2].ACK_DESC[</v>
      </c>
      <c r="E52" s="26">
        <v>47</v>
      </c>
      <c r="F52" s="122" t="s">
        <v>23</v>
      </c>
      <c r="G52" s="129">
        <v>0</v>
      </c>
      <c r="H52" s="6" t="str">
        <f t="shared" si="2"/>
        <v>RO_Data[2].MIN[</v>
      </c>
      <c r="I52" s="26">
        <v>47</v>
      </c>
      <c r="J52" s="122" t="s">
        <v>23</v>
      </c>
      <c r="K52" s="129">
        <v>1</v>
      </c>
      <c r="L52" s="6" t="str">
        <f t="shared" si="3"/>
        <v>RO_Data[2].SEC[</v>
      </c>
      <c r="M52" s="26">
        <v>47</v>
      </c>
      <c r="N52" s="30" t="s">
        <v>23</v>
      </c>
      <c r="O52" s="12">
        <v>0</v>
      </c>
      <c r="P52" s="6" t="str">
        <f t="shared" si="4"/>
        <v>RO_Data[2].SETPOINT[</v>
      </c>
      <c r="Q52" s="26">
        <v>47</v>
      </c>
      <c r="R52" s="122" t="s">
        <v>23</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23</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23</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23</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23</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23</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23</v>
      </c>
      <c r="IB52" s="8" t="s">
        <v>231</v>
      </c>
      <c r="IC52" s="6" t="str">
        <f t="shared" si="12"/>
        <v>RO_Data[2].STEP_DESC[</v>
      </c>
      <c r="ID52" s="26">
        <v>47</v>
      </c>
      <c r="IE52" s="122" t="s">
        <v>23</v>
      </c>
    </row>
    <row r="53" spans="1:239" x14ac:dyDescent="0.25">
      <c r="A53" s="8">
        <v>48</v>
      </c>
      <c r="B53" s="8" t="str">
        <f t="shared" si="0"/>
        <v>DRAINING FEED TANK</v>
      </c>
      <c r="C53" s="8"/>
      <c r="D53" s="6" t="str">
        <f t="shared" si="1"/>
        <v>RO_Data[2].ACK_DESC[</v>
      </c>
      <c r="E53" s="26">
        <v>48</v>
      </c>
      <c r="F53" s="122" t="s">
        <v>23</v>
      </c>
      <c r="G53" s="129">
        <v>0</v>
      </c>
      <c r="H53" s="6" t="str">
        <f t="shared" si="2"/>
        <v>RO_Data[2].MIN[</v>
      </c>
      <c r="I53" s="26">
        <v>48</v>
      </c>
      <c r="J53" s="122" t="s">
        <v>23</v>
      </c>
      <c r="K53" s="129">
        <v>1</v>
      </c>
      <c r="L53" s="6" t="str">
        <f t="shared" si="3"/>
        <v>RO_Data[2].SEC[</v>
      </c>
      <c r="M53" s="26">
        <v>48</v>
      </c>
      <c r="N53" s="30" t="s">
        <v>23</v>
      </c>
      <c r="O53" s="12">
        <v>0</v>
      </c>
      <c r="P53" s="6" t="str">
        <f t="shared" si="4"/>
        <v>RO_Data[2].SETPOINT[</v>
      </c>
      <c r="Q53" s="26">
        <v>48</v>
      </c>
      <c r="R53" s="122" t="s">
        <v>23</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23</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23</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23</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23</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23</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23</v>
      </c>
      <c r="IB53" s="8" t="s">
        <v>232</v>
      </c>
      <c r="IC53" s="6" t="str">
        <f t="shared" si="12"/>
        <v>RO_Data[2].STEP_DESC[</v>
      </c>
      <c r="ID53" s="26">
        <v>48</v>
      </c>
      <c r="IE53" s="122" t="s">
        <v>23</v>
      </c>
    </row>
    <row r="54" spans="1:239" x14ac:dyDescent="0.25">
      <c r="A54" s="8">
        <v>49</v>
      </c>
      <c r="B54" s="8" t="str">
        <f t="shared" si="0"/>
        <v>FILLING FEED TANK TO SET POINT LEVEL</v>
      </c>
      <c r="C54" s="8"/>
      <c r="D54" s="6" t="str">
        <f t="shared" si="1"/>
        <v>RO_Data[2].ACK_DESC[</v>
      </c>
      <c r="E54" s="26">
        <v>49</v>
      </c>
      <c r="F54" s="122" t="s">
        <v>23</v>
      </c>
      <c r="G54" s="129">
        <v>0</v>
      </c>
      <c r="H54" s="6" t="str">
        <f t="shared" si="2"/>
        <v>RO_Data[2].MIN[</v>
      </c>
      <c r="I54" s="26">
        <v>49</v>
      </c>
      <c r="J54" s="122" t="s">
        <v>23</v>
      </c>
      <c r="K54" s="129">
        <v>1</v>
      </c>
      <c r="L54" s="6" t="str">
        <f t="shared" si="3"/>
        <v>RO_Data[2].SEC[</v>
      </c>
      <c r="M54" s="26">
        <v>49</v>
      </c>
      <c r="N54" s="30" t="s">
        <v>23</v>
      </c>
      <c r="O54" s="12">
        <v>0</v>
      </c>
      <c r="P54" s="6" t="str">
        <f t="shared" si="4"/>
        <v>RO_Data[2].SETPOINT[</v>
      </c>
      <c r="Q54" s="26">
        <v>49</v>
      </c>
      <c r="R54" s="122" t="s">
        <v>23</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23</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23</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23</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23</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23</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23</v>
      </c>
      <c r="IB54" s="8" t="s">
        <v>225</v>
      </c>
      <c r="IC54" s="6" t="str">
        <f t="shared" si="12"/>
        <v>RO_Data[2].STEP_DESC[</v>
      </c>
      <c r="ID54" s="26">
        <v>49</v>
      </c>
      <c r="IE54" s="122" t="s">
        <v>23</v>
      </c>
    </row>
    <row r="55" spans="1:239" x14ac:dyDescent="0.25">
      <c r="A55" s="8">
        <v>50</v>
      </c>
      <c r="B55" s="8" t="str">
        <f t="shared" si="0"/>
        <v>STARTING PUMPS</v>
      </c>
      <c r="C55" s="8"/>
      <c r="D55" s="6" t="str">
        <f t="shared" si="1"/>
        <v>RO_Data[2].ACK_DESC[</v>
      </c>
      <c r="E55" s="26">
        <v>50</v>
      </c>
      <c r="F55" s="122" t="s">
        <v>23</v>
      </c>
      <c r="G55" s="129">
        <v>0</v>
      </c>
      <c r="H55" s="6" t="str">
        <f t="shared" si="2"/>
        <v>RO_Data[2].MIN[</v>
      </c>
      <c r="I55" s="26">
        <v>50</v>
      </c>
      <c r="J55" s="122" t="s">
        <v>23</v>
      </c>
      <c r="K55" s="129">
        <v>30</v>
      </c>
      <c r="L55" s="6" t="str">
        <f t="shared" si="3"/>
        <v>RO_Data[2].SEC[</v>
      </c>
      <c r="M55" s="26">
        <v>50</v>
      </c>
      <c r="N55" s="30" t="s">
        <v>23</v>
      </c>
      <c r="O55" s="12">
        <v>0</v>
      </c>
      <c r="P55" s="6" t="str">
        <f t="shared" si="4"/>
        <v>RO_Data[2].SETPOINT[</v>
      </c>
      <c r="Q55" s="26">
        <v>50</v>
      </c>
      <c r="R55" s="122" t="s">
        <v>23</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23</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23</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23</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23</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23</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23</v>
      </c>
      <c r="IB55" s="8" t="s">
        <v>226</v>
      </c>
      <c r="IC55" s="6" t="str">
        <f t="shared" si="12"/>
        <v>RO_Data[2].STEP_DESC[</v>
      </c>
      <c r="ID55" s="26">
        <v>50</v>
      </c>
      <c r="IE55" s="122" t="s">
        <v>23</v>
      </c>
    </row>
    <row r="56" spans="1:239" x14ac:dyDescent="0.25">
      <c r="A56" s="8">
        <v>51</v>
      </c>
      <c r="B56" s="8" t="str">
        <f t="shared" si="0"/>
        <v>RINSING STAGES</v>
      </c>
      <c r="C56" s="8"/>
      <c r="D56" s="6" t="str">
        <f t="shared" si="1"/>
        <v>RO_Data[2].ACK_DESC[</v>
      </c>
      <c r="E56" s="26">
        <v>51</v>
      </c>
      <c r="F56" s="122" t="s">
        <v>23</v>
      </c>
      <c r="G56" s="129">
        <v>0</v>
      </c>
      <c r="H56" s="6" t="str">
        <f t="shared" si="2"/>
        <v>RO_Data[2].MIN[</v>
      </c>
      <c r="I56" s="26">
        <v>51</v>
      </c>
      <c r="J56" s="122" t="s">
        <v>23</v>
      </c>
      <c r="K56" s="129">
        <v>1</v>
      </c>
      <c r="L56" s="6" t="str">
        <f t="shared" si="3"/>
        <v>RO_Data[2].SEC[</v>
      </c>
      <c r="M56" s="26">
        <v>51</v>
      </c>
      <c r="N56" s="30" t="s">
        <v>23</v>
      </c>
      <c r="O56" s="12">
        <v>0</v>
      </c>
      <c r="P56" s="6" t="str">
        <f t="shared" si="4"/>
        <v>RO_Data[2].SETPOINT[</v>
      </c>
      <c r="Q56" s="26">
        <v>51</v>
      </c>
      <c r="R56" s="122" t="s">
        <v>23</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23</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23</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23</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23</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23</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23</v>
      </c>
      <c r="IB56" s="8" t="s">
        <v>227</v>
      </c>
      <c r="IC56" s="6" t="str">
        <f t="shared" si="12"/>
        <v>RO_Data[2].STEP_DESC[</v>
      </c>
      <c r="ID56" s="26">
        <v>51</v>
      </c>
      <c r="IE56" s="122" t="s">
        <v>23</v>
      </c>
    </row>
    <row r="57" spans="1:239" x14ac:dyDescent="0.25">
      <c r="A57" s="8">
        <v>52</v>
      </c>
      <c r="B57" s="8" t="str">
        <f t="shared" si="0"/>
        <v>PAUSE</v>
      </c>
      <c r="C57" s="8"/>
      <c r="D57" s="6" t="str">
        <f t="shared" si="1"/>
        <v>RO_Data[2].ACK_DESC[</v>
      </c>
      <c r="E57" s="26">
        <v>52</v>
      </c>
      <c r="F57" s="122" t="s">
        <v>23</v>
      </c>
      <c r="G57" s="129">
        <v>0</v>
      </c>
      <c r="H57" s="6" t="str">
        <f t="shared" si="2"/>
        <v>RO_Data[2].MIN[</v>
      </c>
      <c r="I57" s="26">
        <v>52</v>
      </c>
      <c r="J57" s="122" t="s">
        <v>23</v>
      </c>
      <c r="K57" s="129">
        <v>10</v>
      </c>
      <c r="L57" s="6" t="str">
        <f t="shared" si="3"/>
        <v>RO_Data[2].SEC[</v>
      </c>
      <c r="M57" s="26">
        <v>52</v>
      </c>
      <c r="N57" s="30" t="s">
        <v>23</v>
      </c>
      <c r="O57" s="12">
        <v>0</v>
      </c>
      <c r="P57" s="6" t="str">
        <f t="shared" si="4"/>
        <v>RO_Data[2].SETPOINT[</v>
      </c>
      <c r="Q57" s="26">
        <v>52</v>
      </c>
      <c r="R57" s="122" t="s">
        <v>23</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23</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23</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23</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23</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23</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23</v>
      </c>
      <c r="IB57" s="8" t="s">
        <v>223</v>
      </c>
      <c r="IC57" s="6" t="str">
        <f t="shared" si="12"/>
        <v>RO_Data[2].STEP_DESC[</v>
      </c>
      <c r="ID57" s="26">
        <v>52</v>
      </c>
      <c r="IE57" s="122" t="s">
        <v>23</v>
      </c>
    </row>
    <row r="58" spans="1:239" x14ac:dyDescent="0.25">
      <c r="A58" s="8">
        <v>53</v>
      </c>
      <c r="B58" s="8" t="str">
        <f t="shared" si="0"/>
        <v>FILLING FEED TANK TO SET POINT LEVEL</v>
      </c>
      <c r="C58" s="8"/>
      <c r="D58" s="6" t="str">
        <f t="shared" si="1"/>
        <v>RO_Data[2].ACK_DESC[</v>
      </c>
      <c r="E58" s="26">
        <v>53</v>
      </c>
      <c r="F58" s="122" t="s">
        <v>23</v>
      </c>
      <c r="G58" s="129">
        <v>0</v>
      </c>
      <c r="H58" s="6" t="str">
        <f t="shared" si="2"/>
        <v>RO_Data[2].MIN[</v>
      </c>
      <c r="I58" s="26">
        <v>53</v>
      </c>
      <c r="J58" s="122" t="s">
        <v>23</v>
      </c>
      <c r="K58" s="129">
        <v>1</v>
      </c>
      <c r="L58" s="6" t="str">
        <f t="shared" si="3"/>
        <v>RO_Data[2].SEC[</v>
      </c>
      <c r="M58" s="26">
        <v>53</v>
      </c>
      <c r="N58" s="30" t="s">
        <v>23</v>
      </c>
      <c r="O58" s="12">
        <v>0</v>
      </c>
      <c r="P58" s="6" t="str">
        <f t="shared" si="4"/>
        <v>RO_Data[2].SETPOINT[</v>
      </c>
      <c r="Q58" s="26">
        <v>53</v>
      </c>
      <c r="R58" s="122" t="s">
        <v>23</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23</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23</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23</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23</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23</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23</v>
      </c>
      <c r="IB58" s="8" t="s">
        <v>225</v>
      </c>
      <c r="IC58" s="6" t="str">
        <f t="shared" si="12"/>
        <v>RO_Data[2].STEP_DESC[</v>
      </c>
      <c r="ID58" s="26">
        <v>53</v>
      </c>
      <c r="IE58" s="122" t="s">
        <v>23</v>
      </c>
    </row>
    <row r="59" spans="1:239" x14ac:dyDescent="0.25">
      <c r="A59" s="8">
        <v>54</v>
      </c>
      <c r="B59" s="8" t="str">
        <f t="shared" si="0"/>
        <v>STARTING PUMPS</v>
      </c>
      <c r="C59" s="8"/>
      <c r="D59" s="6" t="str">
        <f t="shared" si="1"/>
        <v>RO_Data[2].ACK_DESC[</v>
      </c>
      <c r="E59" s="26">
        <v>54</v>
      </c>
      <c r="F59" s="122" t="s">
        <v>23</v>
      </c>
      <c r="G59" s="129">
        <v>0</v>
      </c>
      <c r="H59" s="6" t="str">
        <f t="shared" si="2"/>
        <v>RO_Data[2].MIN[</v>
      </c>
      <c r="I59" s="26">
        <v>54</v>
      </c>
      <c r="J59" s="122" t="s">
        <v>23</v>
      </c>
      <c r="K59" s="129">
        <v>30</v>
      </c>
      <c r="L59" s="6" t="str">
        <f t="shared" si="3"/>
        <v>RO_Data[2].SEC[</v>
      </c>
      <c r="M59" s="26">
        <v>54</v>
      </c>
      <c r="N59" s="30" t="s">
        <v>23</v>
      </c>
      <c r="O59" s="12">
        <v>0</v>
      </c>
      <c r="P59" s="6" t="str">
        <f t="shared" si="4"/>
        <v>RO_Data[2].SETPOINT[</v>
      </c>
      <c r="Q59" s="26">
        <v>54</v>
      </c>
      <c r="R59" s="122" t="s">
        <v>23</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23</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23</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23</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23</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23</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23</v>
      </c>
      <c r="IB59" s="8" t="s">
        <v>226</v>
      </c>
      <c r="IC59" s="6" t="str">
        <f t="shared" si="12"/>
        <v>RO_Data[2].STEP_DESC[</v>
      </c>
      <c r="ID59" s="26">
        <v>54</v>
      </c>
      <c r="IE59" s="122" t="s">
        <v>23</v>
      </c>
    </row>
    <row r="60" spans="1:239" x14ac:dyDescent="0.25">
      <c r="A60" s="8">
        <v>55</v>
      </c>
      <c r="B60" s="8" t="str">
        <f t="shared" si="0"/>
        <v>PREPARING FOR FLUX CHECK</v>
      </c>
      <c r="C60" s="8"/>
      <c r="D60" s="6" t="str">
        <f t="shared" si="1"/>
        <v>RO_Data[2].ACK_DESC[</v>
      </c>
      <c r="E60" s="26">
        <v>55</v>
      </c>
      <c r="F60" s="122" t="s">
        <v>23</v>
      </c>
      <c r="G60" s="129">
        <v>0</v>
      </c>
      <c r="H60" s="6" t="str">
        <f t="shared" si="2"/>
        <v>RO_Data[2].MIN[</v>
      </c>
      <c r="I60" s="26">
        <v>55</v>
      </c>
      <c r="J60" s="122" t="s">
        <v>23</v>
      </c>
      <c r="K60" s="129">
        <v>1</v>
      </c>
      <c r="L60" s="6" t="str">
        <f t="shared" si="3"/>
        <v>RO_Data[2].SEC[</v>
      </c>
      <c r="M60" s="26">
        <v>55</v>
      </c>
      <c r="N60" s="30" t="s">
        <v>23</v>
      </c>
      <c r="O60" s="12">
        <v>0</v>
      </c>
      <c r="P60" s="6" t="str">
        <f t="shared" si="4"/>
        <v>RO_Data[2].SETPOINT[</v>
      </c>
      <c r="Q60" s="26">
        <v>55</v>
      </c>
      <c r="R60" s="122" t="s">
        <v>23</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23</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23</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23</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23</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23</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23</v>
      </c>
      <c r="IB60" s="8" t="s">
        <v>239</v>
      </c>
      <c r="IC60" s="6" t="str">
        <f t="shared" si="12"/>
        <v>RO_Data[2].STEP_DESC[</v>
      </c>
      <c r="ID60" s="26">
        <v>55</v>
      </c>
      <c r="IE60" s="122" t="s">
        <v>23</v>
      </c>
    </row>
    <row r="61" spans="1:239" x14ac:dyDescent="0.25">
      <c r="A61" s="8">
        <v>56</v>
      </c>
      <c r="B61" s="8" t="str">
        <f t="shared" si="0"/>
        <v>FLUX CHECK</v>
      </c>
      <c r="C61" s="8"/>
      <c r="D61" s="6" t="str">
        <f t="shared" si="1"/>
        <v>RO_Data[2].ACK_DESC[</v>
      </c>
      <c r="E61" s="26">
        <v>56</v>
      </c>
      <c r="F61" s="122" t="s">
        <v>23</v>
      </c>
      <c r="G61" s="129">
        <v>0</v>
      </c>
      <c r="H61" s="6" t="str">
        <f t="shared" si="2"/>
        <v>RO_Data[2].MIN[</v>
      </c>
      <c r="I61" s="26">
        <v>56</v>
      </c>
      <c r="J61" s="122" t="s">
        <v>23</v>
      </c>
      <c r="K61" s="129">
        <v>1</v>
      </c>
      <c r="L61" s="6" t="str">
        <f t="shared" si="3"/>
        <v>RO_Data[2].SEC[</v>
      </c>
      <c r="M61" s="26">
        <v>56</v>
      </c>
      <c r="N61" s="30" t="s">
        <v>23</v>
      </c>
      <c r="O61" s="12">
        <v>0</v>
      </c>
      <c r="P61" s="6" t="str">
        <f t="shared" si="4"/>
        <v>RO_Data[2].SETPOINT[</v>
      </c>
      <c r="Q61" s="26">
        <v>56</v>
      </c>
      <c r="R61" s="122" t="s">
        <v>23</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23</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23</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23</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23</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23</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23</v>
      </c>
      <c r="IB61" s="8" t="s">
        <v>433</v>
      </c>
      <c r="IC61" s="6" t="str">
        <f t="shared" si="12"/>
        <v>RO_Data[2].STEP_DESC[</v>
      </c>
      <c r="ID61" s="26">
        <v>56</v>
      </c>
      <c r="IE61" s="122" t="s">
        <v>23</v>
      </c>
    </row>
    <row r="62" spans="1:239" x14ac:dyDescent="0.25">
      <c r="A62" s="8">
        <v>57</v>
      </c>
      <c r="B62" s="8" t="str">
        <f t="shared" si="0"/>
        <v>RECORD FLUX CHECK  - HOLD FOR ACKNOWLEDGE</v>
      </c>
      <c r="C62" s="8" t="s">
        <v>358</v>
      </c>
      <c r="D62" s="6" t="str">
        <f t="shared" si="1"/>
        <v>RO_Data[2].ACK_DESC[</v>
      </c>
      <c r="E62" s="26">
        <v>57</v>
      </c>
      <c r="F62" s="122" t="s">
        <v>23</v>
      </c>
      <c r="G62" s="129">
        <v>0</v>
      </c>
      <c r="H62" s="6" t="str">
        <f t="shared" si="2"/>
        <v>RO_Data[2].MIN[</v>
      </c>
      <c r="I62" s="26">
        <v>57</v>
      </c>
      <c r="J62" s="122" t="s">
        <v>23</v>
      </c>
      <c r="K62" s="129">
        <v>0</v>
      </c>
      <c r="L62" s="6" t="str">
        <f t="shared" si="3"/>
        <v>RO_Data[2].SEC[</v>
      </c>
      <c r="M62" s="26">
        <v>57</v>
      </c>
      <c r="N62" s="30" t="s">
        <v>23</v>
      </c>
      <c r="O62" s="12">
        <v>0</v>
      </c>
      <c r="P62" s="6" t="str">
        <f t="shared" si="4"/>
        <v>RO_Data[2].SETPOINT[</v>
      </c>
      <c r="Q62" s="26">
        <v>57</v>
      </c>
      <c r="R62" s="122" t="s">
        <v>23</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23</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23</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23</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23</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23</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23</v>
      </c>
      <c r="IB62" s="8" t="s">
        <v>357</v>
      </c>
      <c r="IC62" s="6" t="str">
        <f t="shared" si="12"/>
        <v>RO_Data[2].STEP_DESC[</v>
      </c>
      <c r="ID62" s="26">
        <v>57</v>
      </c>
      <c r="IE62" s="122" t="s">
        <v>23</v>
      </c>
    </row>
    <row r="63" spans="1:239" x14ac:dyDescent="0.25">
      <c r="A63" s="8">
        <v>58</v>
      </c>
      <c r="B63" s="8" t="str">
        <f t="shared" si="0"/>
        <v>EXTRA WASH ?  YES / NO 40</v>
      </c>
      <c r="C63" s="8" t="s">
        <v>359</v>
      </c>
      <c r="D63" s="6" t="str">
        <f t="shared" si="1"/>
        <v>RO_Data[2].ACK_DESC[</v>
      </c>
      <c r="E63" s="26">
        <v>58</v>
      </c>
      <c r="F63" s="122" t="s">
        <v>23</v>
      </c>
      <c r="G63" s="129">
        <v>0</v>
      </c>
      <c r="H63" s="6" t="str">
        <f t="shared" si="2"/>
        <v>RO_Data[2].MIN[</v>
      </c>
      <c r="I63" s="26">
        <v>58</v>
      </c>
      <c r="J63" s="122" t="s">
        <v>23</v>
      </c>
      <c r="K63" s="129">
        <v>0</v>
      </c>
      <c r="L63" s="6" t="str">
        <f t="shared" si="3"/>
        <v>RO_Data[2].SEC[</v>
      </c>
      <c r="M63" s="26">
        <v>58</v>
      </c>
      <c r="N63" s="30" t="s">
        <v>23</v>
      </c>
      <c r="O63" s="12">
        <v>40</v>
      </c>
      <c r="P63" s="6" t="str">
        <f t="shared" si="4"/>
        <v>RO_Data[2].SETPOINT[</v>
      </c>
      <c r="Q63" s="26">
        <v>58</v>
      </c>
      <c r="R63" s="122" t="s">
        <v>23</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23</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23</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23</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23</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23</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23</v>
      </c>
      <c r="IB63" s="8" t="s">
        <v>240</v>
      </c>
      <c r="IC63" s="6" t="str">
        <f t="shared" si="12"/>
        <v>RO_Data[2].STEP_DESC[</v>
      </c>
      <c r="ID63" s="26">
        <v>58</v>
      </c>
      <c r="IE63" s="122" t="s">
        <v>23</v>
      </c>
    </row>
    <row r="64" spans="1:239" x14ac:dyDescent="0.25">
      <c r="A64" s="8">
        <v>59</v>
      </c>
      <c r="B64" s="8" t="str">
        <f t="shared" si="0"/>
        <v>PUMP DOWN FEED TANK? YES / NO 62</v>
      </c>
      <c r="C64" s="8" t="s">
        <v>360</v>
      </c>
      <c r="D64" s="6" t="str">
        <f t="shared" si="1"/>
        <v>RO_Data[2].ACK_DESC[</v>
      </c>
      <c r="E64" s="26">
        <v>59</v>
      </c>
      <c r="F64" s="122" t="s">
        <v>23</v>
      </c>
      <c r="G64" s="129">
        <v>0</v>
      </c>
      <c r="H64" s="6" t="str">
        <f t="shared" si="2"/>
        <v>RO_Data[2].MIN[</v>
      </c>
      <c r="I64" s="26">
        <v>59</v>
      </c>
      <c r="J64" s="122" t="s">
        <v>23</v>
      </c>
      <c r="K64" s="129">
        <v>0</v>
      </c>
      <c r="L64" s="6" t="str">
        <f t="shared" si="3"/>
        <v>RO_Data[2].SEC[</v>
      </c>
      <c r="M64" s="26">
        <v>59</v>
      </c>
      <c r="N64" s="30" t="s">
        <v>23</v>
      </c>
      <c r="O64" s="12">
        <v>62</v>
      </c>
      <c r="P64" s="6" t="str">
        <f t="shared" si="4"/>
        <v>RO_Data[2].SETPOINT[</v>
      </c>
      <c r="Q64" s="26">
        <v>59</v>
      </c>
      <c r="R64" s="122" t="s">
        <v>23</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23</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23</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23</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23</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23</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23</v>
      </c>
      <c r="IB64" s="8" t="s">
        <v>241</v>
      </c>
      <c r="IC64" s="6" t="str">
        <f t="shared" si="12"/>
        <v>RO_Data[2].STEP_DESC[</v>
      </c>
      <c r="ID64" s="26">
        <v>59</v>
      </c>
      <c r="IE64" s="122" t="s">
        <v>23</v>
      </c>
    </row>
    <row r="65" spans="1:239" x14ac:dyDescent="0.25">
      <c r="A65" s="8">
        <v>60</v>
      </c>
      <c r="B65" s="8" t="str">
        <f t="shared" si="0"/>
        <v>PUMPING DOWN FEED TANK</v>
      </c>
      <c r="C65" s="8"/>
      <c r="D65" s="6" t="str">
        <f t="shared" si="1"/>
        <v>RO_Data[2].ACK_DESC[</v>
      </c>
      <c r="E65" s="26">
        <v>60</v>
      </c>
      <c r="F65" s="122" t="s">
        <v>23</v>
      </c>
      <c r="G65" s="129">
        <v>0</v>
      </c>
      <c r="H65" s="6" t="str">
        <f t="shared" si="2"/>
        <v>RO_Data[2].MIN[</v>
      </c>
      <c r="I65" s="26">
        <v>60</v>
      </c>
      <c r="J65" s="122" t="s">
        <v>23</v>
      </c>
      <c r="K65" s="129">
        <v>1</v>
      </c>
      <c r="L65" s="6" t="str">
        <f t="shared" si="3"/>
        <v>RO_Data[2].SEC[</v>
      </c>
      <c r="M65" s="26">
        <v>60</v>
      </c>
      <c r="N65" s="30" t="s">
        <v>23</v>
      </c>
      <c r="O65" s="12">
        <v>0</v>
      </c>
      <c r="P65" s="6" t="str">
        <f t="shared" si="4"/>
        <v>RO_Data[2].SETPOINT[</v>
      </c>
      <c r="Q65" s="26">
        <v>60</v>
      </c>
      <c r="R65" s="122" t="s">
        <v>23</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23</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23</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23</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23</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23</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23</v>
      </c>
      <c r="IB65" s="8" t="s">
        <v>231</v>
      </c>
      <c r="IC65" s="6" t="str">
        <f t="shared" si="12"/>
        <v>RO_Data[2].STEP_DESC[</v>
      </c>
      <c r="ID65" s="26">
        <v>60</v>
      </c>
      <c r="IE65" s="122" t="s">
        <v>23</v>
      </c>
    </row>
    <row r="66" spans="1:239" x14ac:dyDescent="0.25">
      <c r="A66" s="8">
        <v>61</v>
      </c>
      <c r="B66" s="8" t="str">
        <f t="shared" si="0"/>
        <v>DRAINING FEED TANK</v>
      </c>
      <c r="C66" s="8"/>
      <c r="D66" s="6" t="str">
        <f t="shared" si="1"/>
        <v>RO_Data[2].ACK_DESC[</v>
      </c>
      <c r="E66" s="26">
        <v>61</v>
      </c>
      <c r="F66" s="122" t="s">
        <v>23</v>
      </c>
      <c r="G66" s="129">
        <v>0</v>
      </c>
      <c r="H66" s="6" t="str">
        <f t="shared" si="2"/>
        <v>RO_Data[2].MIN[</v>
      </c>
      <c r="I66" s="26">
        <v>61</v>
      </c>
      <c r="J66" s="122" t="s">
        <v>23</v>
      </c>
      <c r="K66" s="129">
        <v>1</v>
      </c>
      <c r="L66" s="6" t="str">
        <f t="shared" si="3"/>
        <v>RO_Data[2].SEC[</v>
      </c>
      <c r="M66" s="26">
        <v>61</v>
      </c>
      <c r="N66" s="30" t="s">
        <v>23</v>
      </c>
      <c r="O66" s="12">
        <v>0</v>
      </c>
      <c r="P66" s="6" t="str">
        <f t="shared" si="4"/>
        <v>RO_Data[2].SETPOINT[</v>
      </c>
      <c r="Q66" s="26">
        <v>61</v>
      </c>
      <c r="R66" s="122" t="s">
        <v>23</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23</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23</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23</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23</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23</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23</v>
      </c>
      <c r="IB66" s="8" t="s">
        <v>232</v>
      </c>
      <c r="IC66" s="6" t="str">
        <f t="shared" si="12"/>
        <v>RO_Data[2].STEP_DESC[</v>
      </c>
      <c r="ID66" s="26">
        <v>61</v>
      </c>
      <c r="IE66" s="122" t="s">
        <v>23</v>
      </c>
    </row>
    <row r="67" spans="1:239" x14ac:dyDescent="0.25">
      <c r="A67" s="8">
        <v>62</v>
      </c>
      <c r="B67" s="8" t="str">
        <f t="shared" si="0"/>
        <v>PAUSE</v>
      </c>
      <c r="C67" s="8"/>
      <c r="D67" s="6" t="str">
        <f t="shared" si="1"/>
        <v>RO_Data[2].ACK_DESC[</v>
      </c>
      <c r="E67" s="26">
        <v>62</v>
      </c>
      <c r="F67" s="122" t="s">
        <v>23</v>
      </c>
      <c r="G67" s="129">
        <v>0</v>
      </c>
      <c r="H67" s="6" t="str">
        <f t="shared" si="2"/>
        <v>RO_Data[2].MIN[</v>
      </c>
      <c r="I67" s="26">
        <v>62</v>
      </c>
      <c r="J67" s="122" t="s">
        <v>23</v>
      </c>
      <c r="K67" s="129">
        <v>10</v>
      </c>
      <c r="L67" s="6" t="str">
        <f t="shared" si="3"/>
        <v>RO_Data[2].SEC[</v>
      </c>
      <c r="M67" s="26">
        <v>62</v>
      </c>
      <c r="N67" s="30" t="s">
        <v>23</v>
      </c>
      <c r="O67" s="12">
        <v>0</v>
      </c>
      <c r="P67" s="6" t="str">
        <f t="shared" si="4"/>
        <v>RO_Data[2].SETPOINT[</v>
      </c>
      <c r="Q67" s="26">
        <v>62</v>
      </c>
      <c r="R67" s="122" t="s">
        <v>23</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23</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23</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23</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23</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23</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23</v>
      </c>
      <c r="IB67" s="8" t="s">
        <v>223</v>
      </c>
      <c r="IC67" s="6" t="str">
        <f t="shared" si="12"/>
        <v>RO_Data[2].STEP_DESC[</v>
      </c>
      <c r="ID67" s="26">
        <v>62</v>
      </c>
      <c r="IE67" s="122" t="s">
        <v>23</v>
      </c>
    </row>
    <row r="68" spans="1:239" x14ac:dyDescent="0.25">
      <c r="A68" s="8">
        <v>63</v>
      </c>
      <c r="B68" s="8" t="str">
        <f t="shared" si="0"/>
        <v>CYCLE COMPLETE</v>
      </c>
      <c r="C68" s="8"/>
      <c r="D68" s="6" t="str">
        <f t="shared" si="1"/>
        <v>RO_Data[2].ACK_DESC[</v>
      </c>
      <c r="E68" s="26">
        <v>63</v>
      </c>
      <c r="F68" s="122" t="s">
        <v>23</v>
      </c>
      <c r="G68" s="129">
        <v>0</v>
      </c>
      <c r="H68" s="6" t="str">
        <f t="shared" si="2"/>
        <v>RO_Data[2].MIN[</v>
      </c>
      <c r="I68" s="26">
        <v>63</v>
      </c>
      <c r="J68" s="122" t="s">
        <v>23</v>
      </c>
      <c r="K68" s="129">
        <v>1</v>
      </c>
      <c r="L68" s="6" t="str">
        <f t="shared" si="3"/>
        <v>RO_Data[2].SEC[</v>
      </c>
      <c r="M68" s="26">
        <v>63</v>
      </c>
      <c r="N68" s="30" t="s">
        <v>23</v>
      </c>
      <c r="O68" s="12">
        <v>0</v>
      </c>
      <c r="P68" s="6" t="str">
        <f t="shared" si="4"/>
        <v>RO_Data[2].SETPOINT[</v>
      </c>
      <c r="Q68" s="26">
        <v>63</v>
      </c>
      <c r="R68" s="122" t="s">
        <v>23</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23</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23</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23</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23</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23</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23</v>
      </c>
      <c r="IB68" s="8" t="s">
        <v>224</v>
      </c>
      <c r="IC68" s="6" t="str">
        <f t="shared" si="12"/>
        <v>RO_Data[2].STEP_DESC[</v>
      </c>
      <c r="ID68" s="26">
        <v>63</v>
      </c>
      <c r="IE68" s="122" t="s">
        <v>23</v>
      </c>
    </row>
    <row r="69" spans="1:239" x14ac:dyDescent="0.25">
      <c r="A69" s="8">
        <v>64</v>
      </c>
      <c r="B69" s="8" t="str">
        <f t="shared" ref="B69:B104" si="24">IF($IB69&lt;&gt;"", $IB69, "")</f>
        <v/>
      </c>
      <c r="C69" s="8"/>
      <c r="D69" s="6" t="str">
        <f t="shared" si="1"/>
        <v>RO_Data[2].ACK_DESC[</v>
      </c>
      <c r="E69" s="26">
        <v>64</v>
      </c>
      <c r="F69" s="122" t="s">
        <v>23</v>
      </c>
      <c r="G69" s="122">
        <v>0</v>
      </c>
      <c r="H69" s="6" t="str">
        <f t="shared" si="2"/>
        <v>RO_Data[2].MIN[</v>
      </c>
      <c r="I69" s="26">
        <v>64</v>
      </c>
      <c r="J69" s="122" t="s">
        <v>23</v>
      </c>
      <c r="K69" s="122">
        <v>0</v>
      </c>
      <c r="L69" s="6" t="str">
        <f t="shared" si="3"/>
        <v>RO_Data[2].SEC[</v>
      </c>
      <c r="M69" s="26">
        <v>64</v>
      </c>
      <c r="N69" s="30" t="s">
        <v>23</v>
      </c>
      <c r="O69" s="8">
        <v>0</v>
      </c>
      <c r="P69" s="6" t="str">
        <f t="shared" si="4"/>
        <v>RO_Data[2].SETPOINT[</v>
      </c>
      <c r="Q69" s="26">
        <v>64</v>
      </c>
      <c r="R69" s="122" t="s">
        <v>23</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23</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23</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23</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23</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23</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23</v>
      </c>
      <c r="IB69" s="8"/>
      <c r="IC69" s="6" t="str">
        <f t="shared" si="12"/>
        <v>RO_Data[2].STEP_DESC[</v>
      </c>
      <c r="ID69" s="26">
        <v>64</v>
      </c>
      <c r="IE69" s="122" t="s">
        <v>23</v>
      </c>
    </row>
    <row r="70" spans="1:239" x14ac:dyDescent="0.25">
      <c r="A70" s="8">
        <v>65</v>
      </c>
      <c r="B70" s="8" t="str">
        <f t="shared" si="24"/>
        <v/>
      </c>
      <c r="C70" s="8"/>
      <c r="D70" s="6" t="str">
        <f t="shared" ref="D70:D104" si="25">D$5</f>
        <v>RO_Data[2].ACK_DESC[</v>
      </c>
      <c r="E70" s="26">
        <v>65</v>
      </c>
      <c r="F70" s="122" t="s">
        <v>23</v>
      </c>
      <c r="G70" s="122">
        <v>0</v>
      </c>
      <c r="H70" s="6" t="str">
        <f t="shared" ref="H70:H104" si="26">H$5</f>
        <v>RO_Data[2].MIN[</v>
      </c>
      <c r="I70" s="26">
        <v>65</v>
      </c>
      <c r="J70" s="122" t="s">
        <v>23</v>
      </c>
      <c r="K70" s="122">
        <v>0</v>
      </c>
      <c r="L70" s="6" t="str">
        <f t="shared" ref="L70:L104" si="27">L$5</f>
        <v>RO_Data[2].SEC[</v>
      </c>
      <c r="M70" s="26">
        <v>65</v>
      </c>
      <c r="N70" s="30" t="s">
        <v>23</v>
      </c>
      <c r="O70" s="8">
        <v>0</v>
      </c>
      <c r="P70" s="6" t="str">
        <f t="shared" ref="P70:P104" si="28">P$5</f>
        <v>RO_Data[2].SETPOINT[</v>
      </c>
      <c r="Q70" s="26">
        <v>65</v>
      </c>
      <c r="R70" s="122" t="s">
        <v>23</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23</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23</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23</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23</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23</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23</v>
      </c>
      <c r="IB70" s="8"/>
      <c r="IC70" s="6" t="str">
        <f t="shared" ref="IC70:IC104" si="36">IC$5</f>
        <v>RO_Data[2].STEP_DESC[</v>
      </c>
      <c r="ID70" s="26">
        <v>65</v>
      </c>
      <c r="IE70" s="122" t="s">
        <v>23</v>
      </c>
    </row>
    <row r="71" spans="1:239" x14ac:dyDescent="0.25">
      <c r="A71" s="8">
        <v>66</v>
      </c>
      <c r="B71" s="8" t="str">
        <f t="shared" si="24"/>
        <v/>
      </c>
      <c r="C71" s="8"/>
      <c r="D71" s="6" t="str">
        <f t="shared" si="25"/>
        <v>RO_Data[2].ACK_DESC[</v>
      </c>
      <c r="E71" s="26">
        <v>66</v>
      </c>
      <c r="F71" s="122" t="s">
        <v>23</v>
      </c>
      <c r="G71" s="122">
        <v>0</v>
      </c>
      <c r="H71" s="6" t="str">
        <f t="shared" si="26"/>
        <v>RO_Data[2].MIN[</v>
      </c>
      <c r="I71" s="26">
        <v>66</v>
      </c>
      <c r="J71" s="122" t="s">
        <v>23</v>
      </c>
      <c r="K71" s="122">
        <v>0</v>
      </c>
      <c r="L71" s="6" t="str">
        <f t="shared" si="27"/>
        <v>RO_Data[2].SEC[</v>
      </c>
      <c r="M71" s="26">
        <v>66</v>
      </c>
      <c r="N71" s="30" t="s">
        <v>23</v>
      </c>
      <c r="O71" s="8">
        <v>0</v>
      </c>
      <c r="P71" s="6" t="str">
        <f t="shared" si="28"/>
        <v>RO_Data[2].SETPOINT[</v>
      </c>
      <c r="Q71" s="26">
        <v>66</v>
      </c>
      <c r="R71" s="122" t="s">
        <v>23</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23</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23</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23</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23</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23</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23</v>
      </c>
      <c r="IB71" s="8"/>
      <c r="IC71" s="6" t="str">
        <f t="shared" si="36"/>
        <v>RO_Data[2].STEP_DESC[</v>
      </c>
      <c r="ID71" s="26">
        <v>66</v>
      </c>
      <c r="IE71" s="122" t="s">
        <v>23</v>
      </c>
    </row>
    <row r="72" spans="1:239" x14ac:dyDescent="0.25">
      <c r="A72" s="8">
        <v>67</v>
      </c>
      <c r="B72" s="8" t="str">
        <f t="shared" si="24"/>
        <v/>
      </c>
      <c r="C72" s="8"/>
      <c r="D72" s="6" t="str">
        <f t="shared" si="25"/>
        <v>RO_Data[2].ACK_DESC[</v>
      </c>
      <c r="E72" s="26">
        <v>67</v>
      </c>
      <c r="F72" s="122" t="s">
        <v>23</v>
      </c>
      <c r="G72" s="122">
        <v>0</v>
      </c>
      <c r="H72" s="6" t="str">
        <f t="shared" si="26"/>
        <v>RO_Data[2].MIN[</v>
      </c>
      <c r="I72" s="26">
        <v>67</v>
      </c>
      <c r="J72" s="122" t="s">
        <v>23</v>
      </c>
      <c r="K72" s="122">
        <v>0</v>
      </c>
      <c r="L72" s="6" t="str">
        <f t="shared" si="27"/>
        <v>RO_Data[2].SEC[</v>
      </c>
      <c r="M72" s="26">
        <v>67</v>
      </c>
      <c r="N72" s="30" t="s">
        <v>23</v>
      </c>
      <c r="O72" s="8">
        <v>0</v>
      </c>
      <c r="P72" s="6" t="str">
        <f t="shared" si="28"/>
        <v>RO_Data[2].SETPOINT[</v>
      </c>
      <c r="Q72" s="26">
        <v>67</v>
      </c>
      <c r="R72" s="122" t="s">
        <v>23</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23</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23</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23</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23</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23</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23</v>
      </c>
      <c r="IB72" s="8"/>
      <c r="IC72" s="6" t="str">
        <f t="shared" si="36"/>
        <v>RO_Data[2].STEP_DESC[</v>
      </c>
      <c r="ID72" s="26">
        <v>67</v>
      </c>
      <c r="IE72" s="122" t="s">
        <v>23</v>
      </c>
    </row>
    <row r="73" spans="1:239" x14ac:dyDescent="0.25">
      <c r="A73" s="8">
        <v>68</v>
      </c>
      <c r="B73" s="8" t="str">
        <f t="shared" si="24"/>
        <v/>
      </c>
      <c r="C73" s="8"/>
      <c r="D73" s="6" t="str">
        <f t="shared" si="25"/>
        <v>RO_Data[2].ACK_DESC[</v>
      </c>
      <c r="E73" s="26">
        <v>68</v>
      </c>
      <c r="F73" s="122" t="s">
        <v>23</v>
      </c>
      <c r="G73" s="122">
        <v>0</v>
      </c>
      <c r="H73" s="6" t="str">
        <f t="shared" si="26"/>
        <v>RO_Data[2].MIN[</v>
      </c>
      <c r="I73" s="26">
        <v>68</v>
      </c>
      <c r="J73" s="122" t="s">
        <v>23</v>
      </c>
      <c r="K73" s="122">
        <v>0</v>
      </c>
      <c r="L73" s="6" t="str">
        <f t="shared" si="27"/>
        <v>RO_Data[2].SEC[</v>
      </c>
      <c r="M73" s="26">
        <v>68</v>
      </c>
      <c r="N73" s="30" t="s">
        <v>23</v>
      </c>
      <c r="O73" s="8">
        <v>0</v>
      </c>
      <c r="P73" s="6" t="str">
        <f t="shared" si="28"/>
        <v>RO_Data[2].SETPOINT[</v>
      </c>
      <c r="Q73" s="26">
        <v>68</v>
      </c>
      <c r="R73" s="122" t="s">
        <v>23</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23</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23</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23</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23</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23</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23</v>
      </c>
      <c r="IB73" s="8"/>
      <c r="IC73" s="6" t="str">
        <f t="shared" si="36"/>
        <v>RO_Data[2].STEP_DESC[</v>
      </c>
      <c r="ID73" s="26">
        <v>68</v>
      </c>
      <c r="IE73" s="122" t="s">
        <v>23</v>
      </c>
    </row>
    <row r="74" spans="1:239" x14ac:dyDescent="0.25">
      <c r="A74" s="8">
        <v>69</v>
      </c>
      <c r="B74" s="8" t="str">
        <f t="shared" si="24"/>
        <v/>
      </c>
      <c r="C74" s="8"/>
      <c r="D74" s="6" t="str">
        <f t="shared" si="25"/>
        <v>RO_Data[2].ACK_DESC[</v>
      </c>
      <c r="E74" s="26">
        <v>69</v>
      </c>
      <c r="F74" s="122" t="s">
        <v>23</v>
      </c>
      <c r="G74" s="122">
        <v>0</v>
      </c>
      <c r="H74" s="6" t="str">
        <f t="shared" si="26"/>
        <v>RO_Data[2].MIN[</v>
      </c>
      <c r="I74" s="26">
        <v>69</v>
      </c>
      <c r="J74" s="122" t="s">
        <v>23</v>
      </c>
      <c r="K74" s="122">
        <v>0</v>
      </c>
      <c r="L74" s="6" t="str">
        <f t="shared" si="27"/>
        <v>RO_Data[2].SEC[</v>
      </c>
      <c r="M74" s="26">
        <v>69</v>
      </c>
      <c r="N74" s="30" t="s">
        <v>23</v>
      </c>
      <c r="O74" s="8">
        <v>0</v>
      </c>
      <c r="P74" s="6" t="str">
        <f t="shared" si="28"/>
        <v>RO_Data[2].SETPOINT[</v>
      </c>
      <c r="Q74" s="26">
        <v>69</v>
      </c>
      <c r="R74" s="122" t="s">
        <v>23</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23</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23</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23</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23</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23</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23</v>
      </c>
      <c r="IB74" s="8"/>
      <c r="IC74" s="6" t="str">
        <f t="shared" si="36"/>
        <v>RO_Data[2].STEP_DESC[</v>
      </c>
      <c r="ID74" s="26">
        <v>69</v>
      </c>
      <c r="IE74" s="122" t="s">
        <v>23</v>
      </c>
    </row>
    <row r="75" spans="1:239" x14ac:dyDescent="0.25">
      <c r="A75" s="8">
        <v>70</v>
      </c>
      <c r="B75" s="8" t="str">
        <f t="shared" si="24"/>
        <v/>
      </c>
      <c r="C75" s="8"/>
      <c r="D75" s="6" t="str">
        <f t="shared" si="25"/>
        <v>RO_Data[2].ACK_DESC[</v>
      </c>
      <c r="E75" s="26">
        <v>70</v>
      </c>
      <c r="F75" s="122" t="s">
        <v>23</v>
      </c>
      <c r="G75" s="122">
        <v>0</v>
      </c>
      <c r="H75" s="6" t="str">
        <f t="shared" si="26"/>
        <v>RO_Data[2].MIN[</v>
      </c>
      <c r="I75" s="26">
        <v>70</v>
      </c>
      <c r="J75" s="122" t="s">
        <v>23</v>
      </c>
      <c r="K75" s="122">
        <v>0</v>
      </c>
      <c r="L75" s="6" t="str">
        <f t="shared" si="27"/>
        <v>RO_Data[2].SEC[</v>
      </c>
      <c r="M75" s="26">
        <v>70</v>
      </c>
      <c r="N75" s="30" t="s">
        <v>23</v>
      </c>
      <c r="O75" s="8">
        <v>0</v>
      </c>
      <c r="P75" s="6" t="str">
        <f t="shared" si="28"/>
        <v>RO_Data[2].SETPOINT[</v>
      </c>
      <c r="Q75" s="26">
        <v>70</v>
      </c>
      <c r="R75" s="122" t="s">
        <v>23</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23</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23</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23</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23</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23</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23</v>
      </c>
      <c r="IB75" s="8"/>
      <c r="IC75" s="6" t="str">
        <f t="shared" si="36"/>
        <v>RO_Data[2].STEP_DESC[</v>
      </c>
      <c r="ID75" s="26">
        <v>70</v>
      </c>
      <c r="IE75" s="122" t="s">
        <v>23</v>
      </c>
    </row>
    <row r="76" spans="1:239" x14ac:dyDescent="0.25">
      <c r="A76" s="8">
        <v>71</v>
      </c>
      <c r="B76" s="8" t="str">
        <f t="shared" si="24"/>
        <v/>
      </c>
      <c r="C76" s="8"/>
      <c r="D76" s="6" t="str">
        <f t="shared" si="25"/>
        <v>RO_Data[2].ACK_DESC[</v>
      </c>
      <c r="E76" s="26">
        <v>71</v>
      </c>
      <c r="F76" s="122" t="s">
        <v>23</v>
      </c>
      <c r="G76" s="122">
        <v>0</v>
      </c>
      <c r="H76" s="6" t="str">
        <f t="shared" si="26"/>
        <v>RO_Data[2].MIN[</v>
      </c>
      <c r="I76" s="26">
        <v>71</v>
      </c>
      <c r="J76" s="122" t="s">
        <v>23</v>
      </c>
      <c r="K76" s="122">
        <v>0</v>
      </c>
      <c r="L76" s="6" t="str">
        <f t="shared" si="27"/>
        <v>RO_Data[2].SEC[</v>
      </c>
      <c r="M76" s="26">
        <v>71</v>
      </c>
      <c r="N76" s="30" t="s">
        <v>23</v>
      </c>
      <c r="O76" s="8">
        <v>0</v>
      </c>
      <c r="P76" s="6" t="str">
        <f t="shared" si="28"/>
        <v>RO_Data[2].SETPOINT[</v>
      </c>
      <c r="Q76" s="26">
        <v>71</v>
      </c>
      <c r="R76" s="122" t="s">
        <v>23</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23</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23</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23</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23</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23</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23</v>
      </c>
      <c r="IB76" s="8"/>
      <c r="IC76" s="6" t="str">
        <f t="shared" si="36"/>
        <v>RO_Data[2].STEP_DESC[</v>
      </c>
      <c r="ID76" s="26">
        <v>71</v>
      </c>
      <c r="IE76" s="122" t="s">
        <v>23</v>
      </c>
    </row>
    <row r="77" spans="1:239" x14ac:dyDescent="0.25">
      <c r="A77" s="8">
        <v>72</v>
      </c>
      <c r="B77" s="8" t="str">
        <f t="shared" si="24"/>
        <v/>
      </c>
      <c r="C77" s="8"/>
      <c r="D77" s="6" t="str">
        <f t="shared" si="25"/>
        <v>RO_Data[2].ACK_DESC[</v>
      </c>
      <c r="E77" s="26">
        <v>72</v>
      </c>
      <c r="F77" s="122" t="s">
        <v>23</v>
      </c>
      <c r="G77" s="122">
        <v>0</v>
      </c>
      <c r="H77" s="6" t="str">
        <f t="shared" si="26"/>
        <v>RO_Data[2].MIN[</v>
      </c>
      <c r="I77" s="26">
        <v>72</v>
      </c>
      <c r="J77" s="122" t="s">
        <v>23</v>
      </c>
      <c r="K77" s="122">
        <v>0</v>
      </c>
      <c r="L77" s="6" t="str">
        <f t="shared" si="27"/>
        <v>RO_Data[2].SEC[</v>
      </c>
      <c r="M77" s="26">
        <v>72</v>
      </c>
      <c r="N77" s="30" t="s">
        <v>23</v>
      </c>
      <c r="O77" s="8">
        <v>0</v>
      </c>
      <c r="P77" s="6" t="str">
        <f t="shared" si="28"/>
        <v>RO_Data[2].SETPOINT[</v>
      </c>
      <c r="Q77" s="26">
        <v>72</v>
      </c>
      <c r="R77" s="122" t="s">
        <v>23</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23</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23</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23</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23</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23</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23</v>
      </c>
      <c r="IB77" s="8"/>
      <c r="IC77" s="6" t="str">
        <f t="shared" si="36"/>
        <v>RO_Data[2].STEP_DESC[</v>
      </c>
      <c r="ID77" s="26">
        <v>72</v>
      </c>
      <c r="IE77" s="122" t="s">
        <v>23</v>
      </c>
    </row>
    <row r="78" spans="1:239" x14ac:dyDescent="0.25">
      <c r="A78" s="8">
        <v>73</v>
      </c>
      <c r="B78" s="8" t="str">
        <f t="shared" si="24"/>
        <v/>
      </c>
      <c r="C78" s="8"/>
      <c r="D78" s="6" t="str">
        <f t="shared" si="25"/>
        <v>RO_Data[2].ACK_DESC[</v>
      </c>
      <c r="E78" s="26">
        <v>73</v>
      </c>
      <c r="F78" s="122" t="s">
        <v>23</v>
      </c>
      <c r="G78" s="122">
        <v>0</v>
      </c>
      <c r="H78" s="6" t="str">
        <f t="shared" si="26"/>
        <v>RO_Data[2].MIN[</v>
      </c>
      <c r="I78" s="26">
        <v>73</v>
      </c>
      <c r="J78" s="122" t="s">
        <v>23</v>
      </c>
      <c r="K78" s="122">
        <v>0</v>
      </c>
      <c r="L78" s="6" t="str">
        <f t="shared" si="27"/>
        <v>RO_Data[2].SEC[</v>
      </c>
      <c r="M78" s="26">
        <v>73</v>
      </c>
      <c r="N78" s="30" t="s">
        <v>23</v>
      </c>
      <c r="O78" s="8">
        <v>0</v>
      </c>
      <c r="P78" s="6" t="str">
        <f t="shared" si="28"/>
        <v>RO_Data[2].SETPOINT[</v>
      </c>
      <c r="Q78" s="26">
        <v>73</v>
      </c>
      <c r="R78" s="122" t="s">
        <v>23</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23</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23</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23</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23</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23</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23</v>
      </c>
      <c r="IB78" s="8"/>
      <c r="IC78" s="6" t="str">
        <f t="shared" si="36"/>
        <v>RO_Data[2].STEP_DESC[</v>
      </c>
      <c r="ID78" s="26">
        <v>73</v>
      </c>
      <c r="IE78" s="122" t="s">
        <v>23</v>
      </c>
    </row>
    <row r="79" spans="1:239" x14ac:dyDescent="0.25">
      <c r="A79" s="8">
        <v>74</v>
      </c>
      <c r="B79" s="8" t="str">
        <f t="shared" si="24"/>
        <v/>
      </c>
      <c r="C79" s="8"/>
      <c r="D79" s="6" t="str">
        <f t="shared" si="25"/>
        <v>RO_Data[2].ACK_DESC[</v>
      </c>
      <c r="E79" s="26">
        <v>74</v>
      </c>
      <c r="F79" s="122" t="s">
        <v>23</v>
      </c>
      <c r="G79" s="122">
        <v>0</v>
      </c>
      <c r="H79" s="6" t="str">
        <f t="shared" si="26"/>
        <v>RO_Data[2].MIN[</v>
      </c>
      <c r="I79" s="26">
        <v>74</v>
      </c>
      <c r="J79" s="122" t="s">
        <v>23</v>
      </c>
      <c r="K79" s="122">
        <v>0</v>
      </c>
      <c r="L79" s="6" t="str">
        <f t="shared" si="27"/>
        <v>RO_Data[2].SEC[</v>
      </c>
      <c r="M79" s="26">
        <v>74</v>
      </c>
      <c r="N79" s="30" t="s">
        <v>23</v>
      </c>
      <c r="O79" s="8">
        <v>0</v>
      </c>
      <c r="P79" s="6" t="str">
        <f t="shared" si="28"/>
        <v>RO_Data[2].SETPOINT[</v>
      </c>
      <c r="Q79" s="26">
        <v>74</v>
      </c>
      <c r="R79" s="122" t="s">
        <v>23</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23</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23</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23</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23</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23</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23</v>
      </c>
      <c r="IB79" s="8"/>
      <c r="IC79" s="6" t="str">
        <f t="shared" si="36"/>
        <v>RO_Data[2].STEP_DESC[</v>
      </c>
      <c r="ID79" s="26">
        <v>74</v>
      </c>
      <c r="IE79" s="122" t="s">
        <v>23</v>
      </c>
    </row>
    <row r="80" spans="1:239" x14ac:dyDescent="0.25">
      <c r="A80" s="8">
        <v>75</v>
      </c>
      <c r="B80" s="8" t="str">
        <f t="shared" si="24"/>
        <v/>
      </c>
      <c r="C80" s="8"/>
      <c r="D80" s="6" t="str">
        <f t="shared" si="25"/>
        <v>RO_Data[2].ACK_DESC[</v>
      </c>
      <c r="E80" s="26">
        <v>75</v>
      </c>
      <c r="F80" s="122" t="s">
        <v>23</v>
      </c>
      <c r="G80" s="122">
        <v>0</v>
      </c>
      <c r="H80" s="6" t="str">
        <f t="shared" si="26"/>
        <v>RO_Data[2].MIN[</v>
      </c>
      <c r="I80" s="26">
        <v>75</v>
      </c>
      <c r="J80" s="122" t="s">
        <v>23</v>
      </c>
      <c r="K80" s="122">
        <v>0</v>
      </c>
      <c r="L80" s="6" t="str">
        <f t="shared" si="27"/>
        <v>RO_Data[2].SEC[</v>
      </c>
      <c r="M80" s="26">
        <v>75</v>
      </c>
      <c r="N80" s="30" t="s">
        <v>23</v>
      </c>
      <c r="O80" s="8">
        <v>0</v>
      </c>
      <c r="P80" s="6" t="str">
        <f t="shared" si="28"/>
        <v>RO_Data[2].SETPOINT[</v>
      </c>
      <c r="Q80" s="26">
        <v>75</v>
      </c>
      <c r="R80" s="122" t="s">
        <v>23</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23</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23</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23</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23</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23</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23</v>
      </c>
      <c r="IB80" s="8"/>
      <c r="IC80" s="6" t="str">
        <f t="shared" si="36"/>
        <v>RO_Data[2].STEP_DESC[</v>
      </c>
      <c r="ID80" s="26">
        <v>75</v>
      </c>
      <c r="IE80" s="122" t="s">
        <v>23</v>
      </c>
    </row>
    <row r="81" spans="1:239" x14ac:dyDescent="0.25">
      <c r="A81" s="8">
        <v>76</v>
      </c>
      <c r="B81" s="8" t="str">
        <f t="shared" si="24"/>
        <v/>
      </c>
      <c r="C81" s="8"/>
      <c r="D81" s="6" t="str">
        <f t="shared" si="25"/>
        <v>RO_Data[2].ACK_DESC[</v>
      </c>
      <c r="E81" s="26">
        <v>76</v>
      </c>
      <c r="F81" s="122" t="s">
        <v>23</v>
      </c>
      <c r="G81" s="122">
        <v>0</v>
      </c>
      <c r="H81" s="6" t="str">
        <f t="shared" si="26"/>
        <v>RO_Data[2].MIN[</v>
      </c>
      <c r="I81" s="26">
        <v>76</v>
      </c>
      <c r="J81" s="122" t="s">
        <v>23</v>
      </c>
      <c r="K81" s="122">
        <v>0</v>
      </c>
      <c r="L81" s="6" t="str">
        <f t="shared" si="27"/>
        <v>RO_Data[2].SEC[</v>
      </c>
      <c r="M81" s="26">
        <v>76</v>
      </c>
      <c r="N81" s="30" t="s">
        <v>23</v>
      </c>
      <c r="O81" s="8">
        <v>0</v>
      </c>
      <c r="P81" s="6" t="str">
        <f t="shared" si="28"/>
        <v>RO_Data[2].SETPOINT[</v>
      </c>
      <c r="Q81" s="26">
        <v>76</v>
      </c>
      <c r="R81" s="122" t="s">
        <v>23</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23</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23</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23</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23</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23</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23</v>
      </c>
      <c r="IB81" s="8"/>
      <c r="IC81" s="6" t="str">
        <f t="shared" si="36"/>
        <v>RO_Data[2].STEP_DESC[</v>
      </c>
      <c r="ID81" s="26">
        <v>76</v>
      </c>
      <c r="IE81" s="122" t="s">
        <v>23</v>
      </c>
    </row>
    <row r="82" spans="1:239" x14ac:dyDescent="0.25">
      <c r="A82" s="8">
        <v>77</v>
      </c>
      <c r="B82" s="8" t="str">
        <f t="shared" si="24"/>
        <v/>
      </c>
      <c r="C82" s="8"/>
      <c r="D82" s="6" t="str">
        <f t="shared" si="25"/>
        <v>RO_Data[2].ACK_DESC[</v>
      </c>
      <c r="E82" s="26">
        <v>77</v>
      </c>
      <c r="F82" s="122" t="s">
        <v>23</v>
      </c>
      <c r="G82" s="122">
        <v>0</v>
      </c>
      <c r="H82" s="6" t="str">
        <f t="shared" si="26"/>
        <v>RO_Data[2].MIN[</v>
      </c>
      <c r="I82" s="26">
        <v>77</v>
      </c>
      <c r="J82" s="122" t="s">
        <v>23</v>
      </c>
      <c r="K82" s="122">
        <v>0</v>
      </c>
      <c r="L82" s="6" t="str">
        <f t="shared" si="27"/>
        <v>RO_Data[2].SEC[</v>
      </c>
      <c r="M82" s="26">
        <v>77</v>
      </c>
      <c r="N82" s="30" t="s">
        <v>23</v>
      </c>
      <c r="O82" s="8">
        <v>0</v>
      </c>
      <c r="P82" s="6" t="str">
        <f t="shared" si="28"/>
        <v>RO_Data[2].SETPOINT[</v>
      </c>
      <c r="Q82" s="26">
        <v>77</v>
      </c>
      <c r="R82" s="122" t="s">
        <v>23</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23</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23</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23</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23</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23</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23</v>
      </c>
      <c r="IB82" s="8"/>
      <c r="IC82" s="6" t="str">
        <f t="shared" si="36"/>
        <v>RO_Data[2].STEP_DESC[</v>
      </c>
      <c r="ID82" s="26">
        <v>77</v>
      </c>
      <c r="IE82" s="122" t="s">
        <v>23</v>
      </c>
    </row>
    <row r="83" spans="1:239" x14ac:dyDescent="0.25">
      <c r="A83" s="8">
        <v>78</v>
      </c>
      <c r="B83" s="8" t="str">
        <f t="shared" si="24"/>
        <v/>
      </c>
      <c r="C83" s="8"/>
      <c r="D83" s="6" t="str">
        <f t="shared" si="25"/>
        <v>RO_Data[2].ACK_DESC[</v>
      </c>
      <c r="E83" s="26">
        <v>78</v>
      </c>
      <c r="F83" s="122" t="s">
        <v>23</v>
      </c>
      <c r="G83" s="122">
        <v>0</v>
      </c>
      <c r="H83" s="6" t="str">
        <f t="shared" si="26"/>
        <v>RO_Data[2].MIN[</v>
      </c>
      <c r="I83" s="26">
        <v>78</v>
      </c>
      <c r="J83" s="122" t="s">
        <v>23</v>
      </c>
      <c r="K83" s="122">
        <v>0</v>
      </c>
      <c r="L83" s="6" t="str">
        <f t="shared" si="27"/>
        <v>RO_Data[2].SEC[</v>
      </c>
      <c r="M83" s="26">
        <v>78</v>
      </c>
      <c r="N83" s="30" t="s">
        <v>23</v>
      </c>
      <c r="O83" s="8">
        <v>0</v>
      </c>
      <c r="P83" s="6" t="str">
        <f t="shared" si="28"/>
        <v>RO_Data[2].SETPOINT[</v>
      </c>
      <c r="Q83" s="26">
        <v>78</v>
      </c>
      <c r="R83" s="122" t="s">
        <v>23</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23</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23</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23</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23</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23</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23</v>
      </c>
      <c r="IB83" s="8"/>
      <c r="IC83" s="6" t="str">
        <f t="shared" si="36"/>
        <v>RO_Data[2].STEP_DESC[</v>
      </c>
      <c r="ID83" s="26">
        <v>78</v>
      </c>
      <c r="IE83" s="122" t="s">
        <v>23</v>
      </c>
    </row>
    <row r="84" spans="1:239" x14ac:dyDescent="0.25">
      <c r="A84" s="8">
        <v>79</v>
      </c>
      <c r="B84" s="8" t="str">
        <f t="shared" si="24"/>
        <v/>
      </c>
      <c r="C84" s="8"/>
      <c r="D84" s="6" t="str">
        <f t="shared" si="25"/>
        <v>RO_Data[2].ACK_DESC[</v>
      </c>
      <c r="E84" s="26">
        <v>79</v>
      </c>
      <c r="F84" s="122" t="s">
        <v>23</v>
      </c>
      <c r="G84" s="122">
        <v>0</v>
      </c>
      <c r="H84" s="6" t="str">
        <f t="shared" si="26"/>
        <v>RO_Data[2].MIN[</v>
      </c>
      <c r="I84" s="26">
        <v>79</v>
      </c>
      <c r="J84" s="122" t="s">
        <v>23</v>
      </c>
      <c r="K84" s="122">
        <v>0</v>
      </c>
      <c r="L84" s="6" t="str">
        <f t="shared" si="27"/>
        <v>RO_Data[2].SEC[</v>
      </c>
      <c r="M84" s="26">
        <v>79</v>
      </c>
      <c r="N84" s="30" t="s">
        <v>23</v>
      </c>
      <c r="O84" s="8">
        <v>0</v>
      </c>
      <c r="P84" s="6" t="str">
        <f t="shared" si="28"/>
        <v>RO_Data[2].SETPOINT[</v>
      </c>
      <c r="Q84" s="26">
        <v>79</v>
      </c>
      <c r="R84" s="122" t="s">
        <v>23</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23</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23</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23</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23</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23</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23</v>
      </c>
      <c r="IB84" s="8"/>
      <c r="IC84" s="6" t="str">
        <f t="shared" si="36"/>
        <v>RO_Data[2].STEP_DESC[</v>
      </c>
      <c r="ID84" s="26">
        <v>79</v>
      </c>
      <c r="IE84" s="122" t="s">
        <v>23</v>
      </c>
    </row>
    <row r="85" spans="1:239" x14ac:dyDescent="0.25">
      <c r="A85" s="8">
        <v>80</v>
      </c>
      <c r="B85" s="8" t="str">
        <f t="shared" si="24"/>
        <v/>
      </c>
      <c r="C85" s="8"/>
      <c r="D85" s="6" t="str">
        <f t="shared" si="25"/>
        <v>RO_Data[2].ACK_DESC[</v>
      </c>
      <c r="E85" s="26">
        <v>80</v>
      </c>
      <c r="F85" s="122" t="s">
        <v>23</v>
      </c>
      <c r="G85" s="122">
        <v>0</v>
      </c>
      <c r="H85" s="6" t="str">
        <f t="shared" si="26"/>
        <v>RO_Data[2].MIN[</v>
      </c>
      <c r="I85" s="26">
        <v>80</v>
      </c>
      <c r="J85" s="122" t="s">
        <v>23</v>
      </c>
      <c r="K85" s="122">
        <v>0</v>
      </c>
      <c r="L85" s="6" t="str">
        <f t="shared" si="27"/>
        <v>RO_Data[2].SEC[</v>
      </c>
      <c r="M85" s="26">
        <v>80</v>
      </c>
      <c r="N85" s="30" t="s">
        <v>23</v>
      </c>
      <c r="O85" s="8">
        <v>0</v>
      </c>
      <c r="P85" s="6" t="str">
        <f t="shared" si="28"/>
        <v>RO_Data[2].SETPOINT[</v>
      </c>
      <c r="Q85" s="26">
        <v>80</v>
      </c>
      <c r="R85" s="122" t="s">
        <v>23</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23</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23</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23</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23</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23</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23</v>
      </c>
      <c r="IB85" s="8"/>
      <c r="IC85" s="6" t="str">
        <f t="shared" si="36"/>
        <v>RO_Data[2].STEP_DESC[</v>
      </c>
      <c r="ID85" s="26">
        <v>80</v>
      </c>
      <c r="IE85" s="122" t="s">
        <v>23</v>
      </c>
    </row>
    <row r="86" spans="1:239" x14ac:dyDescent="0.25">
      <c r="A86" s="8">
        <v>81</v>
      </c>
      <c r="B86" s="8" t="str">
        <f t="shared" si="24"/>
        <v/>
      </c>
      <c r="C86" s="8"/>
      <c r="D86" s="6" t="str">
        <f t="shared" si="25"/>
        <v>RO_Data[2].ACK_DESC[</v>
      </c>
      <c r="E86" s="26">
        <v>81</v>
      </c>
      <c r="F86" s="122" t="s">
        <v>23</v>
      </c>
      <c r="G86" s="122">
        <v>0</v>
      </c>
      <c r="H86" s="6" t="str">
        <f t="shared" si="26"/>
        <v>RO_Data[2].MIN[</v>
      </c>
      <c r="I86" s="26">
        <v>81</v>
      </c>
      <c r="J86" s="122" t="s">
        <v>23</v>
      </c>
      <c r="K86" s="122">
        <v>0</v>
      </c>
      <c r="L86" s="6" t="str">
        <f t="shared" si="27"/>
        <v>RO_Data[2].SEC[</v>
      </c>
      <c r="M86" s="26">
        <v>81</v>
      </c>
      <c r="N86" s="30" t="s">
        <v>23</v>
      </c>
      <c r="O86" s="8">
        <v>0</v>
      </c>
      <c r="P86" s="6" t="str">
        <f t="shared" si="28"/>
        <v>RO_Data[2].SETPOINT[</v>
      </c>
      <c r="Q86" s="26">
        <v>81</v>
      </c>
      <c r="R86" s="122" t="s">
        <v>23</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23</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23</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23</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23</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23</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23</v>
      </c>
      <c r="IB86" s="8"/>
      <c r="IC86" s="6" t="str">
        <f t="shared" si="36"/>
        <v>RO_Data[2].STEP_DESC[</v>
      </c>
      <c r="ID86" s="26">
        <v>81</v>
      </c>
      <c r="IE86" s="122" t="s">
        <v>23</v>
      </c>
    </row>
    <row r="87" spans="1:239" x14ac:dyDescent="0.25">
      <c r="A87" s="8">
        <v>82</v>
      </c>
      <c r="B87" s="8" t="str">
        <f t="shared" si="24"/>
        <v/>
      </c>
      <c r="C87" s="8"/>
      <c r="D87" s="6" t="str">
        <f t="shared" si="25"/>
        <v>RO_Data[2].ACK_DESC[</v>
      </c>
      <c r="E87" s="26">
        <v>82</v>
      </c>
      <c r="F87" s="122" t="s">
        <v>23</v>
      </c>
      <c r="G87" s="122">
        <v>0</v>
      </c>
      <c r="H87" s="6" t="str">
        <f t="shared" si="26"/>
        <v>RO_Data[2].MIN[</v>
      </c>
      <c r="I87" s="26">
        <v>82</v>
      </c>
      <c r="J87" s="122" t="s">
        <v>23</v>
      </c>
      <c r="K87" s="122">
        <v>0</v>
      </c>
      <c r="L87" s="6" t="str">
        <f t="shared" si="27"/>
        <v>RO_Data[2].SEC[</v>
      </c>
      <c r="M87" s="26">
        <v>82</v>
      </c>
      <c r="N87" s="30" t="s">
        <v>23</v>
      </c>
      <c r="O87" s="8">
        <v>0</v>
      </c>
      <c r="P87" s="6" t="str">
        <f t="shared" si="28"/>
        <v>RO_Data[2].SETPOINT[</v>
      </c>
      <c r="Q87" s="26">
        <v>82</v>
      </c>
      <c r="R87" s="122" t="s">
        <v>23</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23</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23</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23</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23</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23</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23</v>
      </c>
      <c r="IB87" s="8"/>
      <c r="IC87" s="6" t="str">
        <f t="shared" si="36"/>
        <v>RO_Data[2].STEP_DESC[</v>
      </c>
      <c r="ID87" s="26">
        <v>82</v>
      </c>
      <c r="IE87" s="122" t="s">
        <v>23</v>
      </c>
    </row>
    <row r="88" spans="1:239" x14ac:dyDescent="0.25">
      <c r="A88" s="8">
        <v>83</v>
      </c>
      <c r="B88" s="8" t="str">
        <f t="shared" si="24"/>
        <v/>
      </c>
      <c r="C88" s="8"/>
      <c r="D88" s="6" t="str">
        <f t="shared" si="25"/>
        <v>RO_Data[2].ACK_DESC[</v>
      </c>
      <c r="E88" s="26">
        <v>83</v>
      </c>
      <c r="F88" s="122" t="s">
        <v>23</v>
      </c>
      <c r="G88" s="122">
        <v>0</v>
      </c>
      <c r="H88" s="6" t="str">
        <f t="shared" si="26"/>
        <v>RO_Data[2].MIN[</v>
      </c>
      <c r="I88" s="26">
        <v>83</v>
      </c>
      <c r="J88" s="122" t="s">
        <v>23</v>
      </c>
      <c r="K88" s="122">
        <v>0</v>
      </c>
      <c r="L88" s="6" t="str">
        <f t="shared" si="27"/>
        <v>RO_Data[2].SEC[</v>
      </c>
      <c r="M88" s="26">
        <v>83</v>
      </c>
      <c r="N88" s="30" t="s">
        <v>23</v>
      </c>
      <c r="O88" s="8">
        <v>0</v>
      </c>
      <c r="P88" s="6" t="str">
        <f t="shared" si="28"/>
        <v>RO_Data[2].SETPOINT[</v>
      </c>
      <c r="Q88" s="26">
        <v>83</v>
      </c>
      <c r="R88" s="122" t="s">
        <v>23</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23</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23</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23</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23</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23</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23</v>
      </c>
      <c r="IB88" s="8"/>
      <c r="IC88" s="6" t="str">
        <f t="shared" si="36"/>
        <v>RO_Data[2].STEP_DESC[</v>
      </c>
      <c r="ID88" s="26">
        <v>83</v>
      </c>
      <c r="IE88" s="122" t="s">
        <v>23</v>
      </c>
    </row>
    <row r="89" spans="1:239" x14ac:dyDescent="0.25">
      <c r="A89" s="8">
        <v>84</v>
      </c>
      <c r="B89" s="8" t="str">
        <f t="shared" si="24"/>
        <v/>
      </c>
      <c r="C89" s="8"/>
      <c r="D89" s="6" t="str">
        <f t="shared" si="25"/>
        <v>RO_Data[2].ACK_DESC[</v>
      </c>
      <c r="E89" s="26">
        <v>84</v>
      </c>
      <c r="F89" s="122" t="s">
        <v>23</v>
      </c>
      <c r="G89" s="122">
        <v>0</v>
      </c>
      <c r="H89" s="6" t="str">
        <f t="shared" si="26"/>
        <v>RO_Data[2].MIN[</v>
      </c>
      <c r="I89" s="26">
        <v>84</v>
      </c>
      <c r="J89" s="122" t="s">
        <v>23</v>
      </c>
      <c r="K89" s="122">
        <v>0</v>
      </c>
      <c r="L89" s="6" t="str">
        <f t="shared" si="27"/>
        <v>RO_Data[2].SEC[</v>
      </c>
      <c r="M89" s="26">
        <v>84</v>
      </c>
      <c r="N89" s="30" t="s">
        <v>23</v>
      </c>
      <c r="O89" s="8">
        <v>0</v>
      </c>
      <c r="P89" s="6" t="str">
        <f t="shared" si="28"/>
        <v>RO_Data[2].SETPOINT[</v>
      </c>
      <c r="Q89" s="26">
        <v>84</v>
      </c>
      <c r="R89" s="122" t="s">
        <v>23</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23</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23</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23</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23</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23</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23</v>
      </c>
      <c r="IB89" s="8"/>
      <c r="IC89" s="6" t="str">
        <f t="shared" si="36"/>
        <v>RO_Data[2].STEP_DESC[</v>
      </c>
      <c r="ID89" s="26">
        <v>84</v>
      </c>
      <c r="IE89" s="122" t="s">
        <v>23</v>
      </c>
    </row>
    <row r="90" spans="1:239" x14ac:dyDescent="0.25">
      <c r="A90" s="8">
        <v>85</v>
      </c>
      <c r="B90" s="8" t="str">
        <f t="shared" si="24"/>
        <v/>
      </c>
      <c r="C90" s="8"/>
      <c r="D90" s="6" t="str">
        <f t="shared" si="25"/>
        <v>RO_Data[2].ACK_DESC[</v>
      </c>
      <c r="E90" s="26">
        <v>85</v>
      </c>
      <c r="F90" s="122" t="s">
        <v>23</v>
      </c>
      <c r="G90" s="122">
        <v>0</v>
      </c>
      <c r="H90" s="6" t="str">
        <f t="shared" si="26"/>
        <v>RO_Data[2].MIN[</v>
      </c>
      <c r="I90" s="26">
        <v>85</v>
      </c>
      <c r="J90" s="122" t="s">
        <v>23</v>
      </c>
      <c r="K90" s="122">
        <v>0</v>
      </c>
      <c r="L90" s="6" t="str">
        <f t="shared" si="27"/>
        <v>RO_Data[2].SEC[</v>
      </c>
      <c r="M90" s="26">
        <v>85</v>
      </c>
      <c r="N90" s="30" t="s">
        <v>23</v>
      </c>
      <c r="O90" s="8">
        <v>0</v>
      </c>
      <c r="P90" s="6" t="str">
        <f t="shared" si="28"/>
        <v>RO_Data[2].SETPOINT[</v>
      </c>
      <c r="Q90" s="26">
        <v>85</v>
      </c>
      <c r="R90" s="122" t="s">
        <v>23</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23</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23</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23</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23</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23</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23</v>
      </c>
      <c r="IB90" s="8"/>
      <c r="IC90" s="6" t="str">
        <f t="shared" si="36"/>
        <v>RO_Data[2].STEP_DESC[</v>
      </c>
      <c r="ID90" s="26">
        <v>85</v>
      </c>
      <c r="IE90" s="122" t="s">
        <v>23</v>
      </c>
    </row>
    <row r="91" spans="1:239" x14ac:dyDescent="0.25">
      <c r="A91" s="8">
        <v>86</v>
      </c>
      <c r="B91" s="8" t="str">
        <f t="shared" si="24"/>
        <v/>
      </c>
      <c r="C91" s="8"/>
      <c r="D91" s="6" t="str">
        <f t="shared" si="25"/>
        <v>RO_Data[2].ACK_DESC[</v>
      </c>
      <c r="E91" s="26">
        <v>86</v>
      </c>
      <c r="F91" s="122" t="s">
        <v>23</v>
      </c>
      <c r="G91" s="122">
        <v>0</v>
      </c>
      <c r="H91" s="6" t="str">
        <f t="shared" si="26"/>
        <v>RO_Data[2].MIN[</v>
      </c>
      <c r="I91" s="26">
        <v>86</v>
      </c>
      <c r="J91" s="122" t="s">
        <v>23</v>
      </c>
      <c r="K91" s="122">
        <v>0</v>
      </c>
      <c r="L91" s="6" t="str">
        <f t="shared" si="27"/>
        <v>RO_Data[2].SEC[</v>
      </c>
      <c r="M91" s="26">
        <v>86</v>
      </c>
      <c r="N91" s="30" t="s">
        <v>23</v>
      </c>
      <c r="O91" s="8">
        <v>0</v>
      </c>
      <c r="P91" s="6" t="str">
        <f t="shared" si="28"/>
        <v>RO_Data[2].SETPOINT[</v>
      </c>
      <c r="Q91" s="26">
        <v>86</v>
      </c>
      <c r="R91" s="122" t="s">
        <v>23</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23</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23</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23</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23</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23</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23</v>
      </c>
      <c r="IB91" s="8"/>
      <c r="IC91" s="6" t="str">
        <f t="shared" si="36"/>
        <v>RO_Data[2].STEP_DESC[</v>
      </c>
      <c r="ID91" s="26">
        <v>86</v>
      </c>
      <c r="IE91" s="122" t="s">
        <v>23</v>
      </c>
    </row>
    <row r="92" spans="1:239" x14ac:dyDescent="0.25">
      <c r="A92" s="8">
        <v>87</v>
      </c>
      <c r="B92" s="8" t="str">
        <f t="shared" si="24"/>
        <v/>
      </c>
      <c r="C92" s="8"/>
      <c r="D92" s="6" t="str">
        <f t="shared" si="25"/>
        <v>RO_Data[2].ACK_DESC[</v>
      </c>
      <c r="E92" s="26">
        <v>87</v>
      </c>
      <c r="F92" s="122" t="s">
        <v>23</v>
      </c>
      <c r="G92" s="122">
        <v>0</v>
      </c>
      <c r="H92" s="6" t="str">
        <f t="shared" si="26"/>
        <v>RO_Data[2].MIN[</v>
      </c>
      <c r="I92" s="26">
        <v>87</v>
      </c>
      <c r="J92" s="122" t="s">
        <v>23</v>
      </c>
      <c r="K92" s="122">
        <v>0</v>
      </c>
      <c r="L92" s="6" t="str">
        <f t="shared" si="27"/>
        <v>RO_Data[2].SEC[</v>
      </c>
      <c r="M92" s="26">
        <v>87</v>
      </c>
      <c r="N92" s="30" t="s">
        <v>23</v>
      </c>
      <c r="O92" s="8">
        <v>0</v>
      </c>
      <c r="P92" s="6" t="str">
        <f t="shared" si="28"/>
        <v>RO_Data[2].SETPOINT[</v>
      </c>
      <c r="Q92" s="26">
        <v>87</v>
      </c>
      <c r="R92" s="122" t="s">
        <v>23</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23</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23</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23</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23</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23</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23</v>
      </c>
      <c r="IB92" s="8"/>
      <c r="IC92" s="6" t="str">
        <f t="shared" si="36"/>
        <v>RO_Data[2].STEP_DESC[</v>
      </c>
      <c r="ID92" s="26">
        <v>87</v>
      </c>
      <c r="IE92" s="122" t="s">
        <v>23</v>
      </c>
    </row>
    <row r="93" spans="1:239" x14ac:dyDescent="0.25">
      <c r="A93" s="8">
        <v>88</v>
      </c>
      <c r="B93" s="8" t="str">
        <f t="shared" si="24"/>
        <v/>
      </c>
      <c r="C93" s="8"/>
      <c r="D93" s="6" t="str">
        <f t="shared" si="25"/>
        <v>RO_Data[2].ACK_DESC[</v>
      </c>
      <c r="E93" s="26">
        <v>88</v>
      </c>
      <c r="F93" s="122" t="s">
        <v>23</v>
      </c>
      <c r="G93" s="122">
        <v>0</v>
      </c>
      <c r="H93" s="6" t="str">
        <f t="shared" si="26"/>
        <v>RO_Data[2].MIN[</v>
      </c>
      <c r="I93" s="26">
        <v>88</v>
      </c>
      <c r="J93" s="122" t="s">
        <v>23</v>
      </c>
      <c r="K93" s="122">
        <v>0</v>
      </c>
      <c r="L93" s="6" t="str">
        <f t="shared" si="27"/>
        <v>RO_Data[2].SEC[</v>
      </c>
      <c r="M93" s="26">
        <v>88</v>
      </c>
      <c r="N93" s="30" t="s">
        <v>23</v>
      </c>
      <c r="O93" s="8">
        <v>0</v>
      </c>
      <c r="P93" s="6" t="str">
        <f t="shared" si="28"/>
        <v>RO_Data[2].SETPOINT[</v>
      </c>
      <c r="Q93" s="26">
        <v>88</v>
      </c>
      <c r="R93" s="122" t="s">
        <v>23</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23</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23</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23</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23</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23</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23</v>
      </c>
      <c r="IB93" s="8"/>
      <c r="IC93" s="6" t="str">
        <f t="shared" si="36"/>
        <v>RO_Data[2].STEP_DESC[</v>
      </c>
      <c r="ID93" s="26">
        <v>88</v>
      </c>
      <c r="IE93" s="122" t="s">
        <v>23</v>
      </c>
    </row>
    <row r="94" spans="1:239" x14ac:dyDescent="0.25">
      <c r="A94" s="8">
        <v>89</v>
      </c>
      <c r="B94" s="8" t="str">
        <f t="shared" si="24"/>
        <v/>
      </c>
      <c r="C94" s="8"/>
      <c r="D94" s="6" t="str">
        <f t="shared" si="25"/>
        <v>RO_Data[2].ACK_DESC[</v>
      </c>
      <c r="E94" s="26">
        <v>89</v>
      </c>
      <c r="F94" s="122" t="s">
        <v>23</v>
      </c>
      <c r="G94" s="122">
        <v>0</v>
      </c>
      <c r="H94" s="6" t="str">
        <f t="shared" si="26"/>
        <v>RO_Data[2].MIN[</v>
      </c>
      <c r="I94" s="26">
        <v>89</v>
      </c>
      <c r="J94" s="122" t="s">
        <v>23</v>
      </c>
      <c r="K94" s="122">
        <v>0</v>
      </c>
      <c r="L94" s="6" t="str">
        <f t="shared" si="27"/>
        <v>RO_Data[2].SEC[</v>
      </c>
      <c r="M94" s="26">
        <v>89</v>
      </c>
      <c r="N94" s="30" t="s">
        <v>23</v>
      </c>
      <c r="O94" s="8">
        <v>0</v>
      </c>
      <c r="P94" s="6" t="str">
        <f t="shared" si="28"/>
        <v>RO_Data[2].SETPOINT[</v>
      </c>
      <c r="Q94" s="26">
        <v>89</v>
      </c>
      <c r="R94" s="122" t="s">
        <v>23</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23</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23</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23</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23</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23</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23</v>
      </c>
      <c r="IB94" s="8"/>
      <c r="IC94" s="6" t="str">
        <f t="shared" si="36"/>
        <v>RO_Data[2].STEP_DESC[</v>
      </c>
      <c r="ID94" s="26">
        <v>89</v>
      </c>
      <c r="IE94" s="122" t="s">
        <v>23</v>
      </c>
    </row>
    <row r="95" spans="1:239" x14ac:dyDescent="0.25">
      <c r="A95" s="8">
        <v>90</v>
      </c>
      <c r="B95" s="8" t="str">
        <f t="shared" si="24"/>
        <v/>
      </c>
      <c r="C95" s="8"/>
      <c r="D95" s="6" t="str">
        <f t="shared" si="25"/>
        <v>RO_Data[2].ACK_DESC[</v>
      </c>
      <c r="E95" s="26">
        <v>90</v>
      </c>
      <c r="F95" s="122" t="s">
        <v>23</v>
      </c>
      <c r="G95" s="122">
        <v>0</v>
      </c>
      <c r="H95" s="6" t="str">
        <f t="shared" si="26"/>
        <v>RO_Data[2].MIN[</v>
      </c>
      <c r="I95" s="26">
        <v>90</v>
      </c>
      <c r="J95" s="122" t="s">
        <v>23</v>
      </c>
      <c r="K95" s="122">
        <v>0</v>
      </c>
      <c r="L95" s="6" t="str">
        <f t="shared" si="27"/>
        <v>RO_Data[2].SEC[</v>
      </c>
      <c r="M95" s="26">
        <v>90</v>
      </c>
      <c r="N95" s="30" t="s">
        <v>23</v>
      </c>
      <c r="O95" s="8">
        <v>0</v>
      </c>
      <c r="P95" s="6" t="str">
        <f t="shared" si="28"/>
        <v>RO_Data[2].SETPOINT[</v>
      </c>
      <c r="Q95" s="26">
        <v>90</v>
      </c>
      <c r="R95" s="122" t="s">
        <v>23</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23</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23</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23</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23</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23</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23</v>
      </c>
      <c r="IB95" s="8"/>
      <c r="IC95" s="6" t="str">
        <f t="shared" si="36"/>
        <v>RO_Data[2].STEP_DESC[</v>
      </c>
      <c r="ID95" s="26">
        <v>90</v>
      </c>
      <c r="IE95" s="122" t="s">
        <v>23</v>
      </c>
    </row>
    <row r="96" spans="1:239" x14ac:dyDescent="0.25">
      <c r="A96" s="8">
        <v>91</v>
      </c>
      <c r="B96" s="8" t="str">
        <f t="shared" si="24"/>
        <v/>
      </c>
      <c r="C96" s="8"/>
      <c r="D96" s="6" t="str">
        <f t="shared" si="25"/>
        <v>RO_Data[2].ACK_DESC[</v>
      </c>
      <c r="E96" s="26">
        <v>91</v>
      </c>
      <c r="F96" s="122" t="s">
        <v>23</v>
      </c>
      <c r="G96" s="122">
        <v>0</v>
      </c>
      <c r="H96" s="6" t="str">
        <f t="shared" si="26"/>
        <v>RO_Data[2].MIN[</v>
      </c>
      <c r="I96" s="26">
        <v>91</v>
      </c>
      <c r="J96" s="122" t="s">
        <v>23</v>
      </c>
      <c r="K96" s="122">
        <v>0</v>
      </c>
      <c r="L96" s="6" t="str">
        <f t="shared" si="27"/>
        <v>RO_Data[2].SEC[</v>
      </c>
      <c r="M96" s="26">
        <v>91</v>
      </c>
      <c r="N96" s="30" t="s">
        <v>23</v>
      </c>
      <c r="O96" s="8">
        <v>0</v>
      </c>
      <c r="P96" s="6" t="str">
        <f t="shared" si="28"/>
        <v>RO_Data[2].SETPOINT[</v>
      </c>
      <c r="Q96" s="26">
        <v>91</v>
      </c>
      <c r="R96" s="122" t="s">
        <v>23</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23</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23</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23</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23</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23</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23</v>
      </c>
      <c r="IB96" s="8"/>
      <c r="IC96" s="6" t="str">
        <f t="shared" si="36"/>
        <v>RO_Data[2].STEP_DESC[</v>
      </c>
      <c r="ID96" s="26">
        <v>91</v>
      </c>
      <c r="IE96" s="122" t="s">
        <v>23</v>
      </c>
    </row>
    <row r="97" spans="1:239" x14ac:dyDescent="0.25">
      <c r="A97" s="8">
        <v>92</v>
      </c>
      <c r="B97" s="8" t="str">
        <f t="shared" si="24"/>
        <v/>
      </c>
      <c r="C97" s="8"/>
      <c r="D97" s="6" t="str">
        <f t="shared" si="25"/>
        <v>RO_Data[2].ACK_DESC[</v>
      </c>
      <c r="E97" s="26">
        <v>92</v>
      </c>
      <c r="F97" s="122" t="s">
        <v>23</v>
      </c>
      <c r="G97" s="122">
        <v>0</v>
      </c>
      <c r="H97" s="6" t="str">
        <f t="shared" si="26"/>
        <v>RO_Data[2].MIN[</v>
      </c>
      <c r="I97" s="26">
        <v>92</v>
      </c>
      <c r="J97" s="122" t="s">
        <v>23</v>
      </c>
      <c r="K97" s="122">
        <v>0</v>
      </c>
      <c r="L97" s="6" t="str">
        <f t="shared" si="27"/>
        <v>RO_Data[2].SEC[</v>
      </c>
      <c r="M97" s="26">
        <v>92</v>
      </c>
      <c r="N97" s="30" t="s">
        <v>23</v>
      </c>
      <c r="O97" s="8">
        <v>0</v>
      </c>
      <c r="P97" s="6" t="str">
        <f t="shared" si="28"/>
        <v>RO_Data[2].SETPOINT[</v>
      </c>
      <c r="Q97" s="26">
        <v>92</v>
      </c>
      <c r="R97" s="122" t="s">
        <v>23</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23</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23</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23</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23</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23</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23</v>
      </c>
      <c r="IB97" s="8"/>
      <c r="IC97" s="6" t="str">
        <f t="shared" si="36"/>
        <v>RO_Data[2].STEP_DESC[</v>
      </c>
      <c r="ID97" s="26">
        <v>92</v>
      </c>
      <c r="IE97" s="122" t="s">
        <v>23</v>
      </c>
    </row>
    <row r="98" spans="1:239" x14ac:dyDescent="0.25">
      <c r="A98" s="8">
        <v>93</v>
      </c>
      <c r="B98" s="8" t="str">
        <f t="shared" si="24"/>
        <v/>
      </c>
      <c r="C98" s="8"/>
      <c r="D98" s="6" t="str">
        <f t="shared" si="25"/>
        <v>RO_Data[2].ACK_DESC[</v>
      </c>
      <c r="E98" s="26">
        <v>93</v>
      </c>
      <c r="F98" s="122" t="s">
        <v>23</v>
      </c>
      <c r="G98" s="122">
        <v>0</v>
      </c>
      <c r="H98" s="6" t="str">
        <f t="shared" si="26"/>
        <v>RO_Data[2].MIN[</v>
      </c>
      <c r="I98" s="26">
        <v>93</v>
      </c>
      <c r="J98" s="122" t="s">
        <v>23</v>
      </c>
      <c r="K98" s="122">
        <v>0</v>
      </c>
      <c r="L98" s="6" t="str">
        <f t="shared" si="27"/>
        <v>RO_Data[2].SEC[</v>
      </c>
      <c r="M98" s="26">
        <v>93</v>
      </c>
      <c r="N98" s="30" t="s">
        <v>23</v>
      </c>
      <c r="O98" s="8">
        <v>0</v>
      </c>
      <c r="P98" s="6" t="str">
        <f t="shared" si="28"/>
        <v>RO_Data[2].SETPOINT[</v>
      </c>
      <c r="Q98" s="26">
        <v>93</v>
      </c>
      <c r="R98" s="122" t="s">
        <v>23</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23</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23</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23</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23</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23</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23</v>
      </c>
      <c r="IB98" s="8"/>
      <c r="IC98" s="6" t="str">
        <f t="shared" si="36"/>
        <v>RO_Data[2].STEP_DESC[</v>
      </c>
      <c r="ID98" s="26">
        <v>93</v>
      </c>
      <c r="IE98" s="122" t="s">
        <v>23</v>
      </c>
    </row>
    <row r="99" spans="1:239" x14ac:dyDescent="0.25">
      <c r="A99" s="8">
        <v>94</v>
      </c>
      <c r="B99" s="8" t="str">
        <f t="shared" si="24"/>
        <v/>
      </c>
      <c r="C99" s="8"/>
      <c r="D99" s="6" t="str">
        <f t="shared" si="25"/>
        <v>RO_Data[2].ACK_DESC[</v>
      </c>
      <c r="E99" s="26">
        <v>94</v>
      </c>
      <c r="F99" s="122" t="s">
        <v>23</v>
      </c>
      <c r="G99" s="122">
        <v>0</v>
      </c>
      <c r="H99" s="6" t="str">
        <f t="shared" si="26"/>
        <v>RO_Data[2].MIN[</v>
      </c>
      <c r="I99" s="26">
        <v>94</v>
      </c>
      <c r="J99" s="122" t="s">
        <v>23</v>
      </c>
      <c r="K99" s="122">
        <v>0</v>
      </c>
      <c r="L99" s="6" t="str">
        <f t="shared" si="27"/>
        <v>RO_Data[2].SEC[</v>
      </c>
      <c r="M99" s="26">
        <v>94</v>
      </c>
      <c r="N99" s="30" t="s">
        <v>23</v>
      </c>
      <c r="O99" s="8">
        <v>0</v>
      </c>
      <c r="P99" s="6" t="str">
        <f t="shared" si="28"/>
        <v>RO_Data[2].SETPOINT[</v>
      </c>
      <c r="Q99" s="26">
        <v>94</v>
      </c>
      <c r="R99" s="122" t="s">
        <v>23</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23</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23</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23</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23</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23</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23</v>
      </c>
      <c r="IB99" s="8"/>
      <c r="IC99" s="6" t="str">
        <f t="shared" si="36"/>
        <v>RO_Data[2].STEP_DESC[</v>
      </c>
      <c r="ID99" s="26">
        <v>94</v>
      </c>
      <c r="IE99" s="122" t="s">
        <v>23</v>
      </c>
    </row>
    <row r="100" spans="1:239" x14ac:dyDescent="0.25">
      <c r="A100" s="8">
        <v>95</v>
      </c>
      <c r="B100" s="8" t="str">
        <f t="shared" si="24"/>
        <v/>
      </c>
      <c r="C100" s="8"/>
      <c r="D100" s="6" t="str">
        <f t="shared" si="25"/>
        <v>RO_Data[2].ACK_DESC[</v>
      </c>
      <c r="E100" s="26">
        <v>95</v>
      </c>
      <c r="F100" s="122" t="s">
        <v>23</v>
      </c>
      <c r="G100" s="122">
        <v>0</v>
      </c>
      <c r="H100" s="6" t="str">
        <f t="shared" si="26"/>
        <v>RO_Data[2].MIN[</v>
      </c>
      <c r="I100" s="26">
        <v>95</v>
      </c>
      <c r="J100" s="122" t="s">
        <v>23</v>
      </c>
      <c r="K100" s="122">
        <v>0</v>
      </c>
      <c r="L100" s="6" t="str">
        <f t="shared" si="27"/>
        <v>RO_Data[2].SEC[</v>
      </c>
      <c r="M100" s="26">
        <v>95</v>
      </c>
      <c r="N100" s="30" t="s">
        <v>23</v>
      </c>
      <c r="O100" s="8">
        <v>0</v>
      </c>
      <c r="P100" s="6" t="str">
        <f t="shared" si="28"/>
        <v>RO_Data[2].SETPOINT[</v>
      </c>
      <c r="Q100" s="26">
        <v>95</v>
      </c>
      <c r="R100" s="122" t="s">
        <v>23</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23</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23</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23</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23</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23</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23</v>
      </c>
      <c r="IB100" s="8"/>
      <c r="IC100" s="6" t="str">
        <f t="shared" si="36"/>
        <v>RO_Data[2].STEP_DESC[</v>
      </c>
      <c r="ID100" s="26">
        <v>95</v>
      </c>
      <c r="IE100" s="122" t="s">
        <v>23</v>
      </c>
    </row>
    <row r="101" spans="1:239" x14ac:dyDescent="0.25">
      <c r="A101" s="8">
        <v>96</v>
      </c>
      <c r="B101" s="8" t="str">
        <f t="shared" si="24"/>
        <v/>
      </c>
      <c r="C101" s="8"/>
      <c r="D101" s="6" t="str">
        <f t="shared" si="25"/>
        <v>RO_Data[2].ACK_DESC[</v>
      </c>
      <c r="E101" s="26">
        <v>96</v>
      </c>
      <c r="F101" s="122" t="s">
        <v>23</v>
      </c>
      <c r="G101" s="122">
        <v>0</v>
      </c>
      <c r="H101" s="6" t="str">
        <f t="shared" si="26"/>
        <v>RO_Data[2].MIN[</v>
      </c>
      <c r="I101" s="26">
        <v>96</v>
      </c>
      <c r="J101" s="122" t="s">
        <v>23</v>
      </c>
      <c r="K101" s="122">
        <v>0</v>
      </c>
      <c r="L101" s="6" t="str">
        <f t="shared" si="27"/>
        <v>RO_Data[2].SEC[</v>
      </c>
      <c r="M101" s="26">
        <v>96</v>
      </c>
      <c r="N101" s="30" t="s">
        <v>23</v>
      </c>
      <c r="O101" s="8">
        <v>0</v>
      </c>
      <c r="P101" s="6" t="str">
        <f t="shared" si="28"/>
        <v>RO_Data[2].SETPOINT[</v>
      </c>
      <c r="Q101" s="26">
        <v>96</v>
      </c>
      <c r="R101" s="122" t="s">
        <v>23</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23</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23</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23</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23</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23</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23</v>
      </c>
      <c r="IB101" s="8"/>
      <c r="IC101" s="6" t="str">
        <f t="shared" si="36"/>
        <v>RO_Data[2].STEP_DESC[</v>
      </c>
      <c r="ID101" s="26">
        <v>96</v>
      </c>
      <c r="IE101" s="122" t="s">
        <v>23</v>
      </c>
    </row>
    <row r="102" spans="1:239" x14ac:dyDescent="0.25">
      <c r="A102" s="8">
        <v>97</v>
      </c>
      <c r="B102" s="8" t="str">
        <f t="shared" si="24"/>
        <v/>
      </c>
      <c r="C102" s="8"/>
      <c r="D102" s="6" t="str">
        <f t="shared" si="25"/>
        <v>RO_Data[2].ACK_DESC[</v>
      </c>
      <c r="E102" s="26">
        <v>97</v>
      </c>
      <c r="F102" s="122" t="s">
        <v>23</v>
      </c>
      <c r="G102" s="122">
        <v>0</v>
      </c>
      <c r="H102" s="6" t="str">
        <f t="shared" si="26"/>
        <v>RO_Data[2].MIN[</v>
      </c>
      <c r="I102" s="26">
        <v>97</v>
      </c>
      <c r="J102" s="122" t="s">
        <v>23</v>
      </c>
      <c r="K102" s="122">
        <v>0</v>
      </c>
      <c r="L102" s="6" t="str">
        <f t="shared" si="27"/>
        <v>RO_Data[2].SEC[</v>
      </c>
      <c r="M102" s="26">
        <v>97</v>
      </c>
      <c r="N102" s="30" t="s">
        <v>23</v>
      </c>
      <c r="O102" s="8">
        <v>0</v>
      </c>
      <c r="P102" s="6" t="str">
        <f t="shared" si="28"/>
        <v>RO_Data[2].SETPOINT[</v>
      </c>
      <c r="Q102" s="26">
        <v>97</v>
      </c>
      <c r="R102" s="122" t="s">
        <v>23</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23</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23</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23</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23</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23</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23</v>
      </c>
      <c r="IB102" s="8"/>
      <c r="IC102" s="6" t="str">
        <f t="shared" si="36"/>
        <v>RO_Data[2].STEP_DESC[</v>
      </c>
      <c r="ID102" s="26">
        <v>97</v>
      </c>
      <c r="IE102" s="122" t="s">
        <v>23</v>
      </c>
    </row>
    <row r="103" spans="1:239" x14ac:dyDescent="0.25">
      <c r="A103" s="8">
        <v>98</v>
      </c>
      <c r="B103" s="8" t="str">
        <f t="shared" si="24"/>
        <v/>
      </c>
      <c r="C103" s="8"/>
      <c r="D103" s="6" t="str">
        <f t="shared" si="25"/>
        <v>RO_Data[2].ACK_DESC[</v>
      </c>
      <c r="E103" s="26">
        <v>98</v>
      </c>
      <c r="F103" s="122" t="s">
        <v>23</v>
      </c>
      <c r="G103" s="122">
        <v>0</v>
      </c>
      <c r="H103" s="6" t="str">
        <f t="shared" si="26"/>
        <v>RO_Data[2].MIN[</v>
      </c>
      <c r="I103" s="26">
        <v>98</v>
      </c>
      <c r="J103" s="122" t="s">
        <v>23</v>
      </c>
      <c r="K103" s="122">
        <v>0</v>
      </c>
      <c r="L103" s="6" t="str">
        <f t="shared" si="27"/>
        <v>RO_Data[2].SEC[</v>
      </c>
      <c r="M103" s="26">
        <v>98</v>
      </c>
      <c r="N103" s="30" t="s">
        <v>23</v>
      </c>
      <c r="O103" s="8">
        <v>0</v>
      </c>
      <c r="P103" s="6" t="str">
        <f t="shared" si="28"/>
        <v>RO_Data[2].SETPOINT[</v>
      </c>
      <c r="Q103" s="26">
        <v>98</v>
      </c>
      <c r="R103" s="122" t="s">
        <v>23</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23</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23</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23</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23</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23</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23</v>
      </c>
      <c r="IB103" s="8"/>
      <c r="IC103" s="6" t="str">
        <f t="shared" si="36"/>
        <v>RO_Data[2].STEP_DESC[</v>
      </c>
      <c r="ID103" s="26">
        <v>98</v>
      </c>
      <c r="IE103" s="122" t="s">
        <v>23</v>
      </c>
    </row>
    <row r="104" spans="1:239" ht="15.75" thickBot="1" x14ac:dyDescent="0.3">
      <c r="A104" s="56">
        <v>99</v>
      </c>
      <c r="B104" s="56" t="str">
        <f t="shared" si="24"/>
        <v/>
      </c>
      <c r="C104" s="56"/>
      <c r="D104" s="54" t="str">
        <f t="shared" si="25"/>
        <v>RO_Data[2].ACK_DESC[</v>
      </c>
      <c r="E104" s="55">
        <v>99</v>
      </c>
      <c r="F104" s="58" t="s">
        <v>23</v>
      </c>
      <c r="G104" s="58">
        <v>0</v>
      </c>
      <c r="H104" s="54" t="str">
        <f t="shared" si="26"/>
        <v>RO_Data[2].MIN[</v>
      </c>
      <c r="I104" s="55">
        <v>99</v>
      </c>
      <c r="J104" s="58" t="s">
        <v>23</v>
      </c>
      <c r="K104" s="58">
        <v>0</v>
      </c>
      <c r="L104" s="54" t="str">
        <f t="shared" si="27"/>
        <v>RO_Data[2].SEC[</v>
      </c>
      <c r="M104" s="55">
        <v>99</v>
      </c>
      <c r="N104" s="58" t="s">
        <v>23</v>
      </c>
      <c r="O104" s="56">
        <v>0</v>
      </c>
      <c r="P104" s="54" t="str">
        <f t="shared" si="28"/>
        <v>RO_Data[2].SETPOINT[</v>
      </c>
      <c r="Q104" s="55">
        <v>99</v>
      </c>
      <c r="R104" s="58" t="s">
        <v>23</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23</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23</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23</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23</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23</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23</v>
      </c>
      <c r="IB104" s="56"/>
      <c r="IC104" s="54" t="str">
        <f t="shared" si="36"/>
        <v>RO_Data[2].STEP_DESC[</v>
      </c>
      <c r="ID104" s="55">
        <v>99</v>
      </c>
      <c r="IE104" s="58" t="s">
        <v>23</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Program'!$B$31:$B$36</xm:f>
          </x14:formula1>
          <xm:sqref>AZ3 DT3 IB3 C3 CJ3 FD3 GN3 G3 O3 K3 HX3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206" t="s">
        <v>135</v>
      </c>
      <c r="B1" s="186"/>
      <c r="C1" s="186" t="s">
        <v>124</v>
      </c>
      <c r="D1" s="204"/>
      <c r="E1" s="204"/>
      <c r="F1" s="205"/>
      <c r="G1" s="186" t="s">
        <v>125</v>
      </c>
      <c r="H1" s="204"/>
      <c r="I1" s="204"/>
      <c r="J1" s="205"/>
      <c r="K1" s="186" t="s">
        <v>126</v>
      </c>
      <c r="L1" s="204"/>
      <c r="M1" s="204"/>
      <c r="N1" s="205"/>
      <c r="O1" s="186" t="s">
        <v>127</v>
      </c>
      <c r="P1" s="204"/>
      <c r="Q1" s="204"/>
      <c r="R1" s="205"/>
      <c r="S1" s="81"/>
      <c r="T1" s="207" t="s">
        <v>128</v>
      </c>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t="s">
        <v>129</v>
      </c>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t="s">
        <v>130</v>
      </c>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7"/>
      <c r="DQ1" s="207"/>
      <c r="DR1" s="207"/>
      <c r="DS1" s="207"/>
      <c r="DT1" s="207"/>
      <c r="DU1" s="207"/>
      <c r="DV1" s="207"/>
      <c r="DW1" s="207"/>
      <c r="DX1" s="186" t="s">
        <v>131</v>
      </c>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t="s">
        <v>132</v>
      </c>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c r="GR1" s="186" t="s">
        <v>133</v>
      </c>
      <c r="GS1" s="186"/>
      <c r="GT1" s="186"/>
      <c r="GU1" s="186"/>
      <c r="GV1" s="186"/>
      <c r="GW1" s="186"/>
      <c r="GX1" s="186"/>
      <c r="GY1" s="186"/>
      <c r="GZ1" s="186"/>
      <c r="HA1" s="186"/>
      <c r="HB1" s="186"/>
      <c r="HC1" s="186"/>
      <c r="HD1" s="186"/>
      <c r="HE1" s="186"/>
      <c r="HF1" s="186"/>
      <c r="HG1" s="186"/>
      <c r="HH1" s="186"/>
      <c r="HI1" s="186"/>
      <c r="HJ1" s="186"/>
      <c r="HK1" s="186"/>
      <c r="HL1" s="186"/>
      <c r="HM1" s="186"/>
      <c r="HN1" s="186"/>
      <c r="HO1" s="186"/>
      <c r="HP1" s="186"/>
      <c r="HQ1" s="186"/>
      <c r="HR1" s="186"/>
      <c r="HS1" s="186"/>
      <c r="HT1" s="186"/>
      <c r="HU1" s="186"/>
      <c r="HV1" s="186"/>
      <c r="HW1" s="186"/>
      <c r="HX1" s="186"/>
      <c r="HY1" s="186"/>
      <c r="HZ1" s="186"/>
      <c r="IA1" s="186"/>
      <c r="IB1" s="186" t="s">
        <v>134</v>
      </c>
      <c r="IC1" s="204"/>
      <c r="ID1" s="204"/>
      <c r="IE1" s="205"/>
    </row>
    <row r="2" spans="1:239" ht="312.75" thickBot="1" x14ac:dyDescent="0.3">
      <c r="A2" s="1"/>
      <c r="B2" s="2" t="s">
        <v>52</v>
      </c>
      <c r="C2" s="4" t="s">
        <v>110</v>
      </c>
      <c r="D2" s="199"/>
      <c r="E2" s="197"/>
      <c r="F2" s="217"/>
      <c r="G2" s="45" t="s">
        <v>108</v>
      </c>
      <c r="H2" s="208"/>
      <c r="I2" s="171"/>
      <c r="J2" s="216"/>
      <c r="K2" s="45" t="s">
        <v>111</v>
      </c>
      <c r="L2" s="208"/>
      <c r="M2" s="171"/>
      <c r="N2" s="216"/>
      <c r="O2" s="4" t="s">
        <v>107</v>
      </c>
      <c r="P2" s="209"/>
      <c r="Q2" s="171"/>
      <c r="R2" s="171"/>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95"/>
      <c r="BB2" s="187"/>
      <c r="BC2" s="188"/>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95"/>
      <c r="CL2" s="187"/>
      <c r="CM2" s="188"/>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95"/>
      <c r="DV2" s="187"/>
      <c r="DW2" s="188"/>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96"/>
      <c r="FF2" s="197"/>
      <c r="FG2" s="197"/>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96"/>
      <c r="GP2" s="197"/>
      <c r="GQ2" s="197"/>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96"/>
      <c r="HZ2" s="197"/>
      <c r="IA2" s="197"/>
      <c r="IB2" s="4" t="s">
        <v>19</v>
      </c>
      <c r="IC2" s="199"/>
      <c r="ID2" s="197"/>
      <c r="IE2" s="217"/>
    </row>
    <row r="3" spans="1:239" ht="15.75" customHeight="1" thickBot="1" x14ac:dyDescent="0.3">
      <c r="A3" s="78" t="s">
        <v>20</v>
      </c>
      <c r="B3" s="84"/>
      <c r="C3" s="78" t="s">
        <v>18</v>
      </c>
      <c r="D3" s="218" t="s">
        <v>21</v>
      </c>
      <c r="E3" s="187"/>
      <c r="F3" s="188"/>
      <c r="G3" s="78" t="s">
        <v>17</v>
      </c>
      <c r="H3" s="190" t="s">
        <v>21</v>
      </c>
      <c r="I3" s="187"/>
      <c r="J3" s="188"/>
      <c r="K3" s="78" t="s">
        <v>17</v>
      </c>
      <c r="L3" s="190" t="s">
        <v>21</v>
      </c>
      <c r="M3" s="187"/>
      <c r="N3" s="188"/>
      <c r="O3" s="78" t="s">
        <v>17</v>
      </c>
      <c r="P3" s="218" t="s">
        <v>21</v>
      </c>
      <c r="Q3" s="187"/>
      <c r="R3" s="188"/>
      <c r="S3" s="27"/>
      <c r="T3" s="189"/>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8"/>
      <c r="AZ3" s="78" t="s">
        <v>425</v>
      </c>
      <c r="BA3" s="190" t="s">
        <v>21</v>
      </c>
      <c r="BB3" s="187"/>
      <c r="BC3" s="188"/>
      <c r="BD3" s="189"/>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8"/>
      <c r="CJ3" s="78" t="s">
        <v>425</v>
      </c>
      <c r="CK3" s="190" t="s">
        <v>21</v>
      </c>
      <c r="CL3" s="187"/>
      <c r="CM3" s="188"/>
      <c r="CN3" s="189"/>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8"/>
      <c r="DT3" s="78" t="s">
        <v>425</v>
      </c>
      <c r="DU3" s="190" t="s">
        <v>21</v>
      </c>
      <c r="DV3" s="187"/>
      <c r="DW3" s="188"/>
      <c r="DX3" s="215"/>
      <c r="DY3" s="193"/>
      <c r="DZ3" s="193"/>
      <c r="EA3" s="193"/>
      <c r="EB3" s="193"/>
      <c r="EC3" s="193"/>
      <c r="ED3" s="193"/>
      <c r="EE3" s="193"/>
      <c r="EF3" s="193"/>
      <c r="EG3" s="193"/>
      <c r="EH3" s="193"/>
      <c r="EI3" s="193"/>
      <c r="EJ3" s="193"/>
      <c r="EK3" s="193"/>
      <c r="EL3" s="193"/>
      <c r="EM3" s="193"/>
      <c r="EN3" s="193"/>
      <c r="EO3" s="193"/>
      <c r="EP3" s="193"/>
      <c r="EQ3" s="193"/>
      <c r="ER3" s="193"/>
      <c r="ES3" s="193"/>
      <c r="ET3" s="193"/>
      <c r="EU3" s="193"/>
      <c r="EV3" s="193"/>
      <c r="EW3" s="193"/>
      <c r="EX3" s="193"/>
      <c r="EY3" s="193"/>
      <c r="EZ3" s="193"/>
      <c r="FA3" s="193"/>
      <c r="FB3" s="193"/>
      <c r="FC3" s="194"/>
      <c r="FD3" s="79" t="s">
        <v>425</v>
      </c>
      <c r="FE3" s="190" t="s">
        <v>21</v>
      </c>
      <c r="FF3" s="187"/>
      <c r="FG3" s="188"/>
      <c r="FH3" s="215"/>
      <c r="FI3" s="193"/>
      <c r="FJ3" s="193"/>
      <c r="FK3" s="193"/>
      <c r="FL3" s="193"/>
      <c r="FM3" s="193"/>
      <c r="FN3" s="193"/>
      <c r="FO3" s="193"/>
      <c r="FP3" s="193"/>
      <c r="FQ3" s="193"/>
      <c r="FR3" s="193"/>
      <c r="FS3" s="193"/>
      <c r="FT3" s="193"/>
      <c r="FU3" s="193"/>
      <c r="FV3" s="193"/>
      <c r="FW3" s="193"/>
      <c r="FX3" s="193"/>
      <c r="FY3" s="193"/>
      <c r="FZ3" s="193"/>
      <c r="GA3" s="193"/>
      <c r="GB3" s="193"/>
      <c r="GC3" s="193"/>
      <c r="GD3" s="193"/>
      <c r="GE3" s="193"/>
      <c r="GF3" s="193"/>
      <c r="GG3" s="193"/>
      <c r="GH3" s="193"/>
      <c r="GI3" s="193"/>
      <c r="GJ3" s="193"/>
      <c r="GK3" s="193"/>
      <c r="GL3" s="193"/>
      <c r="GM3" s="194"/>
      <c r="GN3" s="79" t="s">
        <v>425</v>
      </c>
      <c r="GO3" s="190" t="s">
        <v>21</v>
      </c>
      <c r="GP3" s="187"/>
      <c r="GQ3" s="188"/>
      <c r="GR3" s="215"/>
      <c r="GS3" s="193"/>
      <c r="GT3" s="193"/>
      <c r="GU3" s="193"/>
      <c r="GV3" s="193"/>
      <c r="GW3" s="193"/>
      <c r="GX3" s="193"/>
      <c r="GY3" s="193"/>
      <c r="GZ3" s="193"/>
      <c r="HA3" s="193"/>
      <c r="HB3" s="193"/>
      <c r="HC3" s="193"/>
      <c r="HD3" s="193"/>
      <c r="HE3" s="193"/>
      <c r="HF3" s="193"/>
      <c r="HG3" s="193"/>
      <c r="HH3" s="193"/>
      <c r="HI3" s="193"/>
      <c r="HJ3" s="193"/>
      <c r="HK3" s="193"/>
      <c r="HL3" s="193"/>
      <c r="HM3" s="193"/>
      <c r="HN3" s="193"/>
      <c r="HO3" s="193"/>
      <c r="HP3" s="193"/>
      <c r="HQ3" s="193"/>
      <c r="HR3" s="193"/>
      <c r="HS3" s="193"/>
      <c r="HT3" s="193"/>
      <c r="HU3" s="193"/>
      <c r="HV3" s="193"/>
      <c r="HW3" s="194"/>
      <c r="HX3" s="79" t="s">
        <v>425</v>
      </c>
      <c r="HY3" s="190" t="s">
        <v>21</v>
      </c>
      <c r="HZ3" s="187"/>
      <c r="IA3" s="188"/>
      <c r="IB3" s="78" t="s">
        <v>18</v>
      </c>
      <c r="IC3" s="218" t="s">
        <v>21</v>
      </c>
      <c r="ID3" s="187"/>
      <c r="IE3" s="188"/>
    </row>
    <row r="4" spans="1:239" x14ac:dyDescent="0.25">
      <c r="A4" s="8" t="s">
        <v>22</v>
      </c>
      <c r="B4" s="8" t="s">
        <v>19</v>
      </c>
      <c r="C4" s="30"/>
      <c r="D4" s="200"/>
      <c r="E4" s="201"/>
      <c r="F4" s="203"/>
      <c r="G4" s="7"/>
      <c r="H4" s="200"/>
      <c r="I4" s="201"/>
      <c r="J4" s="203"/>
      <c r="K4" s="7"/>
      <c r="L4" s="200"/>
      <c r="M4" s="201"/>
      <c r="N4" s="203"/>
      <c r="O4" s="5"/>
      <c r="P4" s="200"/>
      <c r="Q4" s="201"/>
      <c r="R4" s="203"/>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200"/>
      <c r="BB4" s="201"/>
      <c r="BC4" s="203"/>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200"/>
      <c r="CL4" s="201"/>
      <c r="CM4" s="203"/>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200"/>
      <c r="DV4" s="201"/>
      <c r="DW4" s="203"/>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200"/>
      <c r="FF4" s="201"/>
      <c r="FG4" s="203"/>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200"/>
      <c r="GP4" s="201"/>
      <c r="GQ4" s="203"/>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200"/>
      <c r="HZ4" s="201"/>
      <c r="IA4" s="203"/>
      <c r="IB4" s="8"/>
      <c r="IC4" s="200"/>
      <c r="ID4" s="201"/>
      <c r="IE4" s="203"/>
    </row>
    <row r="5" spans="1:239" x14ac:dyDescent="0.25">
      <c r="A5" s="8">
        <v>0</v>
      </c>
      <c r="B5" s="8" t="str">
        <f t="shared" ref="B5:B35" si="0">IF($IB5&lt;&gt;"", $IB5, "")</f>
        <v>HOME</v>
      </c>
      <c r="C5" s="82"/>
      <c r="D5" s="25" t="s">
        <v>373</v>
      </c>
      <c r="E5" s="26">
        <v>0</v>
      </c>
      <c r="F5" s="30" t="s">
        <v>23</v>
      </c>
      <c r="G5" s="11">
        <v>0</v>
      </c>
      <c r="H5" s="25" t="s">
        <v>374</v>
      </c>
      <c r="I5" s="26">
        <v>0</v>
      </c>
      <c r="J5" s="30" t="s">
        <v>23</v>
      </c>
      <c r="K5" s="11">
        <v>0</v>
      </c>
      <c r="L5" s="25" t="s">
        <v>375</v>
      </c>
      <c r="M5" s="26">
        <v>0</v>
      </c>
      <c r="N5" s="30" t="s">
        <v>23</v>
      </c>
      <c r="O5" s="12">
        <v>0</v>
      </c>
      <c r="P5" s="25" t="s">
        <v>376</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377</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378</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379</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380</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381</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382</v>
      </c>
      <c r="HZ5" s="26">
        <v>0</v>
      </c>
      <c r="IA5" s="30" t="s">
        <v>23</v>
      </c>
      <c r="IB5" s="10" t="s">
        <v>207</v>
      </c>
      <c r="IC5" s="25" t="s">
        <v>383</v>
      </c>
      <c r="ID5" s="26">
        <v>0</v>
      </c>
      <c r="IE5" s="30" t="s">
        <v>23</v>
      </c>
    </row>
    <row r="6" spans="1:239" x14ac:dyDescent="0.25">
      <c r="A6" s="8">
        <v>1</v>
      </c>
      <c r="B6" s="8" t="str">
        <f t="shared" si="0"/>
        <v>FILLING FEED TANK TO SET POINT LEVEL</v>
      </c>
      <c r="C6" s="82"/>
      <c r="D6" s="6" t="str">
        <f t="shared" ref="D6:D35" si="1">D$5</f>
        <v>RO_Data[3].ACK_DESC[</v>
      </c>
      <c r="E6" s="26">
        <f>E5+1</f>
        <v>1</v>
      </c>
      <c r="F6" s="30" t="s">
        <v>23</v>
      </c>
      <c r="G6" s="11">
        <v>0</v>
      </c>
      <c r="H6" s="6" t="str">
        <f t="shared" ref="H6:H35" si="2">H$5</f>
        <v>RO_Data[3].MIN[</v>
      </c>
      <c r="I6" s="26">
        <f>I5+1</f>
        <v>1</v>
      </c>
      <c r="J6" s="30" t="s">
        <v>23</v>
      </c>
      <c r="K6" s="11">
        <v>1</v>
      </c>
      <c r="L6" s="6" t="str">
        <f t="shared" ref="L6:L35" si="3">L$5</f>
        <v>RO_Data[3].SEC[</v>
      </c>
      <c r="M6" s="26">
        <f>M5+1</f>
        <v>1</v>
      </c>
      <c r="N6" s="30" t="s">
        <v>23</v>
      </c>
      <c r="O6" s="12">
        <v>0</v>
      </c>
      <c r="P6" s="6" t="str">
        <f t="shared" ref="P6:P35" si="4">P$5</f>
        <v>RO_Data[3].SETPOINT[</v>
      </c>
      <c r="Q6" s="26">
        <f>Q5+1</f>
        <v>1</v>
      </c>
      <c r="R6" s="30" t="s">
        <v>23</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23</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23</v>
      </c>
      <c r="IB6" s="10" t="s">
        <v>225</v>
      </c>
      <c r="IC6" s="6" t="str">
        <f t="shared" ref="IC6:IC35" si="12">IC$5</f>
        <v>RO_Data[3].STEP_DESC[</v>
      </c>
      <c r="ID6" s="26">
        <f>ID5+1</f>
        <v>1</v>
      </c>
      <c r="IE6" s="30" t="s">
        <v>23</v>
      </c>
    </row>
    <row r="7" spans="1:239" x14ac:dyDescent="0.25">
      <c r="A7" s="8">
        <v>2</v>
      </c>
      <c r="B7" s="8" t="str">
        <f t="shared" si="0"/>
        <v>STARTING PUMPS</v>
      </c>
      <c r="C7" s="82"/>
      <c r="D7" s="6" t="str">
        <f t="shared" si="1"/>
        <v>RO_Data[3].ACK_DESC[</v>
      </c>
      <c r="E7" s="26">
        <f t="shared" ref="E7:E29" si="13">E6+1</f>
        <v>2</v>
      </c>
      <c r="F7" s="30" t="s">
        <v>23</v>
      </c>
      <c r="G7" s="11">
        <v>0</v>
      </c>
      <c r="H7" s="6" t="str">
        <f t="shared" si="2"/>
        <v>RO_Data[3].MIN[</v>
      </c>
      <c r="I7" s="26">
        <f t="shared" ref="I7:I29" si="14">I6+1</f>
        <v>2</v>
      </c>
      <c r="J7" s="30" t="s">
        <v>23</v>
      </c>
      <c r="K7" s="11">
        <v>30</v>
      </c>
      <c r="L7" s="6" t="str">
        <f t="shared" si="3"/>
        <v>RO_Data[3].SEC[</v>
      </c>
      <c r="M7" s="26">
        <f t="shared" ref="M7:M29" si="15">M6+1</f>
        <v>2</v>
      </c>
      <c r="N7" s="30" t="s">
        <v>23</v>
      </c>
      <c r="O7" s="12">
        <v>0</v>
      </c>
      <c r="P7" s="6" t="str">
        <f t="shared" si="4"/>
        <v>RO_Data[3].SETPOINT[</v>
      </c>
      <c r="Q7" s="26">
        <f t="shared" ref="Q7:Q29" si="16">Q6+1</f>
        <v>2</v>
      </c>
      <c r="R7" s="30" t="s">
        <v>23</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23</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23</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23</v>
      </c>
      <c r="IB7" s="10" t="s">
        <v>226</v>
      </c>
      <c r="IC7" s="6" t="str">
        <f t="shared" si="12"/>
        <v>RO_Data[3].STEP_DESC[</v>
      </c>
      <c r="ID7" s="26">
        <f t="shared" ref="ID7:ID29" si="23">ID6+1</f>
        <v>2</v>
      </c>
      <c r="IE7" s="30" t="s">
        <v>23</v>
      </c>
    </row>
    <row r="8" spans="1:239" x14ac:dyDescent="0.25">
      <c r="A8" s="8">
        <v>3</v>
      </c>
      <c r="B8" s="8" t="str">
        <f t="shared" si="0"/>
        <v>RINSING STAGES</v>
      </c>
      <c r="C8" s="82"/>
      <c r="D8" s="6" t="str">
        <f t="shared" si="1"/>
        <v>RO_Data[3].ACK_DESC[</v>
      </c>
      <c r="E8" s="26">
        <f t="shared" si="13"/>
        <v>3</v>
      </c>
      <c r="F8" s="30" t="s">
        <v>23</v>
      </c>
      <c r="G8" s="11">
        <v>0</v>
      </c>
      <c r="H8" s="6" t="str">
        <f t="shared" si="2"/>
        <v>RO_Data[3].MIN[</v>
      </c>
      <c r="I8" s="26">
        <f t="shared" si="14"/>
        <v>3</v>
      </c>
      <c r="J8" s="30" t="s">
        <v>23</v>
      </c>
      <c r="K8" s="11">
        <v>1</v>
      </c>
      <c r="L8" s="6" t="str">
        <f t="shared" si="3"/>
        <v>RO_Data[3].SEC[</v>
      </c>
      <c r="M8" s="26">
        <f t="shared" si="15"/>
        <v>3</v>
      </c>
      <c r="N8" s="30" t="s">
        <v>23</v>
      </c>
      <c r="O8" s="12">
        <v>0</v>
      </c>
      <c r="P8" s="6" t="str">
        <f t="shared" si="4"/>
        <v>RO_Data[3].SETPOINT[</v>
      </c>
      <c r="Q8" s="26">
        <f t="shared" si="16"/>
        <v>3</v>
      </c>
      <c r="R8" s="30" t="s">
        <v>23</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23</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23</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23</v>
      </c>
      <c r="IB8" s="10" t="s">
        <v>227</v>
      </c>
      <c r="IC8" s="6" t="str">
        <f t="shared" si="12"/>
        <v>RO_Data[3].STEP_DESC[</v>
      </c>
      <c r="ID8" s="26">
        <f t="shared" si="23"/>
        <v>3</v>
      </c>
      <c r="IE8" s="30" t="s">
        <v>23</v>
      </c>
    </row>
    <row r="9" spans="1:239" x14ac:dyDescent="0.25">
      <c r="A9" s="8">
        <v>4</v>
      </c>
      <c r="B9" s="8" t="str">
        <f t="shared" si="0"/>
        <v>PAUSE</v>
      </c>
      <c r="C9" s="82"/>
      <c r="D9" s="6" t="str">
        <f t="shared" si="1"/>
        <v>RO_Data[3].ACK_DESC[</v>
      </c>
      <c r="E9" s="26">
        <f t="shared" si="13"/>
        <v>4</v>
      </c>
      <c r="F9" s="30" t="s">
        <v>23</v>
      </c>
      <c r="G9" s="11">
        <v>0</v>
      </c>
      <c r="H9" s="6" t="str">
        <f t="shared" si="2"/>
        <v>RO_Data[3].MIN[</v>
      </c>
      <c r="I9" s="26">
        <f t="shared" si="14"/>
        <v>4</v>
      </c>
      <c r="J9" s="30" t="s">
        <v>23</v>
      </c>
      <c r="K9" s="11">
        <v>10</v>
      </c>
      <c r="L9" s="6" t="str">
        <f t="shared" si="3"/>
        <v>RO_Data[3].SEC[</v>
      </c>
      <c r="M9" s="26">
        <f t="shared" si="15"/>
        <v>4</v>
      </c>
      <c r="N9" s="30" t="s">
        <v>23</v>
      </c>
      <c r="O9" s="12">
        <v>0</v>
      </c>
      <c r="P9" s="6" t="str">
        <f t="shared" si="4"/>
        <v>RO_Data[3].SETPOINT[</v>
      </c>
      <c r="Q9" s="26">
        <f t="shared" si="16"/>
        <v>4</v>
      </c>
      <c r="R9" s="30" t="s">
        <v>23</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23</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23</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23</v>
      </c>
      <c r="IB9" s="10" t="s">
        <v>223</v>
      </c>
      <c r="IC9" s="6" t="str">
        <f t="shared" si="12"/>
        <v>RO_Data[3].STEP_DESC[</v>
      </c>
      <c r="ID9" s="26">
        <f t="shared" si="23"/>
        <v>4</v>
      </c>
      <c r="IE9" s="30" t="s">
        <v>23</v>
      </c>
    </row>
    <row r="10" spans="1:239" x14ac:dyDescent="0.25">
      <c r="A10" s="8">
        <v>5</v>
      </c>
      <c r="B10" s="8" t="str">
        <f t="shared" si="0"/>
        <v>FILLING FEED TANK TO SET POINT LEVEL</v>
      </c>
      <c r="C10" s="82"/>
      <c r="D10" s="6" t="str">
        <f t="shared" si="1"/>
        <v>RO_Data[3].ACK_DESC[</v>
      </c>
      <c r="E10" s="26">
        <f t="shared" si="13"/>
        <v>5</v>
      </c>
      <c r="F10" s="30" t="s">
        <v>23</v>
      </c>
      <c r="G10" s="11">
        <v>0</v>
      </c>
      <c r="H10" s="6" t="str">
        <f t="shared" si="2"/>
        <v>RO_Data[3].MIN[</v>
      </c>
      <c r="I10" s="26">
        <f t="shared" si="14"/>
        <v>5</v>
      </c>
      <c r="J10" s="30" t="s">
        <v>23</v>
      </c>
      <c r="K10" s="11">
        <v>1</v>
      </c>
      <c r="L10" s="6" t="str">
        <f t="shared" si="3"/>
        <v>RO_Data[3].SEC[</v>
      </c>
      <c r="M10" s="26">
        <f t="shared" si="15"/>
        <v>5</v>
      </c>
      <c r="N10" s="30" t="s">
        <v>23</v>
      </c>
      <c r="O10" s="12">
        <v>0</v>
      </c>
      <c r="P10" s="6" t="str">
        <f t="shared" si="4"/>
        <v>RO_Data[3].SETPOINT[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23</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23</v>
      </c>
      <c r="IB10" s="10" t="s">
        <v>225</v>
      </c>
      <c r="IC10" s="6" t="str">
        <f t="shared" si="12"/>
        <v>RO_Data[3].STEP_DESC[</v>
      </c>
      <c r="ID10" s="26">
        <f t="shared" si="23"/>
        <v>5</v>
      </c>
      <c r="IE10" s="30" t="s">
        <v>23</v>
      </c>
    </row>
    <row r="11" spans="1:239" x14ac:dyDescent="0.25">
      <c r="A11" s="8">
        <v>6</v>
      </c>
      <c r="B11" s="8" t="str">
        <f t="shared" si="0"/>
        <v>STARTING PUMPS</v>
      </c>
      <c r="C11" s="82"/>
      <c r="D11" s="6" t="str">
        <f t="shared" si="1"/>
        <v>RO_Data[3].ACK_DESC[</v>
      </c>
      <c r="E11" s="26">
        <f t="shared" si="13"/>
        <v>6</v>
      </c>
      <c r="F11" s="30" t="s">
        <v>23</v>
      </c>
      <c r="G11" s="11">
        <v>0</v>
      </c>
      <c r="H11" s="6" t="str">
        <f t="shared" si="2"/>
        <v>RO_Data[3].MIN[</v>
      </c>
      <c r="I11" s="26">
        <f t="shared" si="14"/>
        <v>6</v>
      </c>
      <c r="J11" s="30" t="s">
        <v>23</v>
      </c>
      <c r="K11" s="11">
        <v>30</v>
      </c>
      <c r="L11" s="6" t="str">
        <f t="shared" si="3"/>
        <v>RO_Data[3].SEC[</v>
      </c>
      <c r="M11" s="26">
        <f t="shared" si="15"/>
        <v>6</v>
      </c>
      <c r="N11" s="30" t="s">
        <v>23</v>
      </c>
      <c r="O11" s="12">
        <v>0</v>
      </c>
      <c r="P11" s="6" t="str">
        <f t="shared" si="4"/>
        <v>RO_Data[3].SETPOINT[</v>
      </c>
      <c r="Q11" s="26">
        <f t="shared" si="16"/>
        <v>6</v>
      </c>
      <c r="R11" s="30" t="s">
        <v>23</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23</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23</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23</v>
      </c>
      <c r="IB11" s="10" t="s">
        <v>226</v>
      </c>
      <c r="IC11" s="6" t="str">
        <f t="shared" si="12"/>
        <v>RO_Data[3].STEP_DESC[</v>
      </c>
      <c r="ID11" s="26">
        <f t="shared" si="23"/>
        <v>6</v>
      </c>
      <c r="IE11" s="30" t="s">
        <v>23</v>
      </c>
    </row>
    <row r="12" spans="1:239" x14ac:dyDescent="0.25">
      <c r="A12" s="8">
        <v>7</v>
      </c>
      <c r="B12" s="8" t="str">
        <f t="shared" si="0"/>
        <v>ADDING CHEMICALS</v>
      </c>
      <c r="C12" s="82"/>
      <c r="D12" s="6" t="str">
        <f t="shared" si="1"/>
        <v>RO_Data[3].ACK_DESC[</v>
      </c>
      <c r="E12" s="26">
        <f t="shared" si="13"/>
        <v>7</v>
      </c>
      <c r="F12" s="30" t="s">
        <v>23</v>
      </c>
      <c r="G12" s="11">
        <v>0</v>
      </c>
      <c r="H12" s="6" t="str">
        <f t="shared" si="2"/>
        <v>RO_Data[3].MIN[</v>
      </c>
      <c r="I12" s="26">
        <f t="shared" si="14"/>
        <v>7</v>
      </c>
      <c r="J12" s="30" t="s">
        <v>23</v>
      </c>
      <c r="K12" s="11">
        <v>1</v>
      </c>
      <c r="L12" s="6" t="str">
        <f t="shared" si="3"/>
        <v>RO_Data[3].SEC[</v>
      </c>
      <c r="M12" s="26">
        <f t="shared" si="15"/>
        <v>7</v>
      </c>
      <c r="N12" s="30" t="s">
        <v>23</v>
      </c>
      <c r="O12" s="12">
        <v>0</v>
      </c>
      <c r="P12" s="6" t="str">
        <f t="shared" si="4"/>
        <v>RO_Data[3].SETPOINT[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23</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23</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23</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23</v>
      </c>
      <c r="IB12" s="10" t="s">
        <v>228</v>
      </c>
      <c r="IC12" s="6" t="str">
        <f t="shared" si="12"/>
        <v>RO_Data[3].STEP_DESC[</v>
      </c>
      <c r="ID12" s="26">
        <f t="shared" si="23"/>
        <v>7</v>
      </c>
      <c r="IE12" s="30" t="s">
        <v>23</v>
      </c>
    </row>
    <row r="13" spans="1:239" s="75" customFormat="1" x14ac:dyDescent="0.25">
      <c r="A13" s="64">
        <v>8</v>
      </c>
      <c r="B13" s="64" t="str">
        <f t="shared" si="0"/>
        <v>HEATING TO TEMPERATURE</v>
      </c>
      <c r="C13" s="83"/>
      <c r="D13" s="6" t="str">
        <f t="shared" si="1"/>
        <v>RO_Data[3].ACK_DESC[</v>
      </c>
      <c r="E13" s="67">
        <f t="shared" si="13"/>
        <v>8</v>
      </c>
      <c r="F13" s="68" t="s">
        <v>23</v>
      </c>
      <c r="G13" s="69">
        <v>0</v>
      </c>
      <c r="H13" s="6" t="str">
        <f t="shared" si="2"/>
        <v>RO_Data[3].MIN[</v>
      </c>
      <c r="I13" s="67">
        <f t="shared" si="14"/>
        <v>8</v>
      </c>
      <c r="J13" s="68" t="s">
        <v>23</v>
      </c>
      <c r="K13" s="69">
        <v>1</v>
      </c>
      <c r="L13" s="6" t="str">
        <f t="shared" si="3"/>
        <v>RO_Data[3].SEC[</v>
      </c>
      <c r="M13" s="67">
        <f t="shared" si="15"/>
        <v>8</v>
      </c>
      <c r="N13" s="68" t="s">
        <v>23</v>
      </c>
      <c r="O13" s="70">
        <v>0</v>
      </c>
      <c r="P13" s="6" t="str">
        <f t="shared" si="4"/>
        <v>RO_Data[3].SETPOINT[</v>
      </c>
      <c r="Q13" s="67">
        <f t="shared" si="16"/>
        <v>8</v>
      </c>
      <c r="R13" s="68" t="s">
        <v>23</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23</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23</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23</v>
      </c>
      <c r="IB13" s="65" t="s">
        <v>242</v>
      </c>
      <c r="IC13" s="6" t="str">
        <f t="shared" si="12"/>
        <v>RO_Data[3].STEP_DESC[</v>
      </c>
      <c r="ID13" s="67">
        <f t="shared" si="23"/>
        <v>8</v>
      </c>
      <c r="IE13" s="68" t="s">
        <v>23</v>
      </c>
    </row>
    <row r="14" spans="1:239" s="75" customFormat="1" x14ac:dyDescent="0.25">
      <c r="A14" s="64">
        <v>9</v>
      </c>
      <c r="B14" s="64" t="str">
        <f t="shared" si="0"/>
        <v>CHECK PH - HOLD FOR ACKNOWLEDGE</v>
      </c>
      <c r="C14" s="83" t="s">
        <v>355</v>
      </c>
      <c r="D14" s="6" t="str">
        <f t="shared" si="1"/>
        <v>RO_Data[3].ACK_DESC[</v>
      </c>
      <c r="E14" s="67">
        <f t="shared" si="13"/>
        <v>9</v>
      </c>
      <c r="F14" s="68" t="s">
        <v>23</v>
      </c>
      <c r="G14" s="69">
        <v>0</v>
      </c>
      <c r="H14" s="6" t="str">
        <f t="shared" si="2"/>
        <v>RO_Data[3].MIN[</v>
      </c>
      <c r="I14" s="67">
        <f t="shared" si="14"/>
        <v>9</v>
      </c>
      <c r="J14" s="68" t="s">
        <v>23</v>
      </c>
      <c r="K14" s="69">
        <v>1</v>
      </c>
      <c r="L14" s="6" t="str">
        <f t="shared" si="3"/>
        <v>RO_Data[3].SEC[</v>
      </c>
      <c r="M14" s="67">
        <f t="shared" si="15"/>
        <v>9</v>
      </c>
      <c r="N14" s="68" t="s">
        <v>23</v>
      </c>
      <c r="O14" s="70">
        <v>0</v>
      </c>
      <c r="P14" s="6" t="str">
        <f t="shared" si="4"/>
        <v>RO_Data[3].SETPOINT[</v>
      </c>
      <c r="Q14" s="67">
        <f t="shared" si="16"/>
        <v>9</v>
      </c>
      <c r="R14" s="68" t="s">
        <v>23</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23</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23</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23</v>
      </c>
      <c r="IB14" s="65" t="s">
        <v>356</v>
      </c>
      <c r="IC14" s="6" t="str">
        <f t="shared" si="12"/>
        <v>RO_Data[3].STEP_DESC[</v>
      </c>
      <c r="ID14" s="67">
        <f t="shared" si="23"/>
        <v>9</v>
      </c>
      <c r="IE14" s="68" t="s">
        <v>23</v>
      </c>
    </row>
    <row r="15" spans="1:239" s="75" customFormat="1" x14ac:dyDescent="0.25">
      <c r="A15" s="64">
        <v>10</v>
      </c>
      <c r="B15" s="64" t="str">
        <f t="shared" si="0"/>
        <v>SHORT CIP WASH</v>
      </c>
      <c r="C15" s="83"/>
      <c r="D15" s="6" t="str">
        <f t="shared" si="1"/>
        <v>RO_Data[3].ACK_DESC[</v>
      </c>
      <c r="E15" s="67">
        <f t="shared" si="13"/>
        <v>10</v>
      </c>
      <c r="F15" s="68" t="s">
        <v>23</v>
      </c>
      <c r="G15" s="69">
        <v>0</v>
      </c>
      <c r="H15" s="6" t="str">
        <f t="shared" si="2"/>
        <v>RO_Data[3].MIN[</v>
      </c>
      <c r="I15" s="67">
        <f t="shared" si="14"/>
        <v>10</v>
      </c>
      <c r="J15" s="68" t="s">
        <v>23</v>
      </c>
      <c r="K15" s="69">
        <v>1</v>
      </c>
      <c r="L15" s="6" t="str">
        <f t="shared" si="3"/>
        <v>RO_Data[3].SEC[</v>
      </c>
      <c r="M15" s="67">
        <f t="shared" si="15"/>
        <v>10</v>
      </c>
      <c r="N15" s="68" t="s">
        <v>23</v>
      </c>
      <c r="O15" s="70">
        <v>0</v>
      </c>
      <c r="P15" s="6" t="str">
        <f t="shared" si="4"/>
        <v>RO_Data[3].SETPOINT[</v>
      </c>
      <c r="Q15" s="67">
        <f t="shared" si="16"/>
        <v>10</v>
      </c>
      <c r="R15" s="68" t="s">
        <v>23</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23</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23</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23</v>
      </c>
      <c r="IB15" s="65" t="s">
        <v>243</v>
      </c>
      <c r="IC15" s="6" t="str">
        <f t="shared" si="12"/>
        <v>RO_Data[3].STEP_DESC[</v>
      </c>
      <c r="ID15" s="67">
        <f t="shared" si="23"/>
        <v>10</v>
      </c>
      <c r="IE15" s="68" t="s">
        <v>23</v>
      </c>
    </row>
    <row r="16" spans="1:239" x14ac:dyDescent="0.25">
      <c r="A16" s="8">
        <v>11</v>
      </c>
      <c r="B16" s="8" t="str">
        <f t="shared" si="0"/>
        <v>PUMPING DOWN FEED TANK</v>
      </c>
      <c r="C16" s="82"/>
      <c r="D16" s="6" t="str">
        <f t="shared" si="1"/>
        <v>RO_Data[3].ACK_DESC[</v>
      </c>
      <c r="E16" s="26">
        <f t="shared" si="13"/>
        <v>11</v>
      </c>
      <c r="F16" s="30" t="s">
        <v>23</v>
      </c>
      <c r="G16" s="11">
        <v>0</v>
      </c>
      <c r="H16" s="6" t="str">
        <f t="shared" si="2"/>
        <v>RO_Data[3].MIN[</v>
      </c>
      <c r="I16" s="26">
        <f t="shared" si="14"/>
        <v>11</v>
      </c>
      <c r="J16" s="30" t="s">
        <v>23</v>
      </c>
      <c r="K16" s="11">
        <v>1</v>
      </c>
      <c r="L16" s="6" t="str">
        <f t="shared" si="3"/>
        <v>RO_Data[3].SEC[</v>
      </c>
      <c r="M16" s="26">
        <f t="shared" si="15"/>
        <v>11</v>
      </c>
      <c r="N16" s="30" t="s">
        <v>23</v>
      </c>
      <c r="O16" s="12">
        <v>0</v>
      </c>
      <c r="P16" s="6" t="str">
        <f t="shared" si="4"/>
        <v>RO_Data[3].SETPOINT[</v>
      </c>
      <c r="Q16" s="26">
        <f t="shared" si="16"/>
        <v>11</v>
      </c>
      <c r="R16" s="30" t="s">
        <v>23</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23</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23</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23</v>
      </c>
      <c r="IB16" s="10" t="s">
        <v>231</v>
      </c>
      <c r="IC16" s="6" t="str">
        <f t="shared" si="12"/>
        <v>RO_Data[3].STEP_DESC[</v>
      </c>
      <c r="ID16" s="26">
        <f t="shared" si="23"/>
        <v>11</v>
      </c>
      <c r="IE16" s="30" t="s">
        <v>23</v>
      </c>
    </row>
    <row r="17" spans="1:239" x14ac:dyDescent="0.25">
      <c r="A17" s="8">
        <v>12</v>
      </c>
      <c r="B17" s="8" t="str">
        <f t="shared" si="0"/>
        <v>DRAINING FEED BALANCE TANK</v>
      </c>
      <c r="C17" s="82"/>
      <c r="D17" s="6" t="str">
        <f t="shared" si="1"/>
        <v>RO_Data[3].ACK_DESC[</v>
      </c>
      <c r="E17" s="26">
        <f t="shared" si="13"/>
        <v>12</v>
      </c>
      <c r="F17" s="30" t="s">
        <v>23</v>
      </c>
      <c r="G17" s="11">
        <v>0</v>
      </c>
      <c r="H17" s="6" t="str">
        <f t="shared" si="2"/>
        <v>RO_Data[3].MIN[</v>
      </c>
      <c r="I17" s="26">
        <f t="shared" si="14"/>
        <v>12</v>
      </c>
      <c r="J17" s="30" t="s">
        <v>23</v>
      </c>
      <c r="K17" s="11">
        <v>1</v>
      </c>
      <c r="L17" s="6" t="str">
        <f t="shared" si="3"/>
        <v>RO_Data[3].SEC[</v>
      </c>
      <c r="M17" s="26">
        <f t="shared" si="15"/>
        <v>12</v>
      </c>
      <c r="N17" s="30" t="s">
        <v>23</v>
      </c>
      <c r="O17" s="12">
        <v>0</v>
      </c>
      <c r="P17" s="6" t="str">
        <f t="shared" si="4"/>
        <v>RO_Data[3].SETPOINT[</v>
      </c>
      <c r="Q17" s="26">
        <f t="shared" si="16"/>
        <v>12</v>
      </c>
      <c r="R17" s="30" t="s">
        <v>23</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23</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23</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23</v>
      </c>
      <c r="IB17" s="10" t="s">
        <v>244</v>
      </c>
      <c r="IC17" s="6" t="str">
        <f t="shared" si="12"/>
        <v>RO_Data[3].STEP_DESC[</v>
      </c>
      <c r="ID17" s="26">
        <f t="shared" si="23"/>
        <v>12</v>
      </c>
      <c r="IE17" s="30" t="s">
        <v>23</v>
      </c>
    </row>
    <row r="18" spans="1:239" x14ac:dyDescent="0.25">
      <c r="A18" s="8">
        <v>13</v>
      </c>
      <c r="B18" s="8" t="str">
        <f t="shared" si="0"/>
        <v>FILLING FEED TANK TO SET POINT LEVEL</v>
      </c>
      <c r="C18" s="82"/>
      <c r="D18" s="6" t="str">
        <f t="shared" si="1"/>
        <v>RO_Data[3].ACK_DESC[</v>
      </c>
      <c r="E18" s="26">
        <f t="shared" si="13"/>
        <v>13</v>
      </c>
      <c r="F18" s="30" t="s">
        <v>23</v>
      </c>
      <c r="G18" s="11">
        <v>0</v>
      </c>
      <c r="H18" s="6" t="str">
        <f t="shared" si="2"/>
        <v>RO_Data[3].MIN[</v>
      </c>
      <c r="I18" s="26">
        <f t="shared" si="14"/>
        <v>13</v>
      </c>
      <c r="J18" s="30" t="s">
        <v>23</v>
      </c>
      <c r="K18" s="11">
        <v>1</v>
      </c>
      <c r="L18" s="6" t="str">
        <f t="shared" si="3"/>
        <v>RO_Data[3].SEC[</v>
      </c>
      <c r="M18" s="26">
        <f t="shared" si="15"/>
        <v>13</v>
      </c>
      <c r="N18" s="30" t="s">
        <v>23</v>
      </c>
      <c r="O18" s="12">
        <v>0</v>
      </c>
      <c r="P18" s="6" t="str">
        <f t="shared" si="4"/>
        <v>RO_Data[3].SETPOINT[</v>
      </c>
      <c r="Q18" s="26">
        <f t="shared" si="16"/>
        <v>13</v>
      </c>
      <c r="R18" s="30" t="s">
        <v>23</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23</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23</v>
      </c>
      <c r="IB18" s="10" t="s">
        <v>225</v>
      </c>
      <c r="IC18" s="6" t="str">
        <f t="shared" si="12"/>
        <v>RO_Data[3].STEP_DESC[</v>
      </c>
      <c r="ID18" s="26">
        <f t="shared" si="23"/>
        <v>13</v>
      </c>
      <c r="IE18" s="30" t="s">
        <v>23</v>
      </c>
    </row>
    <row r="19" spans="1:239" x14ac:dyDescent="0.25">
      <c r="A19" s="8">
        <v>14</v>
      </c>
      <c r="B19" s="8" t="str">
        <f t="shared" si="0"/>
        <v>STARTING PUMPS</v>
      </c>
      <c r="C19" s="82"/>
      <c r="D19" s="6" t="str">
        <f t="shared" si="1"/>
        <v>RO_Data[3].ACK_DESC[</v>
      </c>
      <c r="E19" s="26">
        <f t="shared" si="13"/>
        <v>14</v>
      </c>
      <c r="F19" s="30" t="s">
        <v>23</v>
      </c>
      <c r="G19" s="11">
        <v>0</v>
      </c>
      <c r="H19" s="6" t="str">
        <f t="shared" si="2"/>
        <v>RO_Data[3].MIN[</v>
      </c>
      <c r="I19" s="26">
        <f t="shared" si="14"/>
        <v>14</v>
      </c>
      <c r="J19" s="30" t="s">
        <v>23</v>
      </c>
      <c r="K19" s="11">
        <v>30</v>
      </c>
      <c r="L19" s="6" t="str">
        <f t="shared" si="3"/>
        <v>RO_Data[3].SEC[</v>
      </c>
      <c r="M19" s="26">
        <f t="shared" si="15"/>
        <v>14</v>
      </c>
      <c r="N19" s="30" t="s">
        <v>23</v>
      </c>
      <c r="O19" s="12">
        <v>0</v>
      </c>
      <c r="P19" s="6" t="str">
        <f t="shared" si="4"/>
        <v>RO_Data[3].SETPOINT[</v>
      </c>
      <c r="Q19" s="26">
        <f t="shared" si="16"/>
        <v>14</v>
      </c>
      <c r="R19" s="30" t="s">
        <v>23</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23</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23</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23</v>
      </c>
      <c r="IB19" s="10" t="s">
        <v>226</v>
      </c>
      <c r="IC19" s="6" t="str">
        <f t="shared" si="12"/>
        <v>RO_Data[3].STEP_DESC[</v>
      </c>
      <c r="ID19" s="26">
        <f t="shared" si="23"/>
        <v>14</v>
      </c>
      <c r="IE19" s="30" t="s">
        <v>23</v>
      </c>
    </row>
    <row r="20" spans="1:239" x14ac:dyDescent="0.25">
      <c r="A20" s="8">
        <v>15</v>
      </c>
      <c r="B20" s="8" t="str">
        <f t="shared" si="0"/>
        <v>RINSING STAGES</v>
      </c>
      <c r="C20" s="82"/>
      <c r="D20" s="6" t="str">
        <f t="shared" si="1"/>
        <v>RO_Data[3].ACK_DESC[</v>
      </c>
      <c r="E20" s="26">
        <f t="shared" si="13"/>
        <v>15</v>
      </c>
      <c r="F20" s="30" t="s">
        <v>23</v>
      </c>
      <c r="G20" s="11">
        <v>0</v>
      </c>
      <c r="H20" s="6" t="str">
        <f t="shared" si="2"/>
        <v>RO_Data[3].MIN[</v>
      </c>
      <c r="I20" s="26">
        <f t="shared" si="14"/>
        <v>15</v>
      </c>
      <c r="J20" s="30" t="s">
        <v>23</v>
      </c>
      <c r="K20" s="11">
        <v>1</v>
      </c>
      <c r="L20" s="6" t="str">
        <f t="shared" si="3"/>
        <v>RO_Data[3].SEC[</v>
      </c>
      <c r="M20" s="26">
        <f t="shared" si="15"/>
        <v>15</v>
      </c>
      <c r="N20" s="30" t="s">
        <v>23</v>
      </c>
      <c r="O20" s="12">
        <v>0</v>
      </c>
      <c r="P20" s="6" t="str">
        <f t="shared" si="4"/>
        <v>RO_Data[3].SETPOINT[</v>
      </c>
      <c r="Q20" s="26">
        <f t="shared" si="16"/>
        <v>15</v>
      </c>
      <c r="R20" s="30" t="s">
        <v>23</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23</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23</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23</v>
      </c>
      <c r="IB20" s="10" t="s">
        <v>227</v>
      </c>
      <c r="IC20" s="6" t="str">
        <f t="shared" si="12"/>
        <v>RO_Data[3].STEP_DESC[</v>
      </c>
      <c r="ID20" s="26">
        <f t="shared" si="23"/>
        <v>15</v>
      </c>
      <c r="IE20" s="30" t="s">
        <v>23</v>
      </c>
    </row>
    <row r="21" spans="1:239" x14ac:dyDescent="0.25">
      <c r="A21" s="8">
        <v>16</v>
      </c>
      <c r="B21" s="8" t="str">
        <f t="shared" si="0"/>
        <v>PUMPING DOWN FEED TANK</v>
      </c>
      <c r="C21" s="82"/>
      <c r="D21" s="6" t="str">
        <f t="shared" si="1"/>
        <v>RO_Data[3].ACK_DESC[</v>
      </c>
      <c r="E21" s="26">
        <f t="shared" si="13"/>
        <v>16</v>
      </c>
      <c r="F21" s="30" t="s">
        <v>23</v>
      </c>
      <c r="G21" s="11">
        <v>0</v>
      </c>
      <c r="H21" s="6" t="str">
        <f t="shared" si="2"/>
        <v>RO_Data[3].MIN[</v>
      </c>
      <c r="I21" s="26">
        <f t="shared" si="14"/>
        <v>16</v>
      </c>
      <c r="J21" s="30" t="s">
        <v>23</v>
      </c>
      <c r="K21" s="11">
        <v>1</v>
      </c>
      <c r="L21" s="6" t="str">
        <f t="shared" si="3"/>
        <v>RO_Data[3].SEC[</v>
      </c>
      <c r="M21" s="26">
        <f t="shared" si="15"/>
        <v>16</v>
      </c>
      <c r="N21" s="30" t="s">
        <v>23</v>
      </c>
      <c r="O21" s="12">
        <v>0</v>
      </c>
      <c r="P21" s="6" t="str">
        <f t="shared" si="4"/>
        <v>RO_Data[3].SETPOINT[</v>
      </c>
      <c r="Q21" s="26">
        <f t="shared" si="16"/>
        <v>16</v>
      </c>
      <c r="R21" s="30" t="s">
        <v>23</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23</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23</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23</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23</v>
      </c>
      <c r="IB21" s="10" t="s">
        <v>231</v>
      </c>
      <c r="IC21" s="6" t="str">
        <f t="shared" si="12"/>
        <v>RO_Data[3].STEP_DESC[</v>
      </c>
      <c r="ID21" s="26">
        <f t="shared" si="23"/>
        <v>16</v>
      </c>
      <c r="IE21" s="30" t="s">
        <v>23</v>
      </c>
    </row>
    <row r="22" spans="1:239" x14ac:dyDescent="0.25">
      <c r="A22" s="8">
        <v>17</v>
      </c>
      <c r="B22" s="8" t="str">
        <f t="shared" si="0"/>
        <v>DRAINING FEEDTANK</v>
      </c>
      <c r="C22" s="82"/>
      <c r="D22" s="6" t="str">
        <f t="shared" si="1"/>
        <v>RO_Data[3].ACK_DESC[</v>
      </c>
      <c r="E22" s="26">
        <f t="shared" si="13"/>
        <v>17</v>
      </c>
      <c r="F22" s="30" t="s">
        <v>23</v>
      </c>
      <c r="G22" s="11">
        <v>0</v>
      </c>
      <c r="H22" s="6" t="str">
        <f t="shared" si="2"/>
        <v>RO_Data[3].MIN[</v>
      </c>
      <c r="I22" s="26">
        <f t="shared" si="14"/>
        <v>17</v>
      </c>
      <c r="J22" s="30" t="s">
        <v>23</v>
      </c>
      <c r="K22" s="11">
        <v>1</v>
      </c>
      <c r="L22" s="6" t="str">
        <f t="shared" si="3"/>
        <v>RO_Data[3].SEC[</v>
      </c>
      <c r="M22" s="26">
        <f t="shared" si="15"/>
        <v>17</v>
      </c>
      <c r="N22" s="30" t="s">
        <v>23</v>
      </c>
      <c r="O22" s="12">
        <v>0</v>
      </c>
      <c r="P22" s="6" t="str">
        <f t="shared" si="4"/>
        <v>RO_Data[3].SETPOINT[</v>
      </c>
      <c r="Q22" s="26">
        <f t="shared" si="16"/>
        <v>17</v>
      </c>
      <c r="R22" s="30" t="s">
        <v>23</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23</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23</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23</v>
      </c>
      <c r="IB22" s="10" t="s">
        <v>245</v>
      </c>
      <c r="IC22" s="6" t="str">
        <f t="shared" si="12"/>
        <v>RO_Data[3].STEP_DESC[</v>
      </c>
      <c r="ID22" s="26">
        <f t="shared" si="23"/>
        <v>17</v>
      </c>
      <c r="IE22" s="30" t="s">
        <v>23</v>
      </c>
    </row>
    <row r="23" spans="1:239" x14ac:dyDescent="0.25">
      <c r="A23" s="8">
        <v>18</v>
      </c>
      <c r="B23" s="8" t="str">
        <f t="shared" si="0"/>
        <v>CYCLE COMPLETE</v>
      </c>
      <c r="C23" s="82"/>
      <c r="D23" s="6" t="str">
        <f t="shared" si="1"/>
        <v>RO_Data[3].ACK_DESC[</v>
      </c>
      <c r="E23" s="26">
        <f t="shared" si="13"/>
        <v>18</v>
      </c>
      <c r="F23" s="30" t="s">
        <v>23</v>
      </c>
      <c r="G23" s="11">
        <v>0</v>
      </c>
      <c r="H23" s="6" t="str">
        <f t="shared" si="2"/>
        <v>RO_Data[3].MIN[</v>
      </c>
      <c r="I23" s="26">
        <f t="shared" si="14"/>
        <v>18</v>
      </c>
      <c r="J23" s="30" t="s">
        <v>23</v>
      </c>
      <c r="K23" s="11">
        <v>0</v>
      </c>
      <c r="L23" s="6" t="str">
        <f t="shared" si="3"/>
        <v>RO_Data[3].SEC[</v>
      </c>
      <c r="M23" s="26">
        <f t="shared" si="15"/>
        <v>18</v>
      </c>
      <c r="N23" s="30" t="s">
        <v>23</v>
      </c>
      <c r="O23" s="12">
        <v>0</v>
      </c>
      <c r="P23" s="6" t="str">
        <f t="shared" si="4"/>
        <v>RO_Data[3].SETPOINT[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23</v>
      </c>
      <c r="IB23" s="10" t="s">
        <v>224</v>
      </c>
      <c r="IC23" s="6" t="str">
        <f t="shared" si="12"/>
        <v>RO_Data[3].STEP_DESC[</v>
      </c>
      <c r="ID23" s="26">
        <f t="shared" si="23"/>
        <v>18</v>
      </c>
      <c r="IE23" s="30" t="s">
        <v>23</v>
      </c>
    </row>
    <row r="24" spans="1:239" x14ac:dyDescent="0.25">
      <c r="A24" s="8">
        <v>19</v>
      </c>
      <c r="B24" s="8" t="str">
        <f t="shared" si="0"/>
        <v/>
      </c>
      <c r="C24" s="82"/>
      <c r="D24" s="6" t="str">
        <f t="shared" si="1"/>
        <v>RO_Data[3].ACK_DESC[</v>
      </c>
      <c r="E24" s="26">
        <f t="shared" si="13"/>
        <v>19</v>
      </c>
      <c r="F24" s="30" t="s">
        <v>23</v>
      </c>
      <c r="G24" s="11">
        <v>0</v>
      </c>
      <c r="H24" s="6" t="str">
        <f t="shared" si="2"/>
        <v>RO_Data[3].MIN[</v>
      </c>
      <c r="I24" s="26">
        <f t="shared" si="14"/>
        <v>19</v>
      </c>
      <c r="J24" s="30" t="s">
        <v>23</v>
      </c>
      <c r="K24" s="11">
        <v>0</v>
      </c>
      <c r="L24" s="6" t="str">
        <f t="shared" si="3"/>
        <v>RO_Data[3].SEC[</v>
      </c>
      <c r="M24" s="26">
        <f t="shared" si="15"/>
        <v>19</v>
      </c>
      <c r="N24" s="30" t="s">
        <v>23</v>
      </c>
      <c r="O24" s="12">
        <v>0</v>
      </c>
      <c r="P24" s="6" t="str">
        <f t="shared" si="4"/>
        <v>RO_Data[3].SETPOINT[</v>
      </c>
      <c r="Q24" s="26">
        <f t="shared" si="16"/>
        <v>19</v>
      </c>
      <c r="R24" s="30" t="s">
        <v>23</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23</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23</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23</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23</v>
      </c>
      <c r="IB24" s="10"/>
      <c r="IC24" s="6" t="str">
        <f t="shared" si="12"/>
        <v>RO_Data[3].STEP_DESC[</v>
      </c>
      <c r="ID24" s="26">
        <f t="shared" si="23"/>
        <v>19</v>
      </c>
      <c r="IE24" s="30" t="s">
        <v>23</v>
      </c>
    </row>
    <row r="25" spans="1:239" x14ac:dyDescent="0.25">
      <c r="A25" s="8">
        <v>20</v>
      </c>
      <c r="B25" s="8" t="str">
        <f t="shared" si="0"/>
        <v/>
      </c>
      <c r="C25" s="82"/>
      <c r="D25" s="6" t="str">
        <f t="shared" si="1"/>
        <v>RO_Data[3].ACK_DESC[</v>
      </c>
      <c r="E25" s="26">
        <f t="shared" si="13"/>
        <v>20</v>
      </c>
      <c r="F25" s="30" t="s">
        <v>23</v>
      </c>
      <c r="G25" s="11">
        <v>0</v>
      </c>
      <c r="H25" s="6" t="str">
        <f t="shared" si="2"/>
        <v>RO_Data[3].MIN[</v>
      </c>
      <c r="I25" s="26">
        <f t="shared" si="14"/>
        <v>20</v>
      </c>
      <c r="J25" s="30" t="s">
        <v>23</v>
      </c>
      <c r="K25" s="11">
        <v>0</v>
      </c>
      <c r="L25" s="6" t="str">
        <f t="shared" si="3"/>
        <v>RO_Data[3].SEC[</v>
      </c>
      <c r="M25" s="26">
        <f t="shared" si="15"/>
        <v>20</v>
      </c>
      <c r="N25" s="30" t="s">
        <v>23</v>
      </c>
      <c r="O25" s="12">
        <v>0</v>
      </c>
      <c r="P25" s="6" t="str">
        <f t="shared" si="4"/>
        <v>RO_Data[3].SETPOINT[</v>
      </c>
      <c r="Q25" s="26">
        <f t="shared" si="16"/>
        <v>20</v>
      </c>
      <c r="R25" s="30" t="s">
        <v>23</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23</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23</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23</v>
      </c>
      <c r="IB25" s="10"/>
      <c r="IC25" s="6" t="str">
        <f t="shared" si="12"/>
        <v>RO_Data[3].STEP_DESC[</v>
      </c>
      <c r="ID25" s="26">
        <f t="shared" si="23"/>
        <v>20</v>
      </c>
      <c r="IE25" s="30" t="s">
        <v>23</v>
      </c>
    </row>
    <row r="26" spans="1:239" x14ac:dyDescent="0.25">
      <c r="A26" s="8">
        <v>21</v>
      </c>
      <c r="B26" s="8" t="str">
        <f t="shared" si="0"/>
        <v/>
      </c>
      <c r="C26" s="82"/>
      <c r="D26" s="6" t="str">
        <f t="shared" si="1"/>
        <v>RO_Data[3].ACK_DESC[</v>
      </c>
      <c r="E26" s="26">
        <f t="shared" si="13"/>
        <v>21</v>
      </c>
      <c r="F26" s="30" t="s">
        <v>23</v>
      </c>
      <c r="G26" s="11">
        <v>0</v>
      </c>
      <c r="H26" s="6" t="str">
        <f t="shared" si="2"/>
        <v>RO_Data[3].MIN[</v>
      </c>
      <c r="I26" s="26">
        <f t="shared" si="14"/>
        <v>21</v>
      </c>
      <c r="J26" s="30" t="s">
        <v>23</v>
      </c>
      <c r="K26" s="11">
        <v>0</v>
      </c>
      <c r="L26" s="6" t="str">
        <f t="shared" si="3"/>
        <v>RO_Data[3].SEC[</v>
      </c>
      <c r="M26" s="26">
        <f t="shared" si="15"/>
        <v>21</v>
      </c>
      <c r="N26" s="30" t="s">
        <v>23</v>
      </c>
      <c r="O26" s="12">
        <v>0</v>
      </c>
      <c r="P26" s="6" t="str">
        <f t="shared" si="4"/>
        <v>RO_Data[3].SETPOINT[</v>
      </c>
      <c r="Q26" s="26">
        <f t="shared" si="16"/>
        <v>21</v>
      </c>
      <c r="R26" s="30"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23</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23</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23</v>
      </c>
      <c r="IB26" s="10"/>
      <c r="IC26" s="6" t="str">
        <f t="shared" si="12"/>
        <v>RO_Data[3].STEP_DESC[</v>
      </c>
      <c r="ID26" s="26">
        <f t="shared" si="23"/>
        <v>21</v>
      </c>
      <c r="IE26" s="30" t="s">
        <v>23</v>
      </c>
    </row>
    <row r="27" spans="1:239" x14ac:dyDescent="0.25">
      <c r="A27" s="8">
        <v>22</v>
      </c>
      <c r="B27" s="8" t="str">
        <f t="shared" si="0"/>
        <v/>
      </c>
      <c r="C27" s="82"/>
      <c r="D27" s="6" t="str">
        <f t="shared" si="1"/>
        <v>RO_Data[3].ACK_DESC[</v>
      </c>
      <c r="E27" s="26">
        <f t="shared" si="13"/>
        <v>22</v>
      </c>
      <c r="F27" s="30" t="s">
        <v>23</v>
      </c>
      <c r="G27" s="11">
        <v>0</v>
      </c>
      <c r="H27" s="6" t="str">
        <f t="shared" si="2"/>
        <v>RO_Data[3].MIN[</v>
      </c>
      <c r="I27" s="26">
        <f t="shared" si="14"/>
        <v>22</v>
      </c>
      <c r="J27" s="30" t="s">
        <v>23</v>
      </c>
      <c r="K27" s="11">
        <v>0</v>
      </c>
      <c r="L27" s="6" t="str">
        <f t="shared" si="3"/>
        <v>RO_Data[3].SEC[</v>
      </c>
      <c r="M27" s="26">
        <f t="shared" si="15"/>
        <v>22</v>
      </c>
      <c r="N27" s="30" t="s">
        <v>23</v>
      </c>
      <c r="O27" s="12">
        <v>0</v>
      </c>
      <c r="P27" s="6" t="str">
        <f t="shared" si="4"/>
        <v>RO_Data[3].SETPOINT[</v>
      </c>
      <c r="Q27" s="26">
        <f t="shared" si="16"/>
        <v>22</v>
      </c>
      <c r="R27" s="30" t="s">
        <v>23</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23</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23</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23</v>
      </c>
      <c r="IB27" s="10"/>
      <c r="IC27" s="6" t="str">
        <f t="shared" si="12"/>
        <v>RO_Data[3].STEP_DESC[</v>
      </c>
      <c r="ID27" s="26">
        <f t="shared" si="23"/>
        <v>22</v>
      </c>
      <c r="IE27" s="30" t="s">
        <v>23</v>
      </c>
    </row>
    <row r="28" spans="1:239" x14ac:dyDescent="0.25">
      <c r="A28" s="8">
        <v>23</v>
      </c>
      <c r="B28" s="8" t="str">
        <f t="shared" si="0"/>
        <v/>
      </c>
      <c r="C28" s="82"/>
      <c r="D28" s="6" t="str">
        <f t="shared" si="1"/>
        <v>RO_Data[3].ACK_DESC[</v>
      </c>
      <c r="E28" s="26">
        <f t="shared" si="13"/>
        <v>23</v>
      </c>
      <c r="F28" s="30" t="s">
        <v>23</v>
      </c>
      <c r="G28" s="11">
        <v>0</v>
      </c>
      <c r="H28" s="6" t="str">
        <f t="shared" si="2"/>
        <v>RO_Data[3].MIN[</v>
      </c>
      <c r="I28" s="26">
        <f t="shared" si="14"/>
        <v>23</v>
      </c>
      <c r="J28" s="30" t="s">
        <v>23</v>
      </c>
      <c r="K28" s="11">
        <v>0</v>
      </c>
      <c r="L28" s="6" t="str">
        <f t="shared" si="3"/>
        <v>RO_Data[3].SEC[</v>
      </c>
      <c r="M28" s="26">
        <f t="shared" si="15"/>
        <v>23</v>
      </c>
      <c r="N28" s="30" t="s">
        <v>23</v>
      </c>
      <c r="O28" s="12">
        <v>0</v>
      </c>
      <c r="P28" s="6" t="str">
        <f t="shared" si="4"/>
        <v>RO_Data[3].SETPOINT[</v>
      </c>
      <c r="Q28" s="26">
        <f t="shared" si="16"/>
        <v>23</v>
      </c>
      <c r="R28" s="30" t="s">
        <v>23</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23</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23</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23</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23</v>
      </c>
      <c r="IB28" s="10"/>
      <c r="IC28" s="6" t="str">
        <f t="shared" si="12"/>
        <v>RO_Data[3].STEP_DESC[</v>
      </c>
      <c r="ID28" s="26">
        <f t="shared" si="23"/>
        <v>23</v>
      </c>
      <c r="IE28" s="30" t="s">
        <v>23</v>
      </c>
    </row>
    <row r="29" spans="1:239" ht="15.75" customHeight="1" x14ac:dyDescent="0.25">
      <c r="A29" s="8">
        <v>24</v>
      </c>
      <c r="B29" s="8" t="str">
        <f t="shared" si="0"/>
        <v/>
      </c>
      <c r="C29" s="10"/>
      <c r="D29" s="6" t="str">
        <f t="shared" si="1"/>
        <v>RO_Data[3].ACK_DESC[</v>
      </c>
      <c r="E29" s="26">
        <f t="shared" si="13"/>
        <v>24</v>
      </c>
      <c r="F29" s="30" t="s">
        <v>23</v>
      </c>
      <c r="G29" s="12">
        <v>0</v>
      </c>
      <c r="H29" s="6" t="str">
        <f t="shared" si="2"/>
        <v>RO_Data[3].MIN[</v>
      </c>
      <c r="I29" s="26">
        <f t="shared" si="14"/>
        <v>24</v>
      </c>
      <c r="J29" s="30" t="s">
        <v>23</v>
      </c>
      <c r="K29" s="12">
        <v>0</v>
      </c>
      <c r="L29" s="6" t="str">
        <f t="shared" si="3"/>
        <v>RO_Data[3].SEC[</v>
      </c>
      <c r="M29" s="26">
        <f t="shared" si="15"/>
        <v>24</v>
      </c>
      <c r="N29" s="30" t="s">
        <v>23</v>
      </c>
      <c r="O29" s="12">
        <v>0</v>
      </c>
      <c r="P29" s="6" t="str">
        <f t="shared" si="4"/>
        <v>RO_Data[3].SETPOINT[</v>
      </c>
      <c r="Q29" s="26">
        <f t="shared" si="16"/>
        <v>24</v>
      </c>
      <c r="R29" s="30" t="s">
        <v>23</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23</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23</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23</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23</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23</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23</v>
      </c>
      <c r="IB29" s="10"/>
      <c r="IC29" s="6" t="str">
        <f t="shared" si="12"/>
        <v>RO_Data[3].STEP_DESC[</v>
      </c>
      <c r="ID29" s="26">
        <f t="shared" si="23"/>
        <v>24</v>
      </c>
      <c r="IE29" s="30" t="s">
        <v>23</v>
      </c>
    </row>
    <row r="30" spans="1:239" x14ac:dyDescent="0.25">
      <c r="A30" s="8">
        <v>25</v>
      </c>
      <c r="B30" s="8" t="str">
        <f t="shared" si="0"/>
        <v/>
      </c>
      <c r="C30" s="8"/>
      <c r="D30" s="6" t="str">
        <f t="shared" si="1"/>
        <v>RO_Data[3].ACK_DESC[</v>
      </c>
      <c r="E30" s="26">
        <v>25</v>
      </c>
      <c r="F30" s="30" t="s">
        <v>23</v>
      </c>
      <c r="G30" s="12">
        <v>0</v>
      </c>
      <c r="H30" s="6" t="str">
        <f t="shared" si="2"/>
        <v>RO_Data[3].MIN[</v>
      </c>
      <c r="I30" s="26">
        <v>25</v>
      </c>
      <c r="J30" s="30" t="s">
        <v>23</v>
      </c>
      <c r="K30" s="12">
        <v>0</v>
      </c>
      <c r="L30" s="6" t="str">
        <f t="shared" si="3"/>
        <v>RO_Data[3].SEC[</v>
      </c>
      <c r="M30" s="26">
        <v>25</v>
      </c>
      <c r="N30" s="30" t="s">
        <v>23</v>
      </c>
      <c r="O30" s="12">
        <v>0</v>
      </c>
      <c r="P30" s="6" t="str">
        <f t="shared" si="4"/>
        <v>RO_Data[3].SETPOINT[</v>
      </c>
      <c r="Q30" s="26">
        <v>25</v>
      </c>
      <c r="R30" s="30" t="s">
        <v>23</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23</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23</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23</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23</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23</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23</v>
      </c>
      <c r="IB30" s="8"/>
      <c r="IC30" s="6" t="str">
        <f t="shared" si="12"/>
        <v>RO_Data[3].STEP_DESC[</v>
      </c>
      <c r="ID30" s="26">
        <v>25</v>
      </c>
      <c r="IE30" s="30" t="s">
        <v>23</v>
      </c>
    </row>
    <row r="31" spans="1:239" x14ac:dyDescent="0.25">
      <c r="A31" s="8">
        <v>26</v>
      </c>
      <c r="B31" s="8" t="str">
        <f t="shared" si="0"/>
        <v/>
      </c>
      <c r="C31" s="8"/>
      <c r="D31" s="6" t="str">
        <f t="shared" si="1"/>
        <v>RO_Data[3].ACK_DESC[</v>
      </c>
      <c r="E31" s="26">
        <v>26</v>
      </c>
      <c r="F31" s="30" t="s">
        <v>23</v>
      </c>
      <c r="G31" s="12">
        <v>0</v>
      </c>
      <c r="H31" s="6" t="str">
        <f t="shared" si="2"/>
        <v>RO_Data[3].MIN[</v>
      </c>
      <c r="I31" s="26">
        <v>26</v>
      </c>
      <c r="J31" s="30" t="s">
        <v>23</v>
      </c>
      <c r="K31" s="12">
        <v>0</v>
      </c>
      <c r="L31" s="6" t="str">
        <f t="shared" si="3"/>
        <v>RO_Data[3].SEC[</v>
      </c>
      <c r="M31" s="26">
        <v>26</v>
      </c>
      <c r="N31" s="30" t="s">
        <v>23</v>
      </c>
      <c r="O31" s="12">
        <v>0</v>
      </c>
      <c r="P31" s="6" t="str">
        <f t="shared" si="4"/>
        <v>RO_Data[3].SETPOINT[</v>
      </c>
      <c r="Q31" s="26">
        <v>26</v>
      </c>
      <c r="R31" s="30" t="s">
        <v>23</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23</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23</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23</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23</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23</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23</v>
      </c>
      <c r="IB31" s="8"/>
      <c r="IC31" s="6" t="str">
        <f t="shared" si="12"/>
        <v>RO_Data[3].STEP_DESC[</v>
      </c>
      <c r="ID31" s="26">
        <v>26</v>
      </c>
      <c r="IE31" s="30" t="s">
        <v>23</v>
      </c>
    </row>
    <row r="32" spans="1:239" x14ac:dyDescent="0.25">
      <c r="A32" s="8">
        <v>27</v>
      </c>
      <c r="B32" s="8" t="str">
        <f t="shared" si="0"/>
        <v/>
      </c>
      <c r="C32" s="8"/>
      <c r="D32" s="6" t="str">
        <f t="shared" si="1"/>
        <v>RO_Data[3].ACK_DESC[</v>
      </c>
      <c r="E32" s="26">
        <v>27</v>
      </c>
      <c r="F32" s="30" t="s">
        <v>23</v>
      </c>
      <c r="G32" s="12">
        <v>0</v>
      </c>
      <c r="H32" s="6" t="str">
        <f t="shared" si="2"/>
        <v>RO_Data[3].MIN[</v>
      </c>
      <c r="I32" s="26">
        <v>27</v>
      </c>
      <c r="J32" s="30" t="s">
        <v>23</v>
      </c>
      <c r="K32" s="12">
        <v>0</v>
      </c>
      <c r="L32" s="6" t="str">
        <f t="shared" si="3"/>
        <v>RO_Data[3].SEC[</v>
      </c>
      <c r="M32" s="26">
        <v>27</v>
      </c>
      <c r="N32" s="30" t="s">
        <v>23</v>
      </c>
      <c r="O32" s="12">
        <v>0</v>
      </c>
      <c r="P32" s="6" t="str">
        <f t="shared" si="4"/>
        <v>RO_Data[3].SETPOINT[</v>
      </c>
      <c r="Q32" s="26">
        <v>27</v>
      </c>
      <c r="R32" s="30" t="s">
        <v>23</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23</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23</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23</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23</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23</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23</v>
      </c>
      <c r="IB32" s="8"/>
      <c r="IC32" s="6" t="str">
        <f t="shared" si="12"/>
        <v>RO_Data[3].STEP_DESC[</v>
      </c>
      <c r="ID32" s="26">
        <v>27</v>
      </c>
      <c r="IE32" s="30" t="s">
        <v>23</v>
      </c>
    </row>
    <row r="33" spans="1:239" x14ac:dyDescent="0.25">
      <c r="A33" s="8">
        <v>28</v>
      </c>
      <c r="B33" s="8" t="str">
        <f t="shared" si="0"/>
        <v/>
      </c>
      <c r="C33" s="8"/>
      <c r="D33" s="6" t="str">
        <f t="shared" si="1"/>
        <v>RO_Data[3].ACK_DESC[</v>
      </c>
      <c r="E33" s="26">
        <v>28</v>
      </c>
      <c r="F33" s="30" t="s">
        <v>23</v>
      </c>
      <c r="G33" s="12">
        <v>0</v>
      </c>
      <c r="H33" s="6" t="str">
        <f t="shared" si="2"/>
        <v>RO_Data[3].MIN[</v>
      </c>
      <c r="I33" s="26">
        <v>28</v>
      </c>
      <c r="J33" s="30" t="s">
        <v>23</v>
      </c>
      <c r="K33" s="12">
        <v>0</v>
      </c>
      <c r="L33" s="6" t="str">
        <f t="shared" si="3"/>
        <v>RO_Data[3].SEC[</v>
      </c>
      <c r="M33" s="26">
        <v>28</v>
      </c>
      <c r="N33" s="30" t="s">
        <v>23</v>
      </c>
      <c r="O33" s="12">
        <v>0</v>
      </c>
      <c r="P33" s="6" t="str">
        <f t="shared" si="4"/>
        <v>RO_Data[3].SETPOINT[</v>
      </c>
      <c r="Q33" s="26">
        <v>28</v>
      </c>
      <c r="R33" s="30" t="s">
        <v>23</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23</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23</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23</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23</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23</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23</v>
      </c>
      <c r="IB33" s="8"/>
      <c r="IC33" s="6" t="str">
        <f t="shared" si="12"/>
        <v>RO_Data[3].STEP_DESC[</v>
      </c>
      <c r="ID33" s="26">
        <v>28</v>
      </c>
      <c r="IE33" s="30" t="s">
        <v>23</v>
      </c>
    </row>
    <row r="34" spans="1:239" x14ac:dyDescent="0.25">
      <c r="A34" s="8">
        <v>29</v>
      </c>
      <c r="B34" s="8" t="str">
        <f t="shared" si="0"/>
        <v/>
      </c>
      <c r="C34" s="8"/>
      <c r="D34" s="6" t="str">
        <f t="shared" si="1"/>
        <v>RO_Data[3].ACK_DESC[</v>
      </c>
      <c r="E34" s="26">
        <v>29</v>
      </c>
      <c r="F34" s="30" t="s">
        <v>23</v>
      </c>
      <c r="G34" s="12">
        <v>0</v>
      </c>
      <c r="H34" s="6" t="str">
        <f t="shared" si="2"/>
        <v>RO_Data[3].MIN[</v>
      </c>
      <c r="I34" s="26">
        <v>29</v>
      </c>
      <c r="J34" s="30" t="s">
        <v>23</v>
      </c>
      <c r="K34" s="12">
        <v>0</v>
      </c>
      <c r="L34" s="6" t="str">
        <f t="shared" si="3"/>
        <v>RO_Data[3].SEC[</v>
      </c>
      <c r="M34" s="26">
        <v>29</v>
      </c>
      <c r="N34" s="30" t="s">
        <v>23</v>
      </c>
      <c r="O34" s="12">
        <v>0</v>
      </c>
      <c r="P34" s="6" t="str">
        <f t="shared" si="4"/>
        <v>RO_Data[3].SETPOINT[</v>
      </c>
      <c r="Q34" s="26">
        <v>29</v>
      </c>
      <c r="R34" s="30" t="s">
        <v>23</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23</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23</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23</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23</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23</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23</v>
      </c>
      <c r="IB34" s="8"/>
      <c r="IC34" s="6" t="str">
        <f t="shared" si="12"/>
        <v>RO_Data[3].STEP_DESC[</v>
      </c>
      <c r="ID34" s="26">
        <v>29</v>
      </c>
      <c r="IE34" s="30" t="s">
        <v>23</v>
      </c>
    </row>
    <row r="35" spans="1:239" ht="15.75" thickBot="1" x14ac:dyDescent="0.3">
      <c r="A35" s="56">
        <v>30</v>
      </c>
      <c r="B35" s="56" t="str">
        <f t="shared" si="0"/>
        <v/>
      </c>
      <c r="C35" s="56"/>
      <c r="D35" s="54" t="str">
        <f t="shared" si="1"/>
        <v>RO_Data[3].ACK_DESC[</v>
      </c>
      <c r="E35" s="55">
        <v>30</v>
      </c>
      <c r="F35" s="58" t="s">
        <v>23</v>
      </c>
      <c r="G35" s="91">
        <v>0</v>
      </c>
      <c r="H35" s="54" t="str">
        <f t="shared" si="2"/>
        <v>RO_Data[3].MIN[</v>
      </c>
      <c r="I35" s="55">
        <v>30</v>
      </c>
      <c r="J35" s="58" t="s">
        <v>23</v>
      </c>
      <c r="K35" s="91">
        <v>0</v>
      </c>
      <c r="L35" s="54" t="str">
        <f t="shared" si="3"/>
        <v>RO_Data[3].SEC[</v>
      </c>
      <c r="M35" s="55">
        <v>30</v>
      </c>
      <c r="N35" s="58" t="s">
        <v>23</v>
      </c>
      <c r="O35" s="91">
        <v>0</v>
      </c>
      <c r="P35" s="54" t="str">
        <f t="shared" si="4"/>
        <v>RO_Data[3].SETPOINT[</v>
      </c>
      <c r="Q35" s="55">
        <v>30</v>
      </c>
      <c r="R35" s="58" t="s">
        <v>23</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23</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23</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23</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23</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23</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23</v>
      </c>
      <c r="IB35" s="56"/>
      <c r="IC35" s="54" t="str">
        <f t="shared" si="12"/>
        <v>RO_Data[3].STEP_DESC[</v>
      </c>
      <c r="ID35" s="55">
        <v>30</v>
      </c>
      <c r="IE35" s="58" t="s">
        <v>23</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Program'!$B$31:$B$36</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206" t="s">
        <v>135</v>
      </c>
      <c r="B1" s="186"/>
      <c r="C1" s="186" t="s">
        <v>124</v>
      </c>
      <c r="D1" s="204"/>
      <c r="E1" s="204"/>
      <c r="F1" s="205"/>
      <c r="G1" s="186" t="s">
        <v>125</v>
      </c>
      <c r="H1" s="204"/>
      <c r="I1" s="204"/>
      <c r="J1" s="205"/>
      <c r="K1" s="186" t="s">
        <v>126</v>
      </c>
      <c r="L1" s="204"/>
      <c r="M1" s="204"/>
      <c r="N1" s="205"/>
      <c r="O1" s="186" t="s">
        <v>127</v>
      </c>
      <c r="P1" s="204"/>
      <c r="Q1" s="204"/>
      <c r="R1" s="205"/>
      <c r="S1" s="81"/>
      <c r="T1" s="207" t="s">
        <v>128</v>
      </c>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t="s">
        <v>129</v>
      </c>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t="s">
        <v>130</v>
      </c>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7"/>
      <c r="DQ1" s="207"/>
      <c r="DR1" s="207"/>
      <c r="DS1" s="207"/>
      <c r="DT1" s="207"/>
      <c r="DU1" s="207"/>
      <c r="DV1" s="207"/>
      <c r="DW1" s="207"/>
      <c r="DX1" s="186" t="s">
        <v>131</v>
      </c>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t="s">
        <v>132</v>
      </c>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c r="GR1" s="186" t="s">
        <v>133</v>
      </c>
      <c r="GS1" s="186"/>
      <c r="GT1" s="186"/>
      <c r="GU1" s="186"/>
      <c r="GV1" s="186"/>
      <c r="GW1" s="186"/>
      <c r="GX1" s="186"/>
      <c r="GY1" s="186"/>
      <c r="GZ1" s="186"/>
      <c r="HA1" s="186"/>
      <c r="HB1" s="186"/>
      <c r="HC1" s="186"/>
      <c r="HD1" s="186"/>
      <c r="HE1" s="186"/>
      <c r="HF1" s="186"/>
      <c r="HG1" s="186"/>
      <c r="HH1" s="186"/>
      <c r="HI1" s="186"/>
      <c r="HJ1" s="186"/>
      <c r="HK1" s="186"/>
      <c r="HL1" s="186"/>
      <c r="HM1" s="186"/>
      <c r="HN1" s="186"/>
      <c r="HO1" s="186"/>
      <c r="HP1" s="186"/>
      <c r="HQ1" s="186"/>
      <c r="HR1" s="186"/>
      <c r="HS1" s="186"/>
      <c r="HT1" s="186"/>
      <c r="HU1" s="186"/>
      <c r="HV1" s="186"/>
      <c r="HW1" s="186"/>
      <c r="HX1" s="186"/>
      <c r="HY1" s="186"/>
      <c r="HZ1" s="186"/>
      <c r="IA1" s="186"/>
      <c r="IB1" s="186" t="s">
        <v>134</v>
      </c>
      <c r="IC1" s="204"/>
      <c r="ID1" s="204"/>
      <c r="IE1" s="205"/>
    </row>
    <row r="2" spans="1:239" ht="312.75" thickBot="1" x14ac:dyDescent="0.3">
      <c r="A2" s="1"/>
      <c r="B2" s="2" t="s">
        <v>52</v>
      </c>
      <c r="C2" s="4" t="s">
        <v>110</v>
      </c>
      <c r="D2" s="199"/>
      <c r="E2" s="197"/>
      <c r="F2" s="217"/>
      <c r="G2" s="45" t="s">
        <v>108</v>
      </c>
      <c r="H2" s="208"/>
      <c r="I2" s="171"/>
      <c r="J2" s="216"/>
      <c r="K2" s="45" t="s">
        <v>111</v>
      </c>
      <c r="L2" s="208"/>
      <c r="M2" s="171"/>
      <c r="N2" s="216"/>
      <c r="O2" s="4" t="s">
        <v>107</v>
      </c>
      <c r="P2" s="209"/>
      <c r="Q2" s="171"/>
      <c r="R2" s="171"/>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95"/>
      <c r="BB2" s="187"/>
      <c r="BC2" s="188"/>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95"/>
      <c r="CL2" s="187"/>
      <c r="CM2" s="188"/>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95"/>
      <c r="DV2" s="187"/>
      <c r="DW2" s="188"/>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96"/>
      <c r="FF2" s="197"/>
      <c r="FG2" s="197"/>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96"/>
      <c r="GP2" s="197"/>
      <c r="GQ2" s="197"/>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96"/>
      <c r="HZ2" s="197"/>
      <c r="IA2" s="197"/>
      <c r="IB2" s="4" t="s">
        <v>19</v>
      </c>
      <c r="IC2" s="199"/>
      <c r="ID2" s="197"/>
      <c r="IE2" s="217"/>
    </row>
    <row r="3" spans="1:239" ht="15.75" customHeight="1" thickBot="1" x14ac:dyDescent="0.3">
      <c r="A3" s="78" t="s">
        <v>20</v>
      </c>
      <c r="B3" s="84"/>
      <c r="C3" s="78" t="s">
        <v>18</v>
      </c>
      <c r="D3" s="218" t="s">
        <v>21</v>
      </c>
      <c r="E3" s="187"/>
      <c r="F3" s="188"/>
      <c r="G3" s="78" t="s">
        <v>17</v>
      </c>
      <c r="H3" s="190" t="s">
        <v>21</v>
      </c>
      <c r="I3" s="187"/>
      <c r="J3" s="188"/>
      <c r="K3" s="78" t="s">
        <v>17</v>
      </c>
      <c r="L3" s="190" t="s">
        <v>21</v>
      </c>
      <c r="M3" s="187"/>
      <c r="N3" s="188"/>
      <c r="O3" s="78" t="s">
        <v>17</v>
      </c>
      <c r="P3" s="218" t="s">
        <v>21</v>
      </c>
      <c r="Q3" s="187"/>
      <c r="R3" s="188"/>
      <c r="S3" s="27"/>
      <c r="T3" s="189"/>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8"/>
      <c r="AZ3" s="78" t="s">
        <v>425</v>
      </c>
      <c r="BA3" s="190" t="s">
        <v>21</v>
      </c>
      <c r="BB3" s="187"/>
      <c r="BC3" s="188"/>
      <c r="BD3" s="189"/>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8"/>
      <c r="CJ3" s="78" t="s">
        <v>425</v>
      </c>
      <c r="CK3" s="190" t="s">
        <v>21</v>
      </c>
      <c r="CL3" s="187"/>
      <c r="CM3" s="188"/>
      <c r="CN3" s="189"/>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8"/>
      <c r="DT3" s="78" t="s">
        <v>425</v>
      </c>
      <c r="DU3" s="190" t="s">
        <v>21</v>
      </c>
      <c r="DV3" s="187"/>
      <c r="DW3" s="188"/>
      <c r="DX3" s="215"/>
      <c r="DY3" s="193"/>
      <c r="DZ3" s="193"/>
      <c r="EA3" s="193"/>
      <c r="EB3" s="193"/>
      <c r="EC3" s="193"/>
      <c r="ED3" s="193"/>
      <c r="EE3" s="193"/>
      <c r="EF3" s="193"/>
      <c r="EG3" s="193"/>
      <c r="EH3" s="193"/>
      <c r="EI3" s="193"/>
      <c r="EJ3" s="193"/>
      <c r="EK3" s="193"/>
      <c r="EL3" s="193"/>
      <c r="EM3" s="193"/>
      <c r="EN3" s="193"/>
      <c r="EO3" s="193"/>
      <c r="EP3" s="193"/>
      <c r="EQ3" s="193"/>
      <c r="ER3" s="193"/>
      <c r="ES3" s="193"/>
      <c r="ET3" s="193"/>
      <c r="EU3" s="193"/>
      <c r="EV3" s="193"/>
      <c r="EW3" s="193"/>
      <c r="EX3" s="193"/>
      <c r="EY3" s="193"/>
      <c r="EZ3" s="193"/>
      <c r="FA3" s="193"/>
      <c r="FB3" s="193"/>
      <c r="FC3" s="194"/>
      <c r="FD3" s="79" t="s">
        <v>425</v>
      </c>
      <c r="FE3" s="190" t="s">
        <v>21</v>
      </c>
      <c r="FF3" s="187"/>
      <c r="FG3" s="188"/>
      <c r="FH3" s="215"/>
      <c r="FI3" s="193"/>
      <c r="FJ3" s="193"/>
      <c r="FK3" s="193"/>
      <c r="FL3" s="193"/>
      <c r="FM3" s="193"/>
      <c r="FN3" s="193"/>
      <c r="FO3" s="193"/>
      <c r="FP3" s="193"/>
      <c r="FQ3" s="193"/>
      <c r="FR3" s="193"/>
      <c r="FS3" s="193"/>
      <c r="FT3" s="193"/>
      <c r="FU3" s="193"/>
      <c r="FV3" s="193"/>
      <c r="FW3" s="193"/>
      <c r="FX3" s="193"/>
      <c r="FY3" s="193"/>
      <c r="FZ3" s="193"/>
      <c r="GA3" s="193"/>
      <c r="GB3" s="193"/>
      <c r="GC3" s="193"/>
      <c r="GD3" s="193"/>
      <c r="GE3" s="193"/>
      <c r="GF3" s="193"/>
      <c r="GG3" s="193"/>
      <c r="GH3" s="193"/>
      <c r="GI3" s="193"/>
      <c r="GJ3" s="193"/>
      <c r="GK3" s="193"/>
      <c r="GL3" s="193"/>
      <c r="GM3" s="194"/>
      <c r="GN3" s="79" t="s">
        <v>425</v>
      </c>
      <c r="GO3" s="190" t="s">
        <v>21</v>
      </c>
      <c r="GP3" s="187"/>
      <c r="GQ3" s="188"/>
      <c r="GR3" s="215"/>
      <c r="GS3" s="193"/>
      <c r="GT3" s="193"/>
      <c r="GU3" s="193"/>
      <c r="GV3" s="193"/>
      <c r="GW3" s="193"/>
      <c r="GX3" s="193"/>
      <c r="GY3" s="193"/>
      <c r="GZ3" s="193"/>
      <c r="HA3" s="193"/>
      <c r="HB3" s="193"/>
      <c r="HC3" s="193"/>
      <c r="HD3" s="193"/>
      <c r="HE3" s="193"/>
      <c r="HF3" s="193"/>
      <c r="HG3" s="193"/>
      <c r="HH3" s="193"/>
      <c r="HI3" s="193"/>
      <c r="HJ3" s="193"/>
      <c r="HK3" s="193"/>
      <c r="HL3" s="193"/>
      <c r="HM3" s="193"/>
      <c r="HN3" s="193"/>
      <c r="HO3" s="193"/>
      <c r="HP3" s="193"/>
      <c r="HQ3" s="193"/>
      <c r="HR3" s="193"/>
      <c r="HS3" s="193"/>
      <c r="HT3" s="193"/>
      <c r="HU3" s="193"/>
      <c r="HV3" s="193"/>
      <c r="HW3" s="194"/>
      <c r="HX3" s="79" t="s">
        <v>425</v>
      </c>
      <c r="HY3" s="190" t="s">
        <v>21</v>
      </c>
      <c r="HZ3" s="187"/>
      <c r="IA3" s="188"/>
      <c r="IB3" s="78" t="s">
        <v>18</v>
      </c>
      <c r="IC3" s="218" t="s">
        <v>21</v>
      </c>
      <c r="ID3" s="187"/>
      <c r="IE3" s="188"/>
    </row>
    <row r="4" spans="1:239" x14ac:dyDescent="0.25">
      <c r="A4" s="8" t="s">
        <v>22</v>
      </c>
      <c r="B4" s="8" t="s">
        <v>19</v>
      </c>
      <c r="C4" s="30"/>
      <c r="D4" s="200"/>
      <c r="E4" s="201"/>
      <c r="F4" s="203"/>
      <c r="G4" s="7"/>
      <c r="H4" s="200"/>
      <c r="I4" s="201"/>
      <c r="J4" s="203"/>
      <c r="K4" s="7"/>
      <c r="L4" s="200"/>
      <c r="M4" s="201"/>
      <c r="N4" s="203"/>
      <c r="O4" s="5"/>
      <c r="P4" s="200"/>
      <c r="Q4" s="201"/>
      <c r="R4" s="203"/>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200"/>
      <c r="BB4" s="201"/>
      <c r="BC4" s="203"/>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200"/>
      <c r="CL4" s="201"/>
      <c r="CM4" s="203"/>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200"/>
      <c r="DV4" s="201"/>
      <c r="DW4" s="203"/>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200"/>
      <c r="FF4" s="201"/>
      <c r="FG4" s="203"/>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200"/>
      <c r="GP4" s="201"/>
      <c r="GQ4" s="203"/>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200"/>
      <c r="HZ4" s="201"/>
      <c r="IA4" s="203"/>
      <c r="IB4" s="8"/>
      <c r="IC4" s="200"/>
      <c r="ID4" s="201"/>
      <c r="IE4" s="203"/>
    </row>
    <row r="5" spans="1:239" x14ac:dyDescent="0.25">
      <c r="A5" s="8">
        <v>0</v>
      </c>
      <c r="B5" s="8" t="str">
        <f t="shared" ref="B5:B35" si="0">IF($IB5&lt;&gt;"", $IB5, "")</f>
        <v>HOME</v>
      </c>
      <c r="C5" s="82"/>
      <c r="D5" s="25" t="s">
        <v>384</v>
      </c>
      <c r="E5" s="26">
        <v>0</v>
      </c>
      <c r="F5" s="30" t="s">
        <v>23</v>
      </c>
      <c r="G5" s="11">
        <v>0</v>
      </c>
      <c r="H5" s="25" t="s">
        <v>385</v>
      </c>
      <c r="I5" s="26">
        <v>0</v>
      </c>
      <c r="J5" s="30" t="s">
        <v>23</v>
      </c>
      <c r="K5" s="11">
        <v>0</v>
      </c>
      <c r="L5" s="25" t="s">
        <v>386</v>
      </c>
      <c r="M5" s="26">
        <v>0</v>
      </c>
      <c r="N5" s="30" t="s">
        <v>23</v>
      </c>
      <c r="O5" s="12">
        <v>0</v>
      </c>
      <c r="P5" s="25" t="s">
        <v>387</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388</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389</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390</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391</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392</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393</v>
      </c>
      <c r="HZ5" s="26">
        <v>0</v>
      </c>
      <c r="IA5" s="30" t="s">
        <v>23</v>
      </c>
      <c r="IB5" s="10" t="s">
        <v>207</v>
      </c>
      <c r="IC5" s="25" t="s">
        <v>394</v>
      </c>
      <c r="ID5" s="26">
        <v>0</v>
      </c>
      <c r="IE5" s="30" t="s">
        <v>23</v>
      </c>
    </row>
    <row r="6" spans="1:239" x14ac:dyDescent="0.25">
      <c r="A6" s="8">
        <v>1</v>
      </c>
      <c r="B6" s="8" t="str">
        <f t="shared" si="0"/>
        <v>FILLING FEED TANK TO SET POINT LEVEL</v>
      </c>
      <c r="C6" s="82"/>
      <c r="D6" s="6" t="str">
        <f t="shared" ref="D6:D35" si="1">D$5</f>
        <v>RO_Data[4].ACK_DESC[</v>
      </c>
      <c r="E6" s="26">
        <f>E5+1</f>
        <v>1</v>
      </c>
      <c r="F6" s="30" t="s">
        <v>23</v>
      </c>
      <c r="G6" s="11">
        <v>0</v>
      </c>
      <c r="H6" s="6" t="str">
        <f t="shared" ref="H6:H35" si="2">H$5</f>
        <v>RO_Data[4].MIN[</v>
      </c>
      <c r="I6" s="26">
        <f>I5+1</f>
        <v>1</v>
      </c>
      <c r="J6" s="30" t="s">
        <v>23</v>
      </c>
      <c r="K6" s="11">
        <v>1</v>
      </c>
      <c r="L6" s="6" t="str">
        <f t="shared" ref="L6:L35" si="3">L$5</f>
        <v>RO_Data[4].SEC[</v>
      </c>
      <c r="M6" s="26">
        <f>M5+1</f>
        <v>1</v>
      </c>
      <c r="N6" s="30" t="s">
        <v>23</v>
      </c>
      <c r="O6" s="12">
        <v>0</v>
      </c>
      <c r="P6" s="6" t="str">
        <f t="shared" ref="P6:P35" si="4">P$5</f>
        <v>RO_Data[4].SETPOINT[</v>
      </c>
      <c r="Q6" s="26">
        <f>Q5+1</f>
        <v>1</v>
      </c>
      <c r="R6" s="30" t="s">
        <v>23</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23</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23</v>
      </c>
      <c r="IB6" s="10" t="s">
        <v>225</v>
      </c>
      <c r="IC6" s="6" t="str">
        <f t="shared" ref="IC6:IC35" si="12">IC$5</f>
        <v>RO_Data[4].STEP_DESC[</v>
      </c>
      <c r="ID6" s="26">
        <f>ID5+1</f>
        <v>1</v>
      </c>
      <c r="IE6" s="30" t="s">
        <v>23</v>
      </c>
    </row>
    <row r="7" spans="1:239" x14ac:dyDescent="0.25">
      <c r="A7" s="8">
        <v>2</v>
      </c>
      <c r="B7" s="8" t="str">
        <f t="shared" si="0"/>
        <v>STARTING PUMPS</v>
      </c>
      <c r="C7" s="82"/>
      <c r="D7" s="6" t="str">
        <f t="shared" si="1"/>
        <v>RO_Data[4].ACK_DESC[</v>
      </c>
      <c r="E7" s="26">
        <f t="shared" ref="E7:E29" si="13">E6+1</f>
        <v>2</v>
      </c>
      <c r="F7" s="30" t="s">
        <v>23</v>
      </c>
      <c r="G7" s="11">
        <v>0</v>
      </c>
      <c r="H7" s="6" t="str">
        <f t="shared" si="2"/>
        <v>RO_Data[4].MIN[</v>
      </c>
      <c r="I7" s="26">
        <f t="shared" ref="I7:I29" si="14">I6+1</f>
        <v>2</v>
      </c>
      <c r="J7" s="30" t="s">
        <v>23</v>
      </c>
      <c r="K7" s="11">
        <v>30</v>
      </c>
      <c r="L7" s="6" t="str">
        <f t="shared" si="3"/>
        <v>RO_Data[4].SEC[</v>
      </c>
      <c r="M7" s="26">
        <f t="shared" ref="M7:M29" si="15">M6+1</f>
        <v>2</v>
      </c>
      <c r="N7" s="30" t="s">
        <v>23</v>
      </c>
      <c r="O7" s="12">
        <v>0</v>
      </c>
      <c r="P7" s="6" t="str">
        <f t="shared" si="4"/>
        <v>RO_Data[4].SETPOINT[</v>
      </c>
      <c r="Q7" s="26">
        <f t="shared" ref="Q7:Q29" si="16">Q6+1</f>
        <v>2</v>
      </c>
      <c r="R7" s="30" t="s">
        <v>23</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23</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23</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23</v>
      </c>
      <c r="IB7" s="10" t="s">
        <v>226</v>
      </c>
      <c r="IC7" s="6" t="str">
        <f t="shared" si="12"/>
        <v>RO_Data[4].STEP_DESC[</v>
      </c>
      <c r="ID7" s="26">
        <f t="shared" ref="ID7:ID29" si="23">ID6+1</f>
        <v>2</v>
      </c>
      <c r="IE7" s="30" t="s">
        <v>23</v>
      </c>
    </row>
    <row r="8" spans="1:239" x14ac:dyDescent="0.25">
      <c r="A8" s="8">
        <v>3</v>
      </c>
      <c r="B8" s="8" t="str">
        <f t="shared" si="0"/>
        <v>ADDING CHEMICALS</v>
      </c>
      <c r="C8" s="82"/>
      <c r="D8" s="6" t="str">
        <f t="shared" si="1"/>
        <v>RO_Data[4].ACK_DESC[</v>
      </c>
      <c r="E8" s="26">
        <f t="shared" si="13"/>
        <v>3</v>
      </c>
      <c r="F8" s="30" t="s">
        <v>23</v>
      </c>
      <c r="G8" s="11">
        <v>0</v>
      </c>
      <c r="H8" s="6" t="str">
        <f t="shared" si="2"/>
        <v>RO_Data[4].MIN[</v>
      </c>
      <c r="I8" s="26">
        <f t="shared" si="14"/>
        <v>3</v>
      </c>
      <c r="J8" s="30" t="s">
        <v>23</v>
      </c>
      <c r="K8" s="11">
        <v>1</v>
      </c>
      <c r="L8" s="6" t="str">
        <f t="shared" si="3"/>
        <v>RO_Data[4].SEC[</v>
      </c>
      <c r="M8" s="26">
        <f t="shared" si="15"/>
        <v>3</v>
      </c>
      <c r="N8" s="30" t="s">
        <v>23</v>
      </c>
      <c r="O8" s="12">
        <v>0</v>
      </c>
      <c r="P8" s="6" t="str">
        <f t="shared" si="4"/>
        <v>RO_Data[4].SETPOINT[</v>
      </c>
      <c r="Q8" s="26">
        <f t="shared" si="16"/>
        <v>3</v>
      </c>
      <c r="R8" s="30" t="s">
        <v>23</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23</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23</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23</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23</v>
      </c>
      <c r="IB8" s="10" t="s">
        <v>228</v>
      </c>
      <c r="IC8" s="6" t="str">
        <f t="shared" si="12"/>
        <v>RO_Data[4].STEP_DESC[</v>
      </c>
      <c r="ID8" s="26">
        <f t="shared" si="23"/>
        <v>3</v>
      </c>
      <c r="IE8" s="30" t="s">
        <v>23</v>
      </c>
    </row>
    <row r="9" spans="1:239" x14ac:dyDescent="0.25">
      <c r="A9" s="8">
        <v>4</v>
      </c>
      <c r="B9" s="8" t="str">
        <f t="shared" si="0"/>
        <v>CHECK PH - HOLD FOR ACKNOWLEDGE</v>
      </c>
      <c r="C9" s="82" t="s">
        <v>355</v>
      </c>
      <c r="D9" s="6" t="str">
        <f t="shared" si="1"/>
        <v>RO_Data[4].ACK_DESC[</v>
      </c>
      <c r="E9" s="26">
        <f t="shared" si="13"/>
        <v>4</v>
      </c>
      <c r="F9" s="30" t="s">
        <v>23</v>
      </c>
      <c r="G9" s="11">
        <v>0</v>
      </c>
      <c r="H9" s="6" t="str">
        <f t="shared" si="2"/>
        <v>RO_Data[4].MIN[</v>
      </c>
      <c r="I9" s="26">
        <f t="shared" si="14"/>
        <v>4</v>
      </c>
      <c r="J9" s="30" t="s">
        <v>23</v>
      </c>
      <c r="K9" s="11">
        <v>1</v>
      </c>
      <c r="L9" s="6" t="str">
        <f t="shared" si="3"/>
        <v>RO_Data[4].SEC[</v>
      </c>
      <c r="M9" s="26">
        <f t="shared" si="15"/>
        <v>4</v>
      </c>
      <c r="N9" s="30" t="s">
        <v>23</v>
      </c>
      <c r="O9" s="12">
        <v>0</v>
      </c>
      <c r="P9" s="6" t="str">
        <f t="shared" si="4"/>
        <v>RO_Data[4].SETPOINT[</v>
      </c>
      <c r="Q9" s="26">
        <f t="shared" si="16"/>
        <v>4</v>
      </c>
      <c r="R9" s="30" t="s">
        <v>23</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23</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23</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23</v>
      </c>
      <c r="IB9" s="10" t="s">
        <v>356</v>
      </c>
      <c r="IC9" s="6" t="str">
        <f t="shared" si="12"/>
        <v>RO_Data[4].STEP_DESC[</v>
      </c>
      <c r="ID9" s="26">
        <f t="shared" si="23"/>
        <v>4</v>
      </c>
      <c r="IE9" s="30" t="s">
        <v>23</v>
      </c>
    </row>
    <row r="10" spans="1:239" x14ac:dyDescent="0.25">
      <c r="A10" s="8">
        <v>5</v>
      </c>
      <c r="B10" s="8" t="str">
        <f t="shared" si="0"/>
        <v>RECIRCULATE SOAK CHEMICALS</v>
      </c>
      <c r="C10" s="82"/>
      <c r="D10" s="6" t="str">
        <f t="shared" si="1"/>
        <v>RO_Data[4].ACK_DESC[</v>
      </c>
      <c r="E10" s="26">
        <f t="shared" si="13"/>
        <v>5</v>
      </c>
      <c r="F10" s="30" t="s">
        <v>23</v>
      </c>
      <c r="G10" s="11">
        <v>0</v>
      </c>
      <c r="H10" s="6" t="str">
        <f t="shared" si="2"/>
        <v>RO_Data[4].MIN[</v>
      </c>
      <c r="I10" s="26">
        <f t="shared" si="14"/>
        <v>5</v>
      </c>
      <c r="J10" s="30" t="s">
        <v>23</v>
      </c>
      <c r="K10" s="11">
        <v>1</v>
      </c>
      <c r="L10" s="6" t="str">
        <f t="shared" si="3"/>
        <v>RO_Data[4].SEC[</v>
      </c>
      <c r="M10" s="26">
        <f t="shared" si="15"/>
        <v>5</v>
      </c>
      <c r="N10" s="30" t="s">
        <v>23</v>
      </c>
      <c r="O10" s="12">
        <v>0</v>
      </c>
      <c r="P10" s="6" t="str">
        <f t="shared" si="4"/>
        <v>RO_Data[4].SETPOINT[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23</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23</v>
      </c>
      <c r="IB10" s="10" t="s">
        <v>246</v>
      </c>
      <c r="IC10" s="6" t="str">
        <f t="shared" si="12"/>
        <v>RO_Data[4].STEP_DESC[</v>
      </c>
      <c r="ID10" s="26">
        <f t="shared" si="23"/>
        <v>5</v>
      </c>
      <c r="IE10" s="30" t="s">
        <v>23</v>
      </c>
    </row>
    <row r="11" spans="1:239" x14ac:dyDescent="0.25">
      <c r="A11" s="8">
        <v>6</v>
      </c>
      <c r="B11" s="8" t="str">
        <f t="shared" si="0"/>
        <v>PAUSE</v>
      </c>
      <c r="C11" s="82"/>
      <c r="D11" s="6" t="str">
        <f t="shared" si="1"/>
        <v>RO_Data[4].ACK_DESC[</v>
      </c>
      <c r="E11" s="26">
        <f t="shared" si="13"/>
        <v>6</v>
      </c>
      <c r="F11" s="30" t="s">
        <v>23</v>
      </c>
      <c r="G11" s="11">
        <v>0</v>
      </c>
      <c r="H11" s="6" t="str">
        <f t="shared" si="2"/>
        <v>RO_Data[4].MIN[</v>
      </c>
      <c r="I11" s="26">
        <f t="shared" si="14"/>
        <v>6</v>
      </c>
      <c r="J11" s="30" t="s">
        <v>23</v>
      </c>
      <c r="K11" s="11">
        <v>10</v>
      </c>
      <c r="L11" s="6" t="str">
        <f t="shared" si="3"/>
        <v>RO_Data[4].SEC[</v>
      </c>
      <c r="M11" s="26">
        <f t="shared" si="15"/>
        <v>6</v>
      </c>
      <c r="N11" s="30" t="s">
        <v>23</v>
      </c>
      <c r="O11" s="12">
        <v>0</v>
      </c>
      <c r="P11" s="6" t="str">
        <f t="shared" si="4"/>
        <v>RO_Data[4].SETPOINT[</v>
      </c>
      <c r="Q11" s="26">
        <f t="shared" si="16"/>
        <v>6</v>
      </c>
      <c r="R11" s="30" t="s">
        <v>23</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23</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23</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23</v>
      </c>
      <c r="IB11" s="10" t="s">
        <v>223</v>
      </c>
      <c r="IC11" s="6" t="str">
        <f t="shared" si="12"/>
        <v>RO_Data[4].STEP_DESC[</v>
      </c>
      <c r="ID11" s="26">
        <f t="shared" si="23"/>
        <v>6</v>
      </c>
      <c r="IE11" s="30" t="s">
        <v>23</v>
      </c>
    </row>
    <row r="12" spans="1:239" x14ac:dyDescent="0.25">
      <c r="A12" s="8">
        <v>7</v>
      </c>
      <c r="B12" s="8" t="str">
        <f t="shared" si="0"/>
        <v>SOAKING</v>
      </c>
      <c r="C12" s="82"/>
      <c r="D12" s="6" t="str">
        <f t="shared" si="1"/>
        <v>RO_Data[4].ACK_DESC[</v>
      </c>
      <c r="E12" s="26">
        <f t="shared" si="13"/>
        <v>7</v>
      </c>
      <c r="F12" s="30" t="s">
        <v>23</v>
      </c>
      <c r="G12" s="11">
        <v>0</v>
      </c>
      <c r="H12" s="6" t="str">
        <f t="shared" si="2"/>
        <v>RO_Data[4].MIN[</v>
      </c>
      <c r="I12" s="26">
        <f t="shared" si="14"/>
        <v>7</v>
      </c>
      <c r="J12" s="30" t="s">
        <v>23</v>
      </c>
      <c r="K12" s="11">
        <v>1</v>
      </c>
      <c r="L12" s="6" t="str">
        <f t="shared" si="3"/>
        <v>RO_Data[4].SEC[</v>
      </c>
      <c r="M12" s="26">
        <f t="shared" si="15"/>
        <v>7</v>
      </c>
      <c r="N12" s="30" t="s">
        <v>23</v>
      </c>
      <c r="O12" s="12">
        <v>0</v>
      </c>
      <c r="P12" s="6" t="str">
        <f t="shared" si="4"/>
        <v>RO_Data[4].SETPOINT[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23</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23</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23</v>
      </c>
      <c r="IB12" s="10" t="s">
        <v>247</v>
      </c>
      <c r="IC12" s="6" t="str">
        <f t="shared" si="12"/>
        <v>RO_Data[4].STEP_DESC[</v>
      </c>
      <c r="ID12" s="26">
        <f t="shared" si="23"/>
        <v>7</v>
      </c>
      <c r="IE12" s="30" t="s">
        <v>23</v>
      </c>
    </row>
    <row r="13" spans="1:239" s="75" customFormat="1" x14ac:dyDescent="0.25">
      <c r="A13" s="64">
        <v>8</v>
      </c>
      <c r="B13" s="64" t="str">
        <f t="shared" si="0"/>
        <v>PUMPING DOWN FEED TANK</v>
      </c>
      <c r="C13" s="83"/>
      <c r="D13" s="6" t="str">
        <f t="shared" si="1"/>
        <v>RO_Data[4].ACK_DESC[</v>
      </c>
      <c r="E13" s="67">
        <f t="shared" si="13"/>
        <v>8</v>
      </c>
      <c r="F13" s="68" t="s">
        <v>23</v>
      </c>
      <c r="G13" s="69">
        <v>0</v>
      </c>
      <c r="H13" s="6" t="str">
        <f t="shared" si="2"/>
        <v>RO_Data[4].MIN[</v>
      </c>
      <c r="I13" s="67">
        <f t="shared" si="14"/>
        <v>8</v>
      </c>
      <c r="J13" s="68" t="s">
        <v>23</v>
      </c>
      <c r="K13" s="11">
        <v>1</v>
      </c>
      <c r="L13" s="6" t="str">
        <f t="shared" si="3"/>
        <v>RO_Data[4].SEC[</v>
      </c>
      <c r="M13" s="67">
        <f t="shared" si="15"/>
        <v>8</v>
      </c>
      <c r="N13" s="68" t="s">
        <v>23</v>
      </c>
      <c r="O13" s="70">
        <v>0</v>
      </c>
      <c r="P13" s="6" t="str">
        <f t="shared" si="4"/>
        <v>RO_Data[4].SETPOINT[</v>
      </c>
      <c r="Q13" s="67">
        <f t="shared" si="16"/>
        <v>8</v>
      </c>
      <c r="R13" s="68" t="s">
        <v>23</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23</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23</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23</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23</v>
      </c>
      <c r="IB13" s="65" t="s">
        <v>231</v>
      </c>
      <c r="IC13" s="6" t="str">
        <f t="shared" si="12"/>
        <v>RO_Data[4].STEP_DESC[</v>
      </c>
      <c r="ID13" s="67">
        <f t="shared" si="23"/>
        <v>8</v>
      </c>
      <c r="IE13" s="68" t="s">
        <v>23</v>
      </c>
    </row>
    <row r="14" spans="1:239" s="75" customFormat="1" x14ac:dyDescent="0.25">
      <c r="A14" s="64">
        <v>9</v>
      </c>
      <c r="B14" s="64" t="str">
        <f t="shared" si="0"/>
        <v>DRAINING FEED TANK</v>
      </c>
      <c r="C14" s="83"/>
      <c r="D14" s="6" t="str">
        <f t="shared" si="1"/>
        <v>RO_Data[4].ACK_DESC[</v>
      </c>
      <c r="E14" s="67">
        <f t="shared" si="13"/>
        <v>9</v>
      </c>
      <c r="F14" s="68" t="s">
        <v>23</v>
      </c>
      <c r="G14" s="69">
        <v>0</v>
      </c>
      <c r="H14" s="6" t="str">
        <f t="shared" si="2"/>
        <v>RO_Data[4].MIN[</v>
      </c>
      <c r="I14" s="67">
        <f t="shared" si="14"/>
        <v>9</v>
      </c>
      <c r="J14" s="68" t="s">
        <v>23</v>
      </c>
      <c r="K14" s="11">
        <v>1</v>
      </c>
      <c r="L14" s="6" t="str">
        <f t="shared" si="3"/>
        <v>RO_Data[4].SEC[</v>
      </c>
      <c r="M14" s="67">
        <f t="shared" si="15"/>
        <v>9</v>
      </c>
      <c r="N14" s="68" t="s">
        <v>23</v>
      </c>
      <c r="O14" s="70">
        <v>0</v>
      </c>
      <c r="P14" s="6" t="str">
        <f t="shared" si="4"/>
        <v>RO_Data[4].SETPOINT[</v>
      </c>
      <c r="Q14" s="67">
        <f t="shared" si="16"/>
        <v>9</v>
      </c>
      <c r="R14" s="68" t="s">
        <v>23</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23</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23</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23</v>
      </c>
      <c r="IB14" s="65" t="s">
        <v>232</v>
      </c>
      <c r="IC14" s="6" t="str">
        <f t="shared" si="12"/>
        <v>RO_Data[4].STEP_DESC[</v>
      </c>
      <c r="ID14" s="67">
        <f t="shared" si="23"/>
        <v>9</v>
      </c>
      <c r="IE14" s="68" t="s">
        <v>23</v>
      </c>
    </row>
    <row r="15" spans="1:239" s="75" customFormat="1" x14ac:dyDescent="0.25">
      <c r="A15" s="64">
        <v>10</v>
      </c>
      <c r="B15" s="64" t="str">
        <f t="shared" si="0"/>
        <v>FILLING FEED TANK TO SET POINT LEVEL</v>
      </c>
      <c r="C15" s="83"/>
      <c r="D15" s="6" t="str">
        <f t="shared" si="1"/>
        <v>RO_Data[4].ACK_DESC[</v>
      </c>
      <c r="E15" s="67">
        <f t="shared" si="13"/>
        <v>10</v>
      </c>
      <c r="F15" s="68" t="s">
        <v>23</v>
      </c>
      <c r="G15" s="69">
        <v>0</v>
      </c>
      <c r="H15" s="6" t="str">
        <f t="shared" si="2"/>
        <v>RO_Data[4].MIN[</v>
      </c>
      <c r="I15" s="67">
        <f t="shared" si="14"/>
        <v>10</v>
      </c>
      <c r="J15" s="68" t="s">
        <v>23</v>
      </c>
      <c r="K15" s="11">
        <v>1</v>
      </c>
      <c r="L15" s="6" t="str">
        <f t="shared" si="3"/>
        <v>RO_Data[4].SEC[</v>
      </c>
      <c r="M15" s="67">
        <f t="shared" si="15"/>
        <v>10</v>
      </c>
      <c r="N15" s="68" t="s">
        <v>23</v>
      </c>
      <c r="O15" s="70">
        <v>0</v>
      </c>
      <c r="P15" s="6" t="str">
        <f t="shared" si="4"/>
        <v>RO_Data[4].SETPOINT[</v>
      </c>
      <c r="Q15" s="67">
        <f t="shared" si="16"/>
        <v>10</v>
      </c>
      <c r="R15" s="68" t="s">
        <v>23</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23</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23</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23</v>
      </c>
      <c r="IB15" s="65" t="s">
        <v>225</v>
      </c>
      <c r="IC15" s="6" t="str">
        <f t="shared" si="12"/>
        <v>RO_Data[4].STEP_DESC[</v>
      </c>
      <c r="ID15" s="67">
        <f t="shared" si="23"/>
        <v>10</v>
      </c>
      <c r="IE15" s="68" t="s">
        <v>23</v>
      </c>
    </row>
    <row r="16" spans="1:239" x14ac:dyDescent="0.25">
      <c r="A16" s="8">
        <v>11</v>
      </c>
      <c r="B16" s="8" t="str">
        <f t="shared" si="0"/>
        <v>STARTING PUMPS</v>
      </c>
      <c r="C16" s="82"/>
      <c r="D16" s="6" t="str">
        <f t="shared" si="1"/>
        <v>RO_Data[4].ACK_DESC[</v>
      </c>
      <c r="E16" s="26">
        <f t="shared" si="13"/>
        <v>11</v>
      </c>
      <c r="F16" s="30" t="s">
        <v>23</v>
      </c>
      <c r="G16" s="11">
        <v>0</v>
      </c>
      <c r="H16" s="6" t="str">
        <f t="shared" si="2"/>
        <v>RO_Data[4].MIN[</v>
      </c>
      <c r="I16" s="26">
        <f t="shared" si="14"/>
        <v>11</v>
      </c>
      <c r="J16" s="30" t="s">
        <v>23</v>
      </c>
      <c r="K16" s="11">
        <v>30</v>
      </c>
      <c r="L16" s="6" t="str">
        <f t="shared" si="3"/>
        <v>RO_Data[4].SEC[</v>
      </c>
      <c r="M16" s="26">
        <f t="shared" si="15"/>
        <v>11</v>
      </c>
      <c r="N16" s="30" t="s">
        <v>23</v>
      </c>
      <c r="O16" s="12">
        <v>0</v>
      </c>
      <c r="P16" s="6" t="str">
        <f t="shared" si="4"/>
        <v>RO_Data[4].SETPOINT[</v>
      </c>
      <c r="Q16" s="26">
        <f t="shared" si="16"/>
        <v>11</v>
      </c>
      <c r="R16" s="30" t="s">
        <v>23</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23</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23</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23</v>
      </c>
      <c r="IB16" s="10" t="s">
        <v>226</v>
      </c>
      <c r="IC16" s="6" t="str">
        <f t="shared" si="12"/>
        <v>RO_Data[4].STEP_DESC[</v>
      </c>
      <c r="ID16" s="26">
        <f t="shared" si="23"/>
        <v>11</v>
      </c>
      <c r="IE16" s="30" t="s">
        <v>23</v>
      </c>
    </row>
    <row r="17" spans="1:239" x14ac:dyDescent="0.25">
      <c r="A17" s="8">
        <v>12</v>
      </c>
      <c r="B17" s="8" t="str">
        <f t="shared" si="0"/>
        <v>RINSING STAGES</v>
      </c>
      <c r="C17" s="82"/>
      <c r="D17" s="6" t="str">
        <f t="shared" si="1"/>
        <v>RO_Data[4].ACK_DESC[</v>
      </c>
      <c r="E17" s="26">
        <f t="shared" si="13"/>
        <v>12</v>
      </c>
      <c r="F17" s="30" t="s">
        <v>23</v>
      </c>
      <c r="G17" s="11">
        <v>0</v>
      </c>
      <c r="H17" s="6" t="str">
        <f t="shared" si="2"/>
        <v>RO_Data[4].MIN[</v>
      </c>
      <c r="I17" s="26">
        <f t="shared" si="14"/>
        <v>12</v>
      </c>
      <c r="J17" s="30" t="s">
        <v>23</v>
      </c>
      <c r="K17" s="11">
        <v>1</v>
      </c>
      <c r="L17" s="6" t="str">
        <f t="shared" si="3"/>
        <v>RO_Data[4].SEC[</v>
      </c>
      <c r="M17" s="26">
        <f t="shared" si="15"/>
        <v>12</v>
      </c>
      <c r="N17" s="30" t="s">
        <v>23</v>
      </c>
      <c r="O17" s="12">
        <v>0</v>
      </c>
      <c r="P17" s="6" t="str">
        <f t="shared" si="4"/>
        <v>RO_Data[4].SETPOINT[</v>
      </c>
      <c r="Q17" s="26">
        <f t="shared" si="16"/>
        <v>12</v>
      </c>
      <c r="R17" s="30" t="s">
        <v>23</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23</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23</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23</v>
      </c>
      <c r="IB17" s="10" t="s">
        <v>227</v>
      </c>
      <c r="IC17" s="6" t="str">
        <f t="shared" si="12"/>
        <v>RO_Data[4].STEP_DESC[</v>
      </c>
      <c r="ID17" s="26">
        <f t="shared" si="23"/>
        <v>12</v>
      </c>
      <c r="IE17" s="30" t="s">
        <v>23</v>
      </c>
    </row>
    <row r="18" spans="1:239" x14ac:dyDescent="0.25">
      <c r="A18" s="8">
        <v>13</v>
      </c>
      <c r="B18" s="8" t="str">
        <f t="shared" si="0"/>
        <v>PUMPING DOWN FEED TANK</v>
      </c>
      <c r="C18" s="82"/>
      <c r="D18" s="6" t="str">
        <f t="shared" si="1"/>
        <v>RO_Data[4].ACK_DESC[</v>
      </c>
      <c r="E18" s="26">
        <f t="shared" si="13"/>
        <v>13</v>
      </c>
      <c r="F18" s="30" t="s">
        <v>23</v>
      </c>
      <c r="G18" s="11">
        <v>0</v>
      </c>
      <c r="H18" s="6" t="str">
        <f t="shared" si="2"/>
        <v>RO_Data[4].MIN[</v>
      </c>
      <c r="I18" s="26">
        <f t="shared" si="14"/>
        <v>13</v>
      </c>
      <c r="J18" s="30" t="s">
        <v>23</v>
      </c>
      <c r="K18" s="11">
        <v>1</v>
      </c>
      <c r="L18" s="6" t="str">
        <f t="shared" si="3"/>
        <v>RO_Data[4].SEC[</v>
      </c>
      <c r="M18" s="26">
        <f t="shared" si="15"/>
        <v>13</v>
      </c>
      <c r="N18" s="30" t="s">
        <v>23</v>
      </c>
      <c r="O18" s="12">
        <v>0</v>
      </c>
      <c r="P18" s="6" t="str">
        <f t="shared" si="4"/>
        <v>RO_Data[4].SETPOINT[</v>
      </c>
      <c r="Q18" s="26">
        <f t="shared" si="16"/>
        <v>13</v>
      </c>
      <c r="R18" s="30" t="s">
        <v>23</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23</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23</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23</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23</v>
      </c>
      <c r="IB18" s="10" t="s">
        <v>231</v>
      </c>
      <c r="IC18" s="6" t="str">
        <f t="shared" si="12"/>
        <v>RO_Data[4].STEP_DESC[</v>
      </c>
      <c r="ID18" s="26">
        <f t="shared" si="23"/>
        <v>13</v>
      </c>
      <c r="IE18" s="30" t="s">
        <v>23</v>
      </c>
    </row>
    <row r="19" spans="1:239" x14ac:dyDescent="0.25">
      <c r="A19" s="8">
        <v>14</v>
      </c>
      <c r="B19" s="8" t="str">
        <f t="shared" si="0"/>
        <v>DRAINING FEED BALANCE TANK</v>
      </c>
      <c r="C19" s="82"/>
      <c r="D19" s="6" t="str">
        <f t="shared" si="1"/>
        <v>RO_Data[4].ACK_DESC[</v>
      </c>
      <c r="E19" s="26">
        <f t="shared" si="13"/>
        <v>14</v>
      </c>
      <c r="F19" s="30" t="s">
        <v>23</v>
      </c>
      <c r="G19" s="11">
        <v>0</v>
      </c>
      <c r="H19" s="6" t="str">
        <f t="shared" si="2"/>
        <v>RO_Data[4].MIN[</v>
      </c>
      <c r="I19" s="26">
        <f t="shared" si="14"/>
        <v>14</v>
      </c>
      <c r="J19" s="30" t="s">
        <v>23</v>
      </c>
      <c r="K19" s="11">
        <v>1</v>
      </c>
      <c r="L19" s="6" t="str">
        <f t="shared" si="3"/>
        <v>RO_Data[4].SEC[</v>
      </c>
      <c r="M19" s="26">
        <f t="shared" si="15"/>
        <v>14</v>
      </c>
      <c r="N19" s="30" t="s">
        <v>23</v>
      </c>
      <c r="O19" s="12">
        <v>0</v>
      </c>
      <c r="P19" s="6" t="str">
        <f t="shared" si="4"/>
        <v>RO_Data[4].SETPOINT[</v>
      </c>
      <c r="Q19" s="26">
        <f t="shared" si="16"/>
        <v>14</v>
      </c>
      <c r="R19" s="30" t="s">
        <v>23</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23</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23</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23</v>
      </c>
      <c r="IB19" s="10" t="s">
        <v>244</v>
      </c>
      <c r="IC19" s="6" t="str">
        <f t="shared" si="12"/>
        <v>RO_Data[4].STEP_DESC[</v>
      </c>
      <c r="ID19" s="26">
        <f t="shared" si="23"/>
        <v>14</v>
      </c>
      <c r="IE19" s="30" t="s">
        <v>23</v>
      </c>
    </row>
    <row r="20" spans="1:239" x14ac:dyDescent="0.25">
      <c r="A20" s="8">
        <v>15</v>
      </c>
      <c r="B20" s="8" t="str">
        <f t="shared" si="0"/>
        <v>CYCLE COMPLETE</v>
      </c>
      <c r="C20" s="82"/>
      <c r="D20" s="6" t="str">
        <f t="shared" si="1"/>
        <v>RO_Data[4].ACK_DESC[</v>
      </c>
      <c r="E20" s="26">
        <f t="shared" si="13"/>
        <v>15</v>
      </c>
      <c r="F20" s="30" t="s">
        <v>23</v>
      </c>
      <c r="G20" s="11">
        <v>0</v>
      </c>
      <c r="H20" s="6" t="str">
        <f t="shared" si="2"/>
        <v>RO_Data[4].MIN[</v>
      </c>
      <c r="I20" s="26">
        <f t="shared" si="14"/>
        <v>15</v>
      </c>
      <c r="J20" s="30" t="s">
        <v>23</v>
      </c>
      <c r="K20" s="11">
        <v>0</v>
      </c>
      <c r="L20" s="6" t="str">
        <f t="shared" si="3"/>
        <v>RO_Data[4].SEC[</v>
      </c>
      <c r="M20" s="26">
        <f t="shared" si="15"/>
        <v>15</v>
      </c>
      <c r="N20" s="30" t="s">
        <v>23</v>
      </c>
      <c r="O20" s="12">
        <v>0</v>
      </c>
      <c r="P20" s="6" t="str">
        <f t="shared" si="4"/>
        <v>RO_Data[4].SETPOINT[</v>
      </c>
      <c r="Q20" s="26">
        <f t="shared" si="16"/>
        <v>15</v>
      </c>
      <c r="R20" s="30" t="s">
        <v>23</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23</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23</v>
      </c>
      <c r="IB20" s="10" t="s">
        <v>224</v>
      </c>
      <c r="IC20" s="6" t="str">
        <f t="shared" si="12"/>
        <v>RO_Data[4].STEP_DESC[</v>
      </c>
      <c r="ID20" s="26">
        <f t="shared" si="23"/>
        <v>15</v>
      </c>
      <c r="IE20" s="30" t="s">
        <v>23</v>
      </c>
    </row>
    <row r="21" spans="1:239" x14ac:dyDescent="0.25">
      <c r="A21" s="8">
        <v>16</v>
      </c>
      <c r="B21" s="8" t="str">
        <f t="shared" si="0"/>
        <v/>
      </c>
      <c r="C21" s="82"/>
      <c r="D21" s="6" t="str">
        <f t="shared" si="1"/>
        <v>RO_Data[4].ACK_DESC[</v>
      </c>
      <c r="E21" s="26">
        <f t="shared" si="13"/>
        <v>16</v>
      </c>
      <c r="F21" s="30" t="s">
        <v>23</v>
      </c>
      <c r="G21" s="11">
        <v>0</v>
      </c>
      <c r="H21" s="6" t="str">
        <f t="shared" si="2"/>
        <v>RO_Data[4].MIN[</v>
      </c>
      <c r="I21" s="26">
        <f t="shared" si="14"/>
        <v>16</v>
      </c>
      <c r="J21" s="30" t="s">
        <v>23</v>
      </c>
      <c r="K21" s="11">
        <v>0</v>
      </c>
      <c r="L21" s="6" t="str">
        <f t="shared" si="3"/>
        <v>RO_Data[4].SEC[</v>
      </c>
      <c r="M21" s="26">
        <f t="shared" si="15"/>
        <v>16</v>
      </c>
      <c r="N21" s="30" t="s">
        <v>23</v>
      </c>
      <c r="O21" s="12">
        <v>0</v>
      </c>
      <c r="P21" s="6" t="str">
        <f t="shared" si="4"/>
        <v>RO_Data[4].SETPOINT[</v>
      </c>
      <c r="Q21" s="26">
        <f t="shared" si="16"/>
        <v>16</v>
      </c>
      <c r="R21" s="30" t="s">
        <v>23</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23</v>
      </c>
      <c r="IB21" s="10"/>
      <c r="IC21" s="6" t="str">
        <f t="shared" si="12"/>
        <v>RO_Data[4].STEP_DESC[</v>
      </c>
      <c r="ID21" s="26">
        <f t="shared" si="23"/>
        <v>16</v>
      </c>
      <c r="IE21" s="30" t="s">
        <v>23</v>
      </c>
    </row>
    <row r="22" spans="1:239" x14ac:dyDescent="0.25">
      <c r="A22" s="8">
        <v>17</v>
      </c>
      <c r="B22" s="8" t="str">
        <f t="shared" si="0"/>
        <v/>
      </c>
      <c r="C22" s="82"/>
      <c r="D22" s="6" t="str">
        <f t="shared" si="1"/>
        <v>RO_Data[4].ACK_DESC[</v>
      </c>
      <c r="E22" s="26">
        <f t="shared" si="13"/>
        <v>17</v>
      </c>
      <c r="F22" s="30" t="s">
        <v>23</v>
      </c>
      <c r="G22" s="11">
        <v>0</v>
      </c>
      <c r="H22" s="6" t="str">
        <f t="shared" si="2"/>
        <v>RO_Data[4].MIN[</v>
      </c>
      <c r="I22" s="26">
        <f t="shared" si="14"/>
        <v>17</v>
      </c>
      <c r="J22" s="30" t="s">
        <v>23</v>
      </c>
      <c r="K22" s="11">
        <v>0</v>
      </c>
      <c r="L22" s="6" t="str">
        <f t="shared" si="3"/>
        <v>RO_Data[4].SEC[</v>
      </c>
      <c r="M22" s="26">
        <f t="shared" si="15"/>
        <v>17</v>
      </c>
      <c r="N22" s="30" t="s">
        <v>23</v>
      </c>
      <c r="O22" s="12">
        <v>0</v>
      </c>
      <c r="P22" s="6" t="str">
        <f t="shared" si="4"/>
        <v>RO_Data[4].SETPOINT[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23</v>
      </c>
      <c r="IB22" s="10"/>
      <c r="IC22" s="6" t="str">
        <f t="shared" si="12"/>
        <v>RO_Data[4].STEP_DESC[</v>
      </c>
      <c r="ID22" s="26">
        <f t="shared" si="23"/>
        <v>17</v>
      </c>
      <c r="IE22" s="30" t="s">
        <v>23</v>
      </c>
    </row>
    <row r="23" spans="1:239" x14ac:dyDescent="0.25">
      <c r="A23" s="8">
        <v>18</v>
      </c>
      <c r="B23" s="8" t="str">
        <f t="shared" si="0"/>
        <v/>
      </c>
      <c r="C23" s="82"/>
      <c r="D23" s="6" t="str">
        <f t="shared" si="1"/>
        <v>RO_Data[4].ACK_DESC[</v>
      </c>
      <c r="E23" s="26">
        <f t="shared" si="13"/>
        <v>18</v>
      </c>
      <c r="F23" s="30" t="s">
        <v>23</v>
      </c>
      <c r="G23" s="11">
        <v>0</v>
      </c>
      <c r="H23" s="6" t="str">
        <f t="shared" si="2"/>
        <v>RO_Data[4].MIN[</v>
      </c>
      <c r="I23" s="26">
        <f t="shared" si="14"/>
        <v>18</v>
      </c>
      <c r="J23" s="30" t="s">
        <v>23</v>
      </c>
      <c r="K23" s="11">
        <v>0</v>
      </c>
      <c r="L23" s="6" t="str">
        <f t="shared" si="3"/>
        <v>RO_Data[4].SEC[</v>
      </c>
      <c r="M23" s="26">
        <f t="shared" si="15"/>
        <v>18</v>
      </c>
      <c r="N23" s="30" t="s">
        <v>23</v>
      </c>
      <c r="O23" s="12">
        <v>0</v>
      </c>
      <c r="P23" s="6" t="str">
        <f t="shared" si="4"/>
        <v>RO_Data[4].SETPOINT[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23</v>
      </c>
      <c r="IB23" s="10"/>
      <c r="IC23" s="6" t="str">
        <f t="shared" si="12"/>
        <v>RO_Data[4].STEP_DESC[</v>
      </c>
      <c r="ID23" s="26">
        <f t="shared" si="23"/>
        <v>18</v>
      </c>
      <c r="IE23" s="30" t="s">
        <v>23</v>
      </c>
    </row>
    <row r="24" spans="1:239" x14ac:dyDescent="0.25">
      <c r="A24" s="8">
        <v>19</v>
      </c>
      <c r="B24" s="8" t="str">
        <f t="shared" si="0"/>
        <v/>
      </c>
      <c r="C24" s="82"/>
      <c r="D24" s="6" t="str">
        <f t="shared" si="1"/>
        <v>RO_Data[4].ACK_DESC[</v>
      </c>
      <c r="E24" s="26">
        <f t="shared" si="13"/>
        <v>19</v>
      </c>
      <c r="F24" s="30" t="s">
        <v>23</v>
      </c>
      <c r="G24" s="11">
        <v>0</v>
      </c>
      <c r="H24" s="6" t="str">
        <f t="shared" si="2"/>
        <v>RO_Data[4].MIN[</v>
      </c>
      <c r="I24" s="26">
        <f t="shared" si="14"/>
        <v>19</v>
      </c>
      <c r="J24" s="30" t="s">
        <v>23</v>
      </c>
      <c r="K24" s="11">
        <v>0</v>
      </c>
      <c r="L24" s="6" t="str">
        <f t="shared" si="3"/>
        <v>RO_Data[4].SEC[</v>
      </c>
      <c r="M24" s="26">
        <f t="shared" si="15"/>
        <v>19</v>
      </c>
      <c r="N24" s="30" t="s">
        <v>23</v>
      </c>
      <c r="O24" s="12">
        <v>0</v>
      </c>
      <c r="P24" s="6" t="str">
        <f t="shared" si="4"/>
        <v>RO_Data[4].SETPOINT[</v>
      </c>
      <c r="Q24" s="26">
        <f t="shared" si="16"/>
        <v>19</v>
      </c>
      <c r="R24" s="30" t="s">
        <v>23</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23</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23</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23</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23</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23</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23</v>
      </c>
      <c r="IB24" s="10"/>
      <c r="IC24" s="6" t="str">
        <f t="shared" si="12"/>
        <v>RO_Data[4].STEP_DESC[</v>
      </c>
      <c r="ID24" s="26">
        <f t="shared" si="23"/>
        <v>19</v>
      </c>
      <c r="IE24" s="30" t="s">
        <v>23</v>
      </c>
    </row>
    <row r="25" spans="1:239" x14ac:dyDescent="0.25">
      <c r="A25" s="8">
        <v>20</v>
      </c>
      <c r="B25" s="8" t="str">
        <f t="shared" si="0"/>
        <v/>
      </c>
      <c r="C25" s="82"/>
      <c r="D25" s="6" t="str">
        <f t="shared" si="1"/>
        <v>RO_Data[4].ACK_DESC[</v>
      </c>
      <c r="E25" s="26">
        <f t="shared" si="13"/>
        <v>20</v>
      </c>
      <c r="F25" s="30" t="s">
        <v>23</v>
      </c>
      <c r="G25" s="11">
        <v>0</v>
      </c>
      <c r="H25" s="6" t="str">
        <f t="shared" si="2"/>
        <v>RO_Data[4].MIN[</v>
      </c>
      <c r="I25" s="26">
        <f t="shared" si="14"/>
        <v>20</v>
      </c>
      <c r="J25" s="30" t="s">
        <v>23</v>
      </c>
      <c r="K25" s="11">
        <v>0</v>
      </c>
      <c r="L25" s="6" t="str">
        <f t="shared" si="3"/>
        <v>RO_Data[4].SEC[</v>
      </c>
      <c r="M25" s="26">
        <f t="shared" si="15"/>
        <v>20</v>
      </c>
      <c r="N25" s="30" t="s">
        <v>23</v>
      </c>
      <c r="O25" s="12">
        <v>0</v>
      </c>
      <c r="P25" s="6" t="str">
        <f t="shared" si="4"/>
        <v>RO_Data[4].SETPOINT[</v>
      </c>
      <c r="Q25" s="26">
        <f t="shared" si="16"/>
        <v>20</v>
      </c>
      <c r="R25" s="30" t="s">
        <v>23</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23</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23</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23</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23</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23</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23</v>
      </c>
      <c r="IB25" s="10"/>
      <c r="IC25" s="6" t="str">
        <f t="shared" si="12"/>
        <v>RO_Data[4].STEP_DESC[</v>
      </c>
      <c r="ID25" s="26">
        <f t="shared" si="23"/>
        <v>20</v>
      </c>
      <c r="IE25" s="30" t="s">
        <v>23</v>
      </c>
    </row>
    <row r="26" spans="1:239" x14ac:dyDescent="0.25">
      <c r="A26" s="8">
        <v>21</v>
      </c>
      <c r="B26" s="8" t="str">
        <f t="shared" si="0"/>
        <v/>
      </c>
      <c r="C26" s="82"/>
      <c r="D26" s="6" t="str">
        <f t="shared" si="1"/>
        <v>RO_Data[4].ACK_DESC[</v>
      </c>
      <c r="E26" s="26">
        <f t="shared" si="13"/>
        <v>21</v>
      </c>
      <c r="F26" s="30" t="s">
        <v>23</v>
      </c>
      <c r="G26" s="11">
        <v>0</v>
      </c>
      <c r="H26" s="6" t="str">
        <f t="shared" si="2"/>
        <v>RO_Data[4].MIN[</v>
      </c>
      <c r="I26" s="26">
        <f t="shared" si="14"/>
        <v>21</v>
      </c>
      <c r="J26" s="30" t="s">
        <v>23</v>
      </c>
      <c r="K26" s="11">
        <v>0</v>
      </c>
      <c r="L26" s="6" t="str">
        <f t="shared" si="3"/>
        <v>RO_Data[4].SEC[</v>
      </c>
      <c r="M26" s="26">
        <f t="shared" si="15"/>
        <v>21</v>
      </c>
      <c r="N26" s="30" t="s">
        <v>23</v>
      </c>
      <c r="O26" s="12">
        <v>0</v>
      </c>
      <c r="P26" s="6" t="str">
        <f t="shared" si="4"/>
        <v>RO_Data[4].SETPOINT[</v>
      </c>
      <c r="Q26" s="26">
        <f t="shared" si="16"/>
        <v>21</v>
      </c>
      <c r="R26" s="30" t="s">
        <v>23</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23</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23</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23</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23</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23</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23</v>
      </c>
      <c r="IB26" s="10"/>
      <c r="IC26" s="6" t="str">
        <f t="shared" si="12"/>
        <v>RO_Data[4].STEP_DESC[</v>
      </c>
      <c r="ID26" s="26">
        <f t="shared" si="23"/>
        <v>21</v>
      </c>
      <c r="IE26" s="30" t="s">
        <v>23</v>
      </c>
    </row>
    <row r="27" spans="1:239" x14ac:dyDescent="0.25">
      <c r="A27" s="8">
        <v>22</v>
      </c>
      <c r="B27" s="8" t="str">
        <f t="shared" si="0"/>
        <v/>
      </c>
      <c r="C27" s="82"/>
      <c r="D27" s="6" t="str">
        <f t="shared" si="1"/>
        <v>RO_Data[4].ACK_DESC[</v>
      </c>
      <c r="E27" s="26">
        <f t="shared" si="13"/>
        <v>22</v>
      </c>
      <c r="F27" s="30" t="s">
        <v>23</v>
      </c>
      <c r="G27" s="11">
        <v>0</v>
      </c>
      <c r="H27" s="6" t="str">
        <f t="shared" si="2"/>
        <v>RO_Data[4].MIN[</v>
      </c>
      <c r="I27" s="26">
        <f t="shared" si="14"/>
        <v>22</v>
      </c>
      <c r="J27" s="30" t="s">
        <v>23</v>
      </c>
      <c r="K27" s="11">
        <v>0</v>
      </c>
      <c r="L27" s="6" t="str">
        <f t="shared" si="3"/>
        <v>RO_Data[4].SEC[</v>
      </c>
      <c r="M27" s="26">
        <f t="shared" si="15"/>
        <v>22</v>
      </c>
      <c r="N27" s="30" t="s">
        <v>23</v>
      </c>
      <c r="O27" s="12">
        <v>0</v>
      </c>
      <c r="P27" s="6" t="str">
        <f t="shared" si="4"/>
        <v>RO_Data[4].SETPOINT[</v>
      </c>
      <c r="Q27" s="26">
        <f t="shared" si="16"/>
        <v>22</v>
      </c>
      <c r="R27" s="30" t="s">
        <v>23</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23</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23</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23</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23</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23</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23</v>
      </c>
      <c r="IB27" s="10"/>
      <c r="IC27" s="6" t="str">
        <f t="shared" si="12"/>
        <v>RO_Data[4].STEP_DESC[</v>
      </c>
      <c r="ID27" s="26">
        <f t="shared" si="23"/>
        <v>22</v>
      </c>
      <c r="IE27" s="30" t="s">
        <v>23</v>
      </c>
    </row>
    <row r="28" spans="1:239" x14ac:dyDescent="0.25">
      <c r="A28" s="8">
        <v>23</v>
      </c>
      <c r="B28" s="8" t="str">
        <f t="shared" si="0"/>
        <v/>
      </c>
      <c r="C28" s="82"/>
      <c r="D28" s="6" t="str">
        <f t="shared" si="1"/>
        <v>RO_Data[4].ACK_DESC[</v>
      </c>
      <c r="E28" s="26">
        <f t="shared" si="13"/>
        <v>23</v>
      </c>
      <c r="F28" s="30" t="s">
        <v>23</v>
      </c>
      <c r="G28" s="11">
        <v>0</v>
      </c>
      <c r="H28" s="6" t="str">
        <f t="shared" si="2"/>
        <v>RO_Data[4].MIN[</v>
      </c>
      <c r="I28" s="26">
        <f t="shared" si="14"/>
        <v>23</v>
      </c>
      <c r="J28" s="30" t="s">
        <v>23</v>
      </c>
      <c r="K28" s="11">
        <v>0</v>
      </c>
      <c r="L28" s="6" t="str">
        <f t="shared" si="3"/>
        <v>RO_Data[4].SEC[</v>
      </c>
      <c r="M28" s="26">
        <f t="shared" si="15"/>
        <v>23</v>
      </c>
      <c r="N28" s="30" t="s">
        <v>23</v>
      </c>
      <c r="O28" s="12">
        <v>0</v>
      </c>
      <c r="P28" s="6" t="str">
        <f t="shared" si="4"/>
        <v>RO_Data[4].SETPOINT[</v>
      </c>
      <c r="Q28" s="26">
        <f t="shared" si="16"/>
        <v>23</v>
      </c>
      <c r="R28" s="30" t="s">
        <v>23</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23</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23</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23</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23</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23</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23</v>
      </c>
      <c r="IB28" s="10"/>
      <c r="IC28" s="6" t="str">
        <f t="shared" si="12"/>
        <v>RO_Data[4].STEP_DESC[</v>
      </c>
      <c r="ID28" s="26">
        <f t="shared" si="23"/>
        <v>23</v>
      </c>
      <c r="IE28" s="30" t="s">
        <v>23</v>
      </c>
    </row>
    <row r="29" spans="1:239" ht="15.75" customHeight="1" x14ac:dyDescent="0.25">
      <c r="A29" s="8">
        <v>24</v>
      </c>
      <c r="B29" s="8" t="str">
        <f t="shared" si="0"/>
        <v/>
      </c>
      <c r="C29" s="10"/>
      <c r="D29" s="6" t="str">
        <f t="shared" si="1"/>
        <v>RO_Data[4].ACK_DESC[</v>
      </c>
      <c r="E29" s="26">
        <f t="shared" si="13"/>
        <v>24</v>
      </c>
      <c r="F29" s="30" t="s">
        <v>23</v>
      </c>
      <c r="G29" s="12">
        <v>0</v>
      </c>
      <c r="H29" s="6" t="str">
        <f t="shared" si="2"/>
        <v>RO_Data[4].MIN[</v>
      </c>
      <c r="I29" s="26">
        <f t="shared" si="14"/>
        <v>24</v>
      </c>
      <c r="J29" s="30" t="s">
        <v>23</v>
      </c>
      <c r="K29" s="11">
        <v>0</v>
      </c>
      <c r="L29" s="6" t="str">
        <f t="shared" si="3"/>
        <v>RO_Data[4].SEC[</v>
      </c>
      <c r="M29" s="26">
        <f t="shared" si="15"/>
        <v>24</v>
      </c>
      <c r="N29" s="30" t="s">
        <v>23</v>
      </c>
      <c r="O29" s="12">
        <v>0</v>
      </c>
      <c r="P29" s="6" t="str">
        <f t="shared" si="4"/>
        <v>RO_Data[4].SETPOINT[</v>
      </c>
      <c r="Q29" s="26">
        <f t="shared" si="16"/>
        <v>24</v>
      </c>
      <c r="R29" s="30" t="s">
        <v>23</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23</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23</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23</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23</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23</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23</v>
      </c>
      <c r="IB29" s="10"/>
      <c r="IC29" s="6" t="str">
        <f t="shared" si="12"/>
        <v>RO_Data[4].STEP_DESC[</v>
      </c>
      <c r="ID29" s="26">
        <f t="shared" si="23"/>
        <v>24</v>
      </c>
      <c r="IE29" s="30" t="s">
        <v>23</v>
      </c>
    </row>
    <row r="30" spans="1:239" x14ac:dyDescent="0.25">
      <c r="A30" s="8">
        <v>25</v>
      </c>
      <c r="B30" s="8" t="str">
        <f t="shared" si="0"/>
        <v/>
      </c>
      <c r="C30" s="8"/>
      <c r="D30" s="6" t="str">
        <f t="shared" si="1"/>
        <v>RO_Data[4].ACK_DESC[</v>
      </c>
      <c r="E30" s="26">
        <v>25</v>
      </c>
      <c r="F30" s="30" t="s">
        <v>23</v>
      </c>
      <c r="G30" s="12">
        <v>0</v>
      </c>
      <c r="H30" s="6" t="str">
        <f t="shared" si="2"/>
        <v>RO_Data[4].MIN[</v>
      </c>
      <c r="I30" s="26">
        <v>25</v>
      </c>
      <c r="J30" s="30" t="s">
        <v>23</v>
      </c>
      <c r="K30" s="11">
        <v>0</v>
      </c>
      <c r="L30" s="6" t="str">
        <f t="shared" si="3"/>
        <v>RO_Data[4].SEC[</v>
      </c>
      <c r="M30" s="26">
        <v>25</v>
      </c>
      <c r="N30" s="30" t="s">
        <v>23</v>
      </c>
      <c r="O30" s="12">
        <v>0</v>
      </c>
      <c r="P30" s="6" t="str">
        <f t="shared" si="4"/>
        <v>RO_Data[4].SETPOINT[</v>
      </c>
      <c r="Q30" s="26">
        <v>25</v>
      </c>
      <c r="R30" s="30" t="s">
        <v>23</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23</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23</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23</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23</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23</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23</v>
      </c>
      <c r="IB30" s="8"/>
      <c r="IC30" s="6" t="str">
        <f t="shared" si="12"/>
        <v>RO_Data[4].STEP_DESC[</v>
      </c>
      <c r="ID30" s="26">
        <v>25</v>
      </c>
      <c r="IE30" s="30" t="s">
        <v>23</v>
      </c>
    </row>
    <row r="31" spans="1:239" x14ac:dyDescent="0.25">
      <c r="A31" s="8">
        <v>26</v>
      </c>
      <c r="B31" s="8" t="str">
        <f t="shared" si="0"/>
        <v/>
      </c>
      <c r="C31" s="8"/>
      <c r="D31" s="6" t="str">
        <f t="shared" si="1"/>
        <v>RO_Data[4].ACK_DESC[</v>
      </c>
      <c r="E31" s="26">
        <v>26</v>
      </c>
      <c r="F31" s="30" t="s">
        <v>23</v>
      </c>
      <c r="G31" s="12">
        <v>0</v>
      </c>
      <c r="H31" s="6" t="str">
        <f t="shared" si="2"/>
        <v>RO_Data[4].MIN[</v>
      </c>
      <c r="I31" s="26">
        <v>26</v>
      </c>
      <c r="J31" s="30" t="s">
        <v>23</v>
      </c>
      <c r="K31" s="11">
        <v>0</v>
      </c>
      <c r="L31" s="6" t="str">
        <f t="shared" si="3"/>
        <v>RO_Data[4].SEC[</v>
      </c>
      <c r="M31" s="26">
        <v>26</v>
      </c>
      <c r="N31" s="30" t="s">
        <v>23</v>
      </c>
      <c r="O31" s="12">
        <v>0</v>
      </c>
      <c r="P31" s="6" t="str">
        <f t="shared" si="4"/>
        <v>RO_Data[4].SETPOINT[</v>
      </c>
      <c r="Q31" s="26">
        <v>26</v>
      </c>
      <c r="R31" s="30" t="s">
        <v>23</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23</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23</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23</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23</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23</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23</v>
      </c>
      <c r="IB31" s="8"/>
      <c r="IC31" s="6" t="str">
        <f t="shared" si="12"/>
        <v>RO_Data[4].STEP_DESC[</v>
      </c>
      <c r="ID31" s="26">
        <v>26</v>
      </c>
      <c r="IE31" s="30" t="s">
        <v>23</v>
      </c>
    </row>
    <row r="32" spans="1:239" x14ac:dyDescent="0.25">
      <c r="A32" s="8">
        <v>27</v>
      </c>
      <c r="B32" s="8" t="str">
        <f t="shared" si="0"/>
        <v/>
      </c>
      <c r="C32" s="8"/>
      <c r="D32" s="6" t="str">
        <f t="shared" si="1"/>
        <v>RO_Data[4].ACK_DESC[</v>
      </c>
      <c r="E32" s="26">
        <v>27</v>
      </c>
      <c r="F32" s="30" t="s">
        <v>23</v>
      </c>
      <c r="G32" s="12">
        <v>0</v>
      </c>
      <c r="H32" s="6" t="str">
        <f t="shared" si="2"/>
        <v>RO_Data[4].MIN[</v>
      </c>
      <c r="I32" s="26">
        <v>27</v>
      </c>
      <c r="J32" s="30" t="s">
        <v>23</v>
      </c>
      <c r="K32" s="11">
        <v>0</v>
      </c>
      <c r="L32" s="6" t="str">
        <f t="shared" si="3"/>
        <v>RO_Data[4].SEC[</v>
      </c>
      <c r="M32" s="26">
        <v>27</v>
      </c>
      <c r="N32" s="30" t="s">
        <v>23</v>
      </c>
      <c r="O32" s="12">
        <v>0</v>
      </c>
      <c r="P32" s="6" t="str">
        <f t="shared" si="4"/>
        <v>RO_Data[4].SETPOINT[</v>
      </c>
      <c r="Q32" s="26">
        <v>27</v>
      </c>
      <c r="R32" s="30" t="s">
        <v>23</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23</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23</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23</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23</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23</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23</v>
      </c>
      <c r="IB32" s="8"/>
      <c r="IC32" s="6" t="str">
        <f t="shared" si="12"/>
        <v>RO_Data[4].STEP_DESC[</v>
      </c>
      <c r="ID32" s="26">
        <v>27</v>
      </c>
      <c r="IE32" s="30" t="s">
        <v>23</v>
      </c>
    </row>
    <row r="33" spans="1:239" x14ac:dyDescent="0.25">
      <c r="A33" s="8">
        <v>28</v>
      </c>
      <c r="B33" s="8" t="str">
        <f t="shared" si="0"/>
        <v/>
      </c>
      <c r="C33" s="8"/>
      <c r="D33" s="6" t="str">
        <f t="shared" si="1"/>
        <v>RO_Data[4].ACK_DESC[</v>
      </c>
      <c r="E33" s="26">
        <v>28</v>
      </c>
      <c r="F33" s="30" t="s">
        <v>23</v>
      </c>
      <c r="G33" s="12">
        <v>0</v>
      </c>
      <c r="H33" s="6" t="str">
        <f t="shared" si="2"/>
        <v>RO_Data[4].MIN[</v>
      </c>
      <c r="I33" s="26">
        <v>28</v>
      </c>
      <c r="J33" s="30" t="s">
        <v>23</v>
      </c>
      <c r="K33" s="11">
        <v>0</v>
      </c>
      <c r="L33" s="6" t="str">
        <f t="shared" si="3"/>
        <v>RO_Data[4].SEC[</v>
      </c>
      <c r="M33" s="26">
        <v>28</v>
      </c>
      <c r="N33" s="30" t="s">
        <v>23</v>
      </c>
      <c r="O33" s="12">
        <v>0</v>
      </c>
      <c r="P33" s="6" t="str">
        <f t="shared" si="4"/>
        <v>RO_Data[4].SETPOINT[</v>
      </c>
      <c r="Q33" s="26">
        <v>28</v>
      </c>
      <c r="R33" s="30" t="s">
        <v>23</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23</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23</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23</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23</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23</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23</v>
      </c>
      <c r="IB33" s="8"/>
      <c r="IC33" s="6" t="str">
        <f t="shared" si="12"/>
        <v>RO_Data[4].STEP_DESC[</v>
      </c>
      <c r="ID33" s="26">
        <v>28</v>
      </c>
      <c r="IE33" s="30" t="s">
        <v>23</v>
      </c>
    </row>
    <row r="34" spans="1:239" x14ac:dyDescent="0.25">
      <c r="A34" s="8">
        <v>29</v>
      </c>
      <c r="B34" s="8" t="str">
        <f t="shared" si="0"/>
        <v/>
      </c>
      <c r="C34" s="8"/>
      <c r="D34" s="6" t="str">
        <f t="shared" si="1"/>
        <v>RO_Data[4].ACK_DESC[</v>
      </c>
      <c r="E34" s="26">
        <v>29</v>
      </c>
      <c r="F34" s="30" t="s">
        <v>23</v>
      </c>
      <c r="G34" s="12">
        <v>0</v>
      </c>
      <c r="H34" s="6" t="str">
        <f t="shared" si="2"/>
        <v>RO_Data[4].MIN[</v>
      </c>
      <c r="I34" s="26">
        <v>29</v>
      </c>
      <c r="J34" s="30" t="s">
        <v>23</v>
      </c>
      <c r="K34" s="12">
        <v>0</v>
      </c>
      <c r="L34" s="6" t="str">
        <f t="shared" si="3"/>
        <v>RO_Data[4].SEC[</v>
      </c>
      <c r="M34" s="26">
        <v>29</v>
      </c>
      <c r="N34" s="30" t="s">
        <v>23</v>
      </c>
      <c r="O34" s="12">
        <v>0</v>
      </c>
      <c r="P34" s="6" t="str">
        <f t="shared" si="4"/>
        <v>RO_Data[4].SETPOINT[</v>
      </c>
      <c r="Q34" s="26">
        <v>29</v>
      </c>
      <c r="R34" s="30" t="s">
        <v>23</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23</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23</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23</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23</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23</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23</v>
      </c>
      <c r="IB34" s="8"/>
      <c r="IC34" s="6" t="str">
        <f t="shared" si="12"/>
        <v>RO_Data[4].STEP_DESC[</v>
      </c>
      <c r="ID34" s="26">
        <v>29</v>
      </c>
      <c r="IE34" s="30" t="s">
        <v>23</v>
      </c>
    </row>
    <row r="35" spans="1:239" ht="15.75" thickBot="1" x14ac:dyDescent="0.3">
      <c r="A35" s="56">
        <v>30</v>
      </c>
      <c r="B35" s="56" t="str">
        <f t="shared" si="0"/>
        <v/>
      </c>
      <c r="C35" s="56"/>
      <c r="D35" s="54" t="str">
        <f t="shared" si="1"/>
        <v>RO_Data[4].ACK_DESC[</v>
      </c>
      <c r="E35" s="55">
        <v>30</v>
      </c>
      <c r="F35" s="58" t="s">
        <v>23</v>
      </c>
      <c r="G35" s="91">
        <v>0</v>
      </c>
      <c r="H35" s="54" t="str">
        <f t="shared" si="2"/>
        <v>RO_Data[4].MIN[</v>
      </c>
      <c r="I35" s="55">
        <v>30</v>
      </c>
      <c r="J35" s="58" t="s">
        <v>23</v>
      </c>
      <c r="K35" s="91">
        <v>0</v>
      </c>
      <c r="L35" s="54" t="str">
        <f t="shared" si="3"/>
        <v>RO_Data[4].SEC[</v>
      </c>
      <c r="M35" s="55">
        <v>30</v>
      </c>
      <c r="N35" s="58" t="s">
        <v>23</v>
      </c>
      <c r="O35" s="91">
        <v>0</v>
      </c>
      <c r="P35" s="54" t="str">
        <f t="shared" si="4"/>
        <v>RO_Data[4].SETPOINT[</v>
      </c>
      <c r="Q35" s="55">
        <v>30</v>
      </c>
      <c r="R35" s="58" t="s">
        <v>23</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23</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23</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23</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23</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23</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23</v>
      </c>
      <c r="IB35" s="56"/>
      <c r="IC35" s="54" t="str">
        <f t="shared" si="12"/>
        <v>RO_Data[4].STEP_DESC[</v>
      </c>
      <c r="ID35" s="55">
        <v>30</v>
      </c>
      <c r="IE35" s="58" t="s">
        <v>23</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Program'!$B$31:$B$36</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206" t="s">
        <v>135</v>
      </c>
      <c r="B1" s="186"/>
      <c r="C1" s="186" t="s">
        <v>124</v>
      </c>
      <c r="D1" s="204"/>
      <c r="E1" s="204"/>
      <c r="F1" s="205"/>
      <c r="G1" s="186" t="s">
        <v>125</v>
      </c>
      <c r="H1" s="204"/>
      <c r="I1" s="204"/>
      <c r="J1" s="205"/>
      <c r="K1" s="186" t="s">
        <v>126</v>
      </c>
      <c r="L1" s="204"/>
      <c r="M1" s="204"/>
      <c r="N1" s="205"/>
      <c r="O1" s="186" t="s">
        <v>127</v>
      </c>
      <c r="P1" s="204"/>
      <c r="Q1" s="204"/>
      <c r="R1" s="205"/>
      <c r="S1" s="81"/>
      <c r="T1" s="207" t="s">
        <v>128</v>
      </c>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t="s">
        <v>129</v>
      </c>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t="s">
        <v>130</v>
      </c>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7"/>
      <c r="DQ1" s="207"/>
      <c r="DR1" s="207"/>
      <c r="DS1" s="207"/>
      <c r="DT1" s="207"/>
      <c r="DU1" s="207"/>
      <c r="DV1" s="207"/>
      <c r="DW1" s="207"/>
      <c r="DX1" s="186" t="s">
        <v>131</v>
      </c>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t="s">
        <v>132</v>
      </c>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c r="GR1" s="186" t="s">
        <v>133</v>
      </c>
      <c r="GS1" s="186"/>
      <c r="GT1" s="186"/>
      <c r="GU1" s="186"/>
      <c r="GV1" s="186"/>
      <c r="GW1" s="186"/>
      <c r="GX1" s="186"/>
      <c r="GY1" s="186"/>
      <c r="GZ1" s="186"/>
      <c r="HA1" s="186"/>
      <c r="HB1" s="186"/>
      <c r="HC1" s="186"/>
      <c r="HD1" s="186"/>
      <c r="HE1" s="186"/>
      <c r="HF1" s="186"/>
      <c r="HG1" s="186"/>
      <c r="HH1" s="186"/>
      <c r="HI1" s="186"/>
      <c r="HJ1" s="186"/>
      <c r="HK1" s="186"/>
      <c r="HL1" s="186"/>
      <c r="HM1" s="186"/>
      <c r="HN1" s="186"/>
      <c r="HO1" s="186"/>
      <c r="HP1" s="186"/>
      <c r="HQ1" s="186"/>
      <c r="HR1" s="186"/>
      <c r="HS1" s="186"/>
      <c r="HT1" s="186"/>
      <c r="HU1" s="186"/>
      <c r="HV1" s="186"/>
      <c r="HW1" s="186"/>
      <c r="HX1" s="186"/>
      <c r="HY1" s="186"/>
      <c r="HZ1" s="186"/>
      <c r="IA1" s="186"/>
      <c r="IB1" s="186" t="s">
        <v>134</v>
      </c>
      <c r="IC1" s="204"/>
      <c r="ID1" s="204"/>
      <c r="IE1" s="205"/>
    </row>
    <row r="2" spans="1:239" ht="312.75" thickBot="1" x14ac:dyDescent="0.3">
      <c r="A2" s="1"/>
      <c r="B2" s="2" t="s">
        <v>52</v>
      </c>
      <c r="C2" s="4" t="s">
        <v>110</v>
      </c>
      <c r="D2" s="199"/>
      <c r="E2" s="197"/>
      <c r="F2" s="217"/>
      <c r="G2" s="45" t="s">
        <v>108</v>
      </c>
      <c r="H2" s="208"/>
      <c r="I2" s="171"/>
      <c r="J2" s="216"/>
      <c r="K2" s="45" t="s">
        <v>111</v>
      </c>
      <c r="L2" s="208"/>
      <c r="M2" s="171"/>
      <c r="N2" s="216"/>
      <c r="O2" s="4" t="s">
        <v>107</v>
      </c>
      <c r="P2" s="209"/>
      <c r="Q2" s="171"/>
      <c r="R2" s="171"/>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95"/>
      <c r="BB2" s="187"/>
      <c r="BC2" s="188"/>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95"/>
      <c r="CL2" s="187"/>
      <c r="CM2" s="188"/>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95"/>
      <c r="DV2" s="187"/>
      <c r="DW2" s="188"/>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96"/>
      <c r="FF2" s="197"/>
      <c r="FG2" s="197"/>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96"/>
      <c r="GP2" s="197"/>
      <c r="GQ2" s="197"/>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96"/>
      <c r="HZ2" s="197"/>
      <c r="IA2" s="197"/>
      <c r="IB2" s="4" t="s">
        <v>19</v>
      </c>
      <c r="IC2" s="199"/>
      <c r="ID2" s="197"/>
      <c r="IE2" s="217"/>
    </row>
    <row r="3" spans="1:239" ht="15.75" customHeight="1" thickBot="1" x14ac:dyDescent="0.3">
      <c r="A3" s="78" t="s">
        <v>20</v>
      </c>
      <c r="B3" s="84"/>
      <c r="C3" s="78" t="s">
        <v>18</v>
      </c>
      <c r="D3" s="218" t="s">
        <v>21</v>
      </c>
      <c r="E3" s="187"/>
      <c r="F3" s="188"/>
      <c r="G3" s="78" t="s">
        <v>17</v>
      </c>
      <c r="H3" s="190" t="s">
        <v>21</v>
      </c>
      <c r="I3" s="187"/>
      <c r="J3" s="188"/>
      <c r="K3" s="78" t="s">
        <v>17</v>
      </c>
      <c r="L3" s="190" t="s">
        <v>21</v>
      </c>
      <c r="M3" s="187"/>
      <c r="N3" s="188"/>
      <c r="O3" s="78" t="s">
        <v>17</v>
      </c>
      <c r="P3" s="218" t="s">
        <v>21</v>
      </c>
      <c r="Q3" s="187"/>
      <c r="R3" s="188"/>
      <c r="S3" s="27"/>
      <c r="T3" s="189"/>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8"/>
      <c r="AZ3" s="78" t="s">
        <v>425</v>
      </c>
      <c r="BA3" s="190" t="s">
        <v>21</v>
      </c>
      <c r="BB3" s="187"/>
      <c r="BC3" s="188"/>
      <c r="BD3" s="189"/>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8"/>
      <c r="CJ3" s="78" t="s">
        <v>425</v>
      </c>
      <c r="CK3" s="190" t="s">
        <v>21</v>
      </c>
      <c r="CL3" s="187"/>
      <c r="CM3" s="188"/>
      <c r="CN3" s="189"/>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8"/>
      <c r="DT3" s="78" t="s">
        <v>425</v>
      </c>
      <c r="DU3" s="190" t="s">
        <v>21</v>
      </c>
      <c r="DV3" s="187"/>
      <c r="DW3" s="188"/>
      <c r="DX3" s="215"/>
      <c r="DY3" s="193"/>
      <c r="DZ3" s="193"/>
      <c r="EA3" s="193"/>
      <c r="EB3" s="193"/>
      <c r="EC3" s="193"/>
      <c r="ED3" s="193"/>
      <c r="EE3" s="193"/>
      <c r="EF3" s="193"/>
      <c r="EG3" s="193"/>
      <c r="EH3" s="193"/>
      <c r="EI3" s="193"/>
      <c r="EJ3" s="193"/>
      <c r="EK3" s="193"/>
      <c r="EL3" s="193"/>
      <c r="EM3" s="193"/>
      <c r="EN3" s="193"/>
      <c r="EO3" s="193"/>
      <c r="EP3" s="193"/>
      <c r="EQ3" s="193"/>
      <c r="ER3" s="193"/>
      <c r="ES3" s="193"/>
      <c r="ET3" s="193"/>
      <c r="EU3" s="193"/>
      <c r="EV3" s="193"/>
      <c r="EW3" s="193"/>
      <c r="EX3" s="193"/>
      <c r="EY3" s="193"/>
      <c r="EZ3" s="193"/>
      <c r="FA3" s="193"/>
      <c r="FB3" s="193"/>
      <c r="FC3" s="194"/>
      <c r="FD3" s="79" t="s">
        <v>425</v>
      </c>
      <c r="FE3" s="190" t="s">
        <v>21</v>
      </c>
      <c r="FF3" s="187"/>
      <c r="FG3" s="188"/>
      <c r="FH3" s="215"/>
      <c r="FI3" s="193"/>
      <c r="FJ3" s="193"/>
      <c r="FK3" s="193"/>
      <c r="FL3" s="193"/>
      <c r="FM3" s="193"/>
      <c r="FN3" s="193"/>
      <c r="FO3" s="193"/>
      <c r="FP3" s="193"/>
      <c r="FQ3" s="193"/>
      <c r="FR3" s="193"/>
      <c r="FS3" s="193"/>
      <c r="FT3" s="193"/>
      <c r="FU3" s="193"/>
      <c r="FV3" s="193"/>
      <c r="FW3" s="193"/>
      <c r="FX3" s="193"/>
      <c r="FY3" s="193"/>
      <c r="FZ3" s="193"/>
      <c r="GA3" s="193"/>
      <c r="GB3" s="193"/>
      <c r="GC3" s="193"/>
      <c r="GD3" s="193"/>
      <c r="GE3" s="193"/>
      <c r="GF3" s="193"/>
      <c r="GG3" s="193"/>
      <c r="GH3" s="193"/>
      <c r="GI3" s="193"/>
      <c r="GJ3" s="193"/>
      <c r="GK3" s="193"/>
      <c r="GL3" s="193"/>
      <c r="GM3" s="194"/>
      <c r="GN3" s="79" t="s">
        <v>425</v>
      </c>
      <c r="GO3" s="190" t="s">
        <v>21</v>
      </c>
      <c r="GP3" s="187"/>
      <c r="GQ3" s="188"/>
      <c r="GR3" s="215"/>
      <c r="GS3" s="193"/>
      <c r="GT3" s="193"/>
      <c r="GU3" s="193"/>
      <c r="GV3" s="193"/>
      <c r="GW3" s="193"/>
      <c r="GX3" s="193"/>
      <c r="GY3" s="193"/>
      <c r="GZ3" s="193"/>
      <c r="HA3" s="193"/>
      <c r="HB3" s="193"/>
      <c r="HC3" s="193"/>
      <c r="HD3" s="193"/>
      <c r="HE3" s="193"/>
      <c r="HF3" s="193"/>
      <c r="HG3" s="193"/>
      <c r="HH3" s="193"/>
      <c r="HI3" s="193"/>
      <c r="HJ3" s="193"/>
      <c r="HK3" s="193"/>
      <c r="HL3" s="193"/>
      <c r="HM3" s="193"/>
      <c r="HN3" s="193"/>
      <c r="HO3" s="193"/>
      <c r="HP3" s="193"/>
      <c r="HQ3" s="193"/>
      <c r="HR3" s="193"/>
      <c r="HS3" s="193"/>
      <c r="HT3" s="193"/>
      <c r="HU3" s="193"/>
      <c r="HV3" s="193"/>
      <c r="HW3" s="194"/>
      <c r="HX3" s="79" t="s">
        <v>425</v>
      </c>
      <c r="HY3" s="190" t="s">
        <v>21</v>
      </c>
      <c r="HZ3" s="187"/>
      <c r="IA3" s="188"/>
      <c r="IB3" s="78" t="s">
        <v>18</v>
      </c>
      <c r="IC3" s="218" t="s">
        <v>21</v>
      </c>
      <c r="ID3" s="187"/>
      <c r="IE3" s="188"/>
    </row>
    <row r="4" spans="1:239" x14ac:dyDescent="0.25">
      <c r="A4" s="8" t="s">
        <v>22</v>
      </c>
      <c r="B4" s="8" t="s">
        <v>19</v>
      </c>
      <c r="C4" s="30"/>
      <c r="D4" s="200"/>
      <c r="E4" s="201"/>
      <c r="F4" s="203"/>
      <c r="G4" s="7"/>
      <c r="H4" s="200"/>
      <c r="I4" s="201"/>
      <c r="J4" s="203"/>
      <c r="K4" s="7"/>
      <c r="L4" s="200"/>
      <c r="M4" s="201"/>
      <c r="N4" s="203"/>
      <c r="O4" s="5"/>
      <c r="P4" s="200"/>
      <c r="Q4" s="201"/>
      <c r="R4" s="203"/>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200"/>
      <c r="BB4" s="201"/>
      <c r="BC4" s="203"/>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200"/>
      <c r="CL4" s="201"/>
      <c r="CM4" s="203"/>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200"/>
      <c r="DV4" s="201"/>
      <c r="DW4" s="203"/>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200"/>
      <c r="FF4" s="201"/>
      <c r="FG4" s="203"/>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200"/>
      <c r="GP4" s="201"/>
      <c r="GQ4" s="203"/>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200"/>
      <c r="HZ4" s="201"/>
      <c r="IA4" s="203"/>
      <c r="IB4" s="8"/>
      <c r="IC4" s="200"/>
      <c r="ID4" s="201"/>
      <c r="IE4" s="203"/>
    </row>
    <row r="5" spans="1:239" x14ac:dyDescent="0.25">
      <c r="A5" s="8">
        <v>0</v>
      </c>
      <c r="B5" s="8" t="str">
        <f t="shared" ref="B5:B24" si="0">IF($IB5&lt;&gt;"", $IB5, "")</f>
        <v>HOME</v>
      </c>
      <c r="C5" s="82"/>
      <c r="D5" s="25" t="s">
        <v>395</v>
      </c>
      <c r="E5" s="26">
        <v>0</v>
      </c>
      <c r="F5" s="30" t="s">
        <v>23</v>
      </c>
      <c r="G5" s="11">
        <v>0</v>
      </c>
      <c r="H5" s="25" t="s">
        <v>396</v>
      </c>
      <c r="I5" s="26">
        <v>0</v>
      </c>
      <c r="J5" s="30" t="s">
        <v>23</v>
      </c>
      <c r="K5" s="11">
        <v>0</v>
      </c>
      <c r="L5" s="25" t="s">
        <v>397</v>
      </c>
      <c r="M5" s="26">
        <v>0</v>
      </c>
      <c r="N5" s="30" t="s">
        <v>23</v>
      </c>
      <c r="O5" s="12">
        <v>0</v>
      </c>
      <c r="P5" s="25" t="s">
        <v>398</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399</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400</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401</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402</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403</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404</v>
      </c>
      <c r="HZ5" s="26">
        <v>0</v>
      </c>
      <c r="IA5" s="30" t="s">
        <v>23</v>
      </c>
      <c r="IB5" s="10" t="s">
        <v>207</v>
      </c>
      <c r="IC5" s="25" t="s">
        <v>405</v>
      </c>
      <c r="ID5" s="26">
        <v>0</v>
      </c>
      <c r="IE5" s="30" t="s">
        <v>23</v>
      </c>
    </row>
    <row r="6" spans="1:239" x14ac:dyDescent="0.25">
      <c r="A6" s="8">
        <v>1</v>
      </c>
      <c r="B6" s="8" t="str">
        <f t="shared" si="0"/>
        <v>FILLING FEED TANK TO SET POINT LEVEL</v>
      </c>
      <c r="C6" s="82"/>
      <c r="D6" s="6" t="str">
        <f t="shared" ref="D6:D24" si="1">D$5</f>
        <v>RO_Data[5].ACK_DESC[</v>
      </c>
      <c r="E6" s="26">
        <f>E5+1</f>
        <v>1</v>
      </c>
      <c r="F6" s="30" t="s">
        <v>23</v>
      </c>
      <c r="G6" s="11">
        <v>0</v>
      </c>
      <c r="H6" s="6" t="str">
        <f t="shared" ref="H6:H24" si="2">H$5</f>
        <v>RO_Data[5].MIN[</v>
      </c>
      <c r="I6" s="26">
        <f>I5+1</f>
        <v>1</v>
      </c>
      <c r="J6" s="30" t="s">
        <v>23</v>
      </c>
      <c r="K6" s="11">
        <v>1</v>
      </c>
      <c r="L6" s="6" t="str">
        <f t="shared" ref="L6:L24" si="3">L$5</f>
        <v>RO_Data[5].SEC[</v>
      </c>
      <c r="M6" s="26">
        <f>M5+1</f>
        <v>1</v>
      </c>
      <c r="N6" s="30" t="s">
        <v>23</v>
      </c>
      <c r="O6" s="12">
        <v>0</v>
      </c>
      <c r="P6" s="6" t="str">
        <f t="shared" ref="P6:P24" si="4">P$5</f>
        <v>RO_Data[5].SETPOINT[</v>
      </c>
      <c r="Q6" s="26">
        <f>Q5+1</f>
        <v>1</v>
      </c>
      <c r="R6" s="30" t="s">
        <v>23</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23</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23</v>
      </c>
      <c r="IB6" s="10" t="s">
        <v>225</v>
      </c>
      <c r="IC6" s="6" t="str">
        <f t="shared" ref="IC6:IC24" si="12">IC$5</f>
        <v>RO_Data[5].STEP_DESC[</v>
      </c>
      <c r="ID6" s="26">
        <f>ID5+1</f>
        <v>1</v>
      </c>
      <c r="IE6" s="30" t="s">
        <v>23</v>
      </c>
    </row>
    <row r="7" spans="1:239" x14ac:dyDescent="0.25">
      <c r="A7" s="8">
        <v>2</v>
      </c>
      <c r="B7" s="8" t="str">
        <f t="shared" si="0"/>
        <v>STARTING PUMPS</v>
      </c>
      <c r="C7" s="82"/>
      <c r="D7" s="6" t="str">
        <f t="shared" si="1"/>
        <v>RO_Data[5].ACK_DESC[</v>
      </c>
      <c r="E7" s="26">
        <f t="shared" ref="E7:E24" si="13">E6+1</f>
        <v>2</v>
      </c>
      <c r="F7" s="30" t="s">
        <v>23</v>
      </c>
      <c r="G7" s="11">
        <v>0</v>
      </c>
      <c r="H7" s="6" t="str">
        <f t="shared" si="2"/>
        <v>RO_Data[5].MIN[</v>
      </c>
      <c r="I7" s="26">
        <f t="shared" ref="I7:I24" si="14">I6+1</f>
        <v>2</v>
      </c>
      <c r="J7" s="30" t="s">
        <v>23</v>
      </c>
      <c r="K7" s="11">
        <v>30</v>
      </c>
      <c r="L7" s="6" t="str">
        <f t="shared" si="3"/>
        <v>RO_Data[5].SEC[</v>
      </c>
      <c r="M7" s="26">
        <f t="shared" ref="M7:M24" si="15">M6+1</f>
        <v>2</v>
      </c>
      <c r="N7" s="30" t="s">
        <v>23</v>
      </c>
      <c r="O7" s="12">
        <v>0</v>
      </c>
      <c r="P7" s="6" t="str">
        <f t="shared" si="4"/>
        <v>RO_Data[5].SETPOINT[</v>
      </c>
      <c r="Q7" s="26">
        <f t="shared" ref="Q7:Q24" si="16">Q6+1</f>
        <v>2</v>
      </c>
      <c r="R7" s="30" t="s">
        <v>23</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23</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23</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23</v>
      </c>
      <c r="IB7" s="65" t="s">
        <v>226</v>
      </c>
      <c r="IC7" s="6" t="str">
        <f t="shared" si="12"/>
        <v>RO_Data[5].STEP_DESC[</v>
      </c>
      <c r="ID7" s="26">
        <f t="shared" ref="ID7:ID24" si="23">ID6+1</f>
        <v>2</v>
      </c>
      <c r="IE7" s="30" t="s">
        <v>23</v>
      </c>
    </row>
    <row r="8" spans="1:239" x14ac:dyDescent="0.25">
      <c r="A8" s="8">
        <v>3</v>
      </c>
      <c r="B8" s="8" t="str">
        <f t="shared" si="0"/>
        <v>RINSING STAGES</v>
      </c>
      <c r="C8" s="82"/>
      <c r="D8" s="6" t="str">
        <f t="shared" si="1"/>
        <v>RO_Data[5].ACK_DESC[</v>
      </c>
      <c r="E8" s="26">
        <f t="shared" si="13"/>
        <v>3</v>
      </c>
      <c r="F8" s="30" t="s">
        <v>23</v>
      </c>
      <c r="G8" s="11">
        <v>0</v>
      </c>
      <c r="H8" s="6" t="str">
        <f t="shared" si="2"/>
        <v>RO_Data[5].MIN[</v>
      </c>
      <c r="I8" s="26">
        <f t="shared" si="14"/>
        <v>3</v>
      </c>
      <c r="J8" s="30" t="s">
        <v>23</v>
      </c>
      <c r="K8" s="11">
        <v>1</v>
      </c>
      <c r="L8" s="6" t="str">
        <f t="shared" si="3"/>
        <v>RO_Data[5].SEC[</v>
      </c>
      <c r="M8" s="26">
        <f t="shared" si="15"/>
        <v>3</v>
      </c>
      <c r="N8" s="30" t="s">
        <v>23</v>
      </c>
      <c r="O8" s="12">
        <v>0</v>
      </c>
      <c r="P8" s="6" t="str">
        <f t="shared" si="4"/>
        <v>RO_Data[5].SETPOINT[</v>
      </c>
      <c r="Q8" s="26">
        <f t="shared" si="16"/>
        <v>3</v>
      </c>
      <c r="R8" s="30" t="s">
        <v>23</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23</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23</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23</v>
      </c>
      <c r="IB8" s="65" t="s">
        <v>227</v>
      </c>
      <c r="IC8" s="6" t="str">
        <f t="shared" si="12"/>
        <v>RO_Data[5].STEP_DESC[</v>
      </c>
      <c r="ID8" s="26">
        <f t="shared" si="23"/>
        <v>3</v>
      </c>
      <c r="IE8" s="30" t="s">
        <v>23</v>
      </c>
    </row>
    <row r="9" spans="1:239" x14ac:dyDescent="0.25">
      <c r="A9" s="8">
        <v>4</v>
      </c>
      <c r="B9" s="8" t="str">
        <f t="shared" si="0"/>
        <v>PUMPING DOWN FEED TANK</v>
      </c>
      <c r="C9" s="82"/>
      <c r="D9" s="6" t="str">
        <f t="shared" si="1"/>
        <v>RO_Data[5].ACK_DESC[</v>
      </c>
      <c r="E9" s="26">
        <f t="shared" si="13"/>
        <v>4</v>
      </c>
      <c r="F9" s="30" t="s">
        <v>23</v>
      </c>
      <c r="G9" s="11">
        <v>0</v>
      </c>
      <c r="H9" s="6" t="str">
        <f t="shared" si="2"/>
        <v>RO_Data[5].MIN[</v>
      </c>
      <c r="I9" s="26">
        <f t="shared" si="14"/>
        <v>4</v>
      </c>
      <c r="J9" s="30" t="s">
        <v>23</v>
      </c>
      <c r="K9" s="11">
        <v>1</v>
      </c>
      <c r="L9" s="6" t="str">
        <f t="shared" si="3"/>
        <v>RO_Data[5].SEC[</v>
      </c>
      <c r="M9" s="26">
        <f t="shared" si="15"/>
        <v>4</v>
      </c>
      <c r="N9" s="30" t="s">
        <v>23</v>
      </c>
      <c r="O9" s="12">
        <v>0</v>
      </c>
      <c r="P9" s="6" t="str">
        <f t="shared" si="4"/>
        <v>RO_Data[5].SETPOINT[</v>
      </c>
      <c r="Q9" s="26">
        <f t="shared" si="16"/>
        <v>4</v>
      </c>
      <c r="R9" s="30" t="s">
        <v>23</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23</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23</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23</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23</v>
      </c>
      <c r="IB9" s="65" t="s">
        <v>231</v>
      </c>
      <c r="IC9" s="6" t="str">
        <f t="shared" si="12"/>
        <v>RO_Data[5].STEP_DESC[</v>
      </c>
      <c r="ID9" s="26">
        <f t="shared" si="23"/>
        <v>4</v>
      </c>
      <c r="IE9" s="30" t="s">
        <v>23</v>
      </c>
    </row>
    <row r="10" spans="1:239" x14ac:dyDescent="0.25">
      <c r="A10" s="8">
        <v>5</v>
      </c>
      <c r="B10" s="8" t="str">
        <f t="shared" si="0"/>
        <v>DRAINING FEED TANK</v>
      </c>
      <c r="C10" s="82"/>
      <c r="D10" s="6" t="str">
        <f t="shared" si="1"/>
        <v>RO_Data[5].ACK_DESC[</v>
      </c>
      <c r="E10" s="26">
        <f t="shared" si="13"/>
        <v>5</v>
      </c>
      <c r="F10" s="30" t="s">
        <v>23</v>
      </c>
      <c r="G10" s="11">
        <v>0</v>
      </c>
      <c r="H10" s="6" t="str">
        <f t="shared" si="2"/>
        <v>RO_Data[5].MIN[</v>
      </c>
      <c r="I10" s="26">
        <f t="shared" si="14"/>
        <v>5</v>
      </c>
      <c r="J10" s="30" t="s">
        <v>23</v>
      </c>
      <c r="K10" s="11">
        <v>1</v>
      </c>
      <c r="L10" s="6" t="str">
        <f t="shared" si="3"/>
        <v>RO_Data[5].SEC[</v>
      </c>
      <c r="M10" s="26">
        <f t="shared" si="15"/>
        <v>5</v>
      </c>
      <c r="N10" s="30" t="s">
        <v>23</v>
      </c>
      <c r="O10" s="12">
        <v>0</v>
      </c>
      <c r="P10" s="6" t="str">
        <f t="shared" si="4"/>
        <v>RO_Data[5].SETPOINT[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23</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23</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23</v>
      </c>
      <c r="IB10" s="10" t="s">
        <v>232</v>
      </c>
      <c r="IC10" s="6" t="str">
        <f t="shared" si="12"/>
        <v>RO_Data[5].STEP_DESC[</v>
      </c>
      <c r="ID10" s="26">
        <f t="shared" si="23"/>
        <v>5</v>
      </c>
      <c r="IE10" s="30" t="s">
        <v>23</v>
      </c>
    </row>
    <row r="11" spans="1:239" x14ac:dyDescent="0.25">
      <c r="A11" s="8">
        <v>6</v>
      </c>
      <c r="B11" s="8" t="str">
        <f t="shared" si="0"/>
        <v>CYCLE COMPLETE</v>
      </c>
      <c r="C11" s="82"/>
      <c r="D11" s="6" t="str">
        <f t="shared" si="1"/>
        <v>RO_Data[5].ACK_DESC[</v>
      </c>
      <c r="E11" s="26">
        <f t="shared" si="13"/>
        <v>6</v>
      </c>
      <c r="F11" s="30" t="s">
        <v>23</v>
      </c>
      <c r="G11" s="11">
        <v>0</v>
      </c>
      <c r="H11" s="6" t="str">
        <f t="shared" si="2"/>
        <v>RO_Data[5].MIN[</v>
      </c>
      <c r="I11" s="26">
        <f t="shared" si="14"/>
        <v>6</v>
      </c>
      <c r="J11" s="30" t="s">
        <v>23</v>
      </c>
      <c r="K11" s="11">
        <v>0</v>
      </c>
      <c r="L11" s="6" t="str">
        <f t="shared" si="3"/>
        <v>RO_Data[5].SEC[</v>
      </c>
      <c r="M11" s="26">
        <f t="shared" si="15"/>
        <v>6</v>
      </c>
      <c r="N11" s="30" t="s">
        <v>23</v>
      </c>
      <c r="O11" s="12">
        <v>0</v>
      </c>
      <c r="P11" s="6" t="str">
        <f t="shared" si="4"/>
        <v>RO_Data[5].SETPOINT[</v>
      </c>
      <c r="Q11" s="26">
        <f t="shared" si="16"/>
        <v>6</v>
      </c>
      <c r="R11" s="30" t="s">
        <v>23</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23</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23</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23</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23</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23</v>
      </c>
      <c r="IB11" s="10" t="s">
        <v>224</v>
      </c>
      <c r="IC11" s="6" t="str">
        <f t="shared" si="12"/>
        <v>RO_Data[5].STEP_DESC[</v>
      </c>
      <c r="ID11" s="26">
        <f t="shared" si="23"/>
        <v>6</v>
      </c>
      <c r="IE11" s="30" t="s">
        <v>23</v>
      </c>
    </row>
    <row r="12" spans="1:239" x14ac:dyDescent="0.25">
      <c r="A12" s="8">
        <v>7</v>
      </c>
      <c r="B12" s="8" t="str">
        <f t="shared" si="0"/>
        <v/>
      </c>
      <c r="C12" s="82"/>
      <c r="D12" s="6" t="str">
        <f t="shared" si="1"/>
        <v>RO_Data[5].ACK_DESC[</v>
      </c>
      <c r="E12" s="26">
        <f t="shared" si="13"/>
        <v>7</v>
      </c>
      <c r="F12" s="30" t="s">
        <v>23</v>
      </c>
      <c r="G12" s="11">
        <v>0</v>
      </c>
      <c r="H12" s="6" t="str">
        <f t="shared" si="2"/>
        <v>RO_Data[5].MIN[</v>
      </c>
      <c r="I12" s="26">
        <f t="shared" si="14"/>
        <v>7</v>
      </c>
      <c r="J12" s="30" t="s">
        <v>23</v>
      </c>
      <c r="K12" s="11">
        <v>0</v>
      </c>
      <c r="L12" s="6" t="str">
        <f t="shared" si="3"/>
        <v>RO_Data[5].SEC[</v>
      </c>
      <c r="M12" s="26">
        <f t="shared" si="15"/>
        <v>7</v>
      </c>
      <c r="N12" s="30" t="s">
        <v>23</v>
      </c>
      <c r="O12" s="12">
        <v>0</v>
      </c>
      <c r="P12" s="6" t="str">
        <f t="shared" si="4"/>
        <v>RO_Data[5].SETPOINT[</v>
      </c>
      <c r="Q12" s="26">
        <f t="shared" si="16"/>
        <v>7</v>
      </c>
      <c r="R12" s="30" t="s">
        <v>23</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23</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23</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23</v>
      </c>
      <c r="IB12" s="10"/>
      <c r="IC12" s="6" t="str">
        <f t="shared" si="12"/>
        <v>RO_Data[5].STEP_DESC[</v>
      </c>
      <c r="ID12" s="26">
        <f t="shared" si="23"/>
        <v>7</v>
      </c>
      <c r="IE12" s="30" t="s">
        <v>23</v>
      </c>
    </row>
    <row r="13" spans="1:239" s="75" customFormat="1" x14ac:dyDescent="0.25">
      <c r="A13" s="64">
        <v>8</v>
      </c>
      <c r="B13" s="64" t="str">
        <f t="shared" si="0"/>
        <v/>
      </c>
      <c r="C13" s="83"/>
      <c r="D13" s="66" t="str">
        <f t="shared" si="1"/>
        <v>RO_Data[5].ACK_DESC[</v>
      </c>
      <c r="E13" s="67">
        <f t="shared" si="13"/>
        <v>8</v>
      </c>
      <c r="F13" s="68" t="s">
        <v>23</v>
      </c>
      <c r="G13" s="69">
        <v>0</v>
      </c>
      <c r="H13" s="66" t="str">
        <f t="shared" si="2"/>
        <v>RO_Data[5].MIN[</v>
      </c>
      <c r="I13" s="67">
        <f t="shared" si="14"/>
        <v>8</v>
      </c>
      <c r="J13" s="68" t="s">
        <v>23</v>
      </c>
      <c r="K13" s="11">
        <v>0</v>
      </c>
      <c r="L13" s="66" t="str">
        <f t="shared" si="3"/>
        <v>RO_Data[5].SEC[</v>
      </c>
      <c r="M13" s="67">
        <f t="shared" si="15"/>
        <v>8</v>
      </c>
      <c r="N13" s="68" t="s">
        <v>23</v>
      </c>
      <c r="O13" s="70">
        <v>0</v>
      </c>
      <c r="P13" s="66" t="str">
        <f t="shared" si="4"/>
        <v>RO_Data[5].SETPOINT[</v>
      </c>
      <c r="Q13" s="67">
        <f t="shared" si="16"/>
        <v>8</v>
      </c>
      <c r="R13" s="68" t="s">
        <v>23</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23</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23</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23</v>
      </c>
      <c r="IB13" s="65"/>
      <c r="IC13" s="66" t="str">
        <f t="shared" si="12"/>
        <v>RO_Data[5].STEP_DESC[</v>
      </c>
      <c r="ID13" s="67">
        <f t="shared" si="23"/>
        <v>8</v>
      </c>
      <c r="IE13" s="68" t="s">
        <v>23</v>
      </c>
    </row>
    <row r="14" spans="1:239" s="75" customFormat="1" x14ac:dyDescent="0.25">
      <c r="A14" s="64">
        <v>9</v>
      </c>
      <c r="B14" s="64" t="str">
        <f t="shared" si="0"/>
        <v/>
      </c>
      <c r="C14" s="83"/>
      <c r="D14" s="66" t="str">
        <f t="shared" si="1"/>
        <v>RO_Data[5].ACK_DESC[</v>
      </c>
      <c r="E14" s="67">
        <f t="shared" si="13"/>
        <v>9</v>
      </c>
      <c r="F14" s="68" t="s">
        <v>23</v>
      </c>
      <c r="G14" s="69">
        <v>0</v>
      </c>
      <c r="H14" s="66" t="str">
        <f t="shared" si="2"/>
        <v>RO_Data[5].MIN[</v>
      </c>
      <c r="I14" s="67">
        <f t="shared" si="14"/>
        <v>9</v>
      </c>
      <c r="J14" s="68" t="s">
        <v>23</v>
      </c>
      <c r="K14" s="11">
        <v>0</v>
      </c>
      <c r="L14" s="66" t="str">
        <f t="shared" si="3"/>
        <v>RO_Data[5].SEC[</v>
      </c>
      <c r="M14" s="67">
        <f t="shared" si="15"/>
        <v>9</v>
      </c>
      <c r="N14" s="68" t="s">
        <v>23</v>
      </c>
      <c r="O14" s="70">
        <v>0</v>
      </c>
      <c r="P14" s="66" t="str">
        <f t="shared" si="4"/>
        <v>RO_Data[5].SETPOINT[</v>
      </c>
      <c r="Q14" s="67">
        <f t="shared" si="16"/>
        <v>9</v>
      </c>
      <c r="R14" s="68" t="s">
        <v>23</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23</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23</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23</v>
      </c>
      <c r="IB14" s="65"/>
      <c r="IC14" s="66" t="str">
        <f t="shared" si="12"/>
        <v>RO_Data[5].STEP_DESC[</v>
      </c>
      <c r="ID14" s="67">
        <f t="shared" si="23"/>
        <v>9</v>
      </c>
      <c r="IE14" s="68" t="s">
        <v>23</v>
      </c>
    </row>
    <row r="15" spans="1:239" s="75" customFormat="1" x14ac:dyDescent="0.25">
      <c r="A15" s="64">
        <v>10</v>
      </c>
      <c r="B15" s="64" t="str">
        <f t="shared" si="0"/>
        <v/>
      </c>
      <c r="C15" s="83"/>
      <c r="D15" s="66" t="str">
        <f t="shared" si="1"/>
        <v>RO_Data[5].ACK_DESC[</v>
      </c>
      <c r="E15" s="67">
        <f t="shared" si="13"/>
        <v>10</v>
      </c>
      <c r="F15" s="68" t="s">
        <v>23</v>
      </c>
      <c r="G15" s="69">
        <v>0</v>
      </c>
      <c r="H15" s="66" t="str">
        <f t="shared" si="2"/>
        <v>RO_Data[5].MIN[</v>
      </c>
      <c r="I15" s="67">
        <f t="shared" si="14"/>
        <v>10</v>
      </c>
      <c r="J15" s="68" t="s">
        <v>23</v>
      </c>
      <c r="K15" s="11">
        <v>0</v>
      </c>
      <c r="L15" s="66" t="str">
        <f t="shared" si="3"/>
        <v>RO_Data[5].SEC[</v>
      </c>
      <c r="M15" s="67">
        <f t="shared" si="15"/>
        <v>10</v>
      </c>
      <c r="N15" s="68" t="s">
        <v>23</v>
      </c>
      <c r="O15" s="70">
        <v>0</v>
      </c>
      <c r="P15" s="66" t="str">
        <f t="shared" si="4"/>
        <v>RO_Data[5].SETPOINT[</v>
      </c>
      <c r="Q15" s="67">
        <f t="shared" si="16"/>
        <v>10</v>
      </c>
      <c r="R15" s="68" t="s">
        <v>23</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23</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23</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23</v>
      </c>
      <c r="IB15" s="65"/>
      <c r="IC15" s="66" t="str">
        <f t="shared" si="12"/>
        <v>RO_Data[5].STEP_DESC[</v>
      </c>
      <c r="ID15" s="67">
        <f t="shared" si="23"/>
        <v>10</v>
      </c>
      <c r="IE15" s="68" t="s">
        <v>23</v>
      </c>
    </row>
    <row r="16" spans="1:239" x14ac:dyDescent="0.25">
      <c r="A16" s="8">
        <v>11</v>
      </c>
      <c r="B16" s="8" t="str">
        <f t="shared" si="0"/>
        <v/>
      </c>
      <c r="C16" s="82"/>
      <c r="D16" s="6" t="str">
        <f t="shared" si="1"/>
        <v>RO_Data[5].ACK_DESC[</v>
      </c>
      <c r="E16" s="26">
        <f t="shared" si="13"/>
        <v>11</v>
      </c>
      <c r="F16" s="30" t="s">
        <v>23</v>
      </c>
      <c r="G16" s="11">
        <v>0</v>
      </c>
      <c r="H16" s="6" t="str">
        <f t="shared" si="2"/>
        <v>RO_Data[5].MIN[</v>
      </c>
      <c r="I16" s="26">
        <f t="shared" si="14"/>
        <v>11</v>
      </c>
      <c r="J16" s="30" t="s">
        <v>23</v>
      </c>
      <c r="K16" s="11">
        <v>0</v>
      </c>
      <c r="L16" s="6" t="str">
        <f t="shared" si="3"/>
        <v>RO_Data[5].SEC[</v>
      </c>
      <c r="M16" s="26">
        <f t="shared" si="15"/>
        <v>11</v>
      </c>
      <c r="N16" s="30" t="s">
        <v>23</v>
      </c>
      <c r="O16" s="12">
        <v>0</v>
      </c>
      <c r="P16" s="6" t="str">
        <f t="shared" si="4"/>
        <v>RO_Data[5].SETPOINT[</v>
      </c>
      <c r="Q16" s="26">
        <f t="shared" si="16"/>
        <v>11</v>
      </c>
      <c r="R16" s="30" t="s">
        <v>23</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23</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23</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23</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23</v>
      </c>
      <c r="IB16" s="10"/>
      <c r="IC16" s="6" t="str">
        <f t="shared" si="12"/>
        <v>RO_Data[5].STEP_DESC[</v>
      </c>
      <c r="ID16" s="26">
        <f t="shared" si="23"/>
        <v>11</v>
      </c>
      <c r="IE16" s="30" t="s">
        <v>23</v>
      </c>
    </row>
    <row r="17" spans="1:239" x14ac:dyDescent="0.25">
      <c r="A17" s="8">
        <v>12</v>
      </c>
      <c r="B17" s="8" t="str">
        <f t="shared" si="0"/>
        <v/>
      </c>
      <c r="C17" s="82"/>
      <c r="D17" s="6" t="str">
        <f t="shared" si="1"/>
        <v>RO_Data[5].ACK_DESC[</v>
      </c>
      <c r="E17" s="26">
        <f t="shared" si="13"/>
        <v>12</v>
      </c>
      <c r="F17" s="30" t="s">
        <v>23</v>
      </c>
      <c r="G17" s="11">
        <v>0</v>
      </c>
      <c r="H17" s="6" t="str">
        <f t="shared" si="2"/>
        <v>RO_Data[5].MIN[</v>
      </c>
      <c r="I17" s="26">
        <f t="shared" si="14"/>
        <v>12</v>
      </c>
      <c r="J17" s="30" t="s">
        <v>23</v>
      </c>
      <c r="K17" s="11">
        <v>0</v>
      </c>
      <c r="L17" s="6" t="str">
        <f t="shared" si="3"/>
        <v>RO_Data[5].SEC[</v>
      </c>
      <c r="M17" s="26">
        <f t="shared" si="15"/>
        <v>12</v>
      </c>
      <c r="N17" s="30" t="s">
        <v>23</v>
      </c>
      <c r="O17" s="12">
        <v>0</v>
      </c>
      <c r="P17" s="6" t="str">
        <f t="shared" si="4"/>
        <v>RO_Data[5].SETPOINT[</v>
      </c>
      <c r="Q17" s="26">
        <f t="shared" si="16"/>
        <v>12</v>
      </c>
      <c r="R17" s="30" t="s">
        <v>23</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23</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23</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23</v>
      </c>
      <c r="IB17" s="10"/>
      <c r="IC17" s="6" t="str">
        <f t="shared" si="12"/>
        <v>RO_Data[5].STEP_DESC[</v>
      </c>
      <c r="ID17" s="26">
        <f t="shared" si="23"/>
        <v>12</v>
      </c>
      <c r="IE17" s="30" t="s">
        <v>23</v>
      </c>
    </row>
    <row r="18" spans="1:239" x14ac:dyDescent="0.25">
      <c r="A18" s="8">
        <v>13</v>
      </c>
      <c r="B18" s="8" t="str">
        <f t="shared" si="0"/>
        <v/>
      </c>
      <c r="C18" s="82"/>
      <c r="D18" s="6" t="str">
        <f t="shared" si="1"/>
        <v>RO_Data[5].ACK_DESC[</v>
      </c>
      <c r="E18" s="26">
        <f t="shared" si="13"/>
        <v>13</v>
      </c>
      <c r="F18" s="30" t="s">
        <v>23</v>
      </c>
      <c r="G18" s="11">
        <v>0</v>
      </c>
      <c r="H18" s="6" t="str">
        <f t="shared" si="2"/>
        <v>RO_Data[5].MIN[</v>
      </c>
      <c r="I18" s="26">
        <f t="shared" si="14"/>
        <v>13</v>
      </c>
      <c r="J18" s="30" t="s">
        <v>23</v>
      </c>
      <c r="K18" s="11">
        <v>0</v>
      </c>
      <c r="L18" s="6" t="str">
        <f t="shared" si="3"/>
        <v>RO_Data[5].SEC[</v>
      </c>
      <c r="M18" s="26">
        <f t="shared" si="15"/>
        <v>13</v>
      </c>
      <c r="N18" s="30" t="s">
        <v>23</v>
      </c>
      <c r="O18" s="12">
        <v>0</v>
      </c>
      <c r="P18" s="6" t="str">
        <f t="shared" si="4"/>
        <v>RO_Data[5].SETPOINT[</v>
      </c>
      <c r="Q18" s="26">
        <f t="shared" si="16"/>
        <v>13</v>
      </c>
      <c r="R18" s="30" t="s">
        <v>23</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23</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23</v>
      </c>
      <c r="IB18" s="10"/>
      <c r="IC18" s="6" t="str">
        <f t="shared" si="12"/>
        <v>RO_Data[5].STEP_DESC[</v>
      </c>
      <c r="ID18" s="26">
        <f t="shared" si="23"/>
        <v>13</v>
      </c>
      <c r="IE18" s="30" t="s">
        <v>23</v>
      </c>
    </row>
    <row r="19" spans="1:239" x14ac:dyDescent="0.25">
      <c r="A19" s="8">
        <v>14</v>
      </c>
      <c r="B19" s="8" t="str">
        <f t="shared" si="0"/>
        <v/>
      </c>
      <c r="C19" s="82"/>
      <c r="D19" s="6" t="str">
        <f t="shared" si="1"/>
        <v>RO_Data[5].ACK_DESC[</v>
      </c>
      <c r="E19" s="26">
        <f t="shared" si="13"/>
        <v>14</v>
      </c>
      <c r="F19" s="30" t="s">
        <v>23</v>
      </c>
      <c r="G19" s="11">
        <v>0</v>
      </c>
      <c r="H19" s="6" t="str">
        <f t="shared" si="2"/>
        <v>RO_Data[5].MIN[</v>
      </c>
      <c r="I19" s="26">
        <f t="shared" si="14"/>
        <v>14</v>
      </c>
      <c r="J19" s="30" t="s">
        <v>23</v>
      </c>
      <c r="K19" s="11">
        <v>0</v>
      </c>
      <c r="L19" s="6" t="str">
        <f t="shared" si="3"/>
        <v>RO_Data[5].SEC[</v>
      </c>
      <c r="M19" s="26">
        <f t="shared" si="15"/>
        <v>14</v>
      </c>
      <c r="N19" s="30" t="s">
        <v>23</v>
      </c>
      <c r="O19" s="12">
        <v>0</v>
      </c>
      <c r="P19" s="6" t="str">
        <f t="shared" si="4"/>
        <v>RO_Data[5].SETPOINT[</v>
      </c>
      <c r="Q19" s="26">
        <f t="shared" si="16"/>
        <v>14</v>
      </c>
      <c r="R19" s="30" t="s">
        <v>23</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23</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23</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23</v>
      </c>
      <c r="IB19" s="10"/>
      <c r="IC19" s="6" t="str">
        <f t="shared" si="12"/>
        <v>RO_Data[5].STEP_DESC[</v>
      </c>
      <c r="ID19" s="26">
        <f t="shared" si="23"/>
        <v>14</v>
      </c>
      <c r="IE19" s="30" t="s">
        <v>23</v>
      </c>
    </row>
    <row r="20" spans="1:239" x14ac:dyDescent="0.25">
      <c r="A20" s="8">
        <v>15</v>
      </c>
      <c r="B20" s="8" t="str">
        <f t="shared" si="0"/>
        <v/>
      </c>
      <c r="C20" s="82"/>
      <c r="D20" s="6" t="str">
        <f t="shared" si="1"/>
        <v>RO_Data[5].ACK_DESC[</v>
      </c>
      <c r="E20" s="26">
        <f t="shared" si="13"/>
        <v>15</v>
      </c>
      <c r="F20" s="30" t="s">
        <v>23</v>
      </c>
      <c r="G20" s="11">
        <v>0</v>
      </c>
      <c r="H20" s="6" t="str">
        <f t="shared" si="2"/>
        <v>RO_Data[5].MIN[</v>
      </c>
      <c r="I20" s="26">
        <f t="shared" si="14"/>
        <v>15</v>
      </c>
      <c r="J20" s="30" t="s">
        <v>23</v>
      </c>
      <c r="K20" s="11">
        <v>0</v>
      </c>
      <c r="L20" s="6" t="str">
        <f t="shared" si="3"/>
        <v>RO_Data[5].SEC[</v>
      </c>
      <c r="M20" s="26">
        <f t="shared" si="15"/>
        <v>15</v>
      </c>
      <c r="N20" s="30" t="s">
        <v>23</v>
      </c>
      <c r="O20" s="12">
        <v>0</v>
      </c>
      <c r="P20" s="6" t="str">
        <f t="shared" si="4"/>
        <v>RO_Data[5].SETPOINT[</v>
      </c>
      <c r="Q20" s="26">
        <f t="shared" si="16"/>
        <v>15</v>
      </c>
      <c r="R20" s="30" t="s">
        <v>23</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23</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23</v>
      </c>
      <c r="IB20" s="10"/>
      <c r="IC20" s="6" t="str">
        <f t="shared" si="12"/>
        <v>RO_Data[5].STEP_DESC[</v>
      </c>
      <c r="ID20" s="26">
        <f t="shared" si="23"/>
        <v>15</v>
      </c>
      <c r="IE20" s="30" t="s">
        <v>23</v>
      </c>
    </row>
    <row r="21" spans="1:239" x14ac:dyDescent="0.25">
      <c r="A21" s="8">
        <v>16</v>
      </c>
      <c r="B21" s="8" t="str">
        <f t="shared" si="0"/>
        <v/>
      </c>
      <c r="C21" s="82"/>
      <c r="D21" s="6" t="str">
        <f t="shared" si="1"/>
        <v>RO_Data[5].ACK_DESC[</v>
      </c>
      <c r="E21" s="26">
        <f t="shared" si="13"/>
        <v>16</v>
      </c>
      <c r="F21" s="30" t="s">
        <v>23</v>
      </c>
      <c r="G21" s="11">
        <v>0</v>
      </c>
      <c r="H21" s="6" t="str">
        <f t="shared" si="2"/>
        <v>RO_Data[5].MIN[</v>
      </c>
      <c r="I21" s="26">
        <f t="shared" si="14"/>
        <v>16</v>
      </c>
      <c r="J21" s="30" t="s">
        <v>23</v>
      </c>
      <c r="K21" s="11">
        <v>0</v>
      </c>
      <c r="L21" s="6" t="str">
        <f t="shared" si="3"/>
        <v>RO_Data[5].SEC[</v>
      </c>
      <c r="M21" s="26">
        <f t="shared" si="15"/>
        <v>16</v>
      </c>
      <c r="N21" s="30" t="s">
        <v>23</v>
      </c>
      <c r="O21" s="12">
        <v>0</v>
      </c>
      <c r="P21" s="6" t="str">
        <f t="shared" si="4"/>
        <v>RO_Data[5].SETPOINT[</v>
      </c>
      <c r="Q21" s="26">
        <f t="shared" si="16"/>
        <v>16</v>
      </c>
      <c r="R21" s="30" t="s">
        <v>23</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23</v>
      </c>
      <c r="IB21" s="10"/>
      <c r="IC21" s="6" t="str">
        <f t="shared" si="12"/>
        <v>RO_Data[5].STEP_DESC[</v>
      </c>
      <c r="ID21" s="26">
        <f t="shared" si="23"/>
        <v>16</v>
      </c>
      <c r="IE21" s="30" t="s">
        <v>23</v>
      </c>
    </row>
    <row r="22" spans="1:239" x14ac:dyDescent="0.25">
      <c r="A22" s="8">
        <v>17</v>
      </c>
      <c r="B22" s="8" t="str">
        <f t="shared" si="0"/>
        <v/>
      </c>
      <c r="C22" s="82"/>
      <c r="D22" s="6" t="str">
        <f t="shared" si="1"/>
        <v>RO_Data[5].ACK_DESC[</v>
      </c>
      <c r="E22" s="26">
        <f t="shared" si="13"/>
        <v>17</v>
      </c>
      <c r="F22" s="30" t="s">
        <v>23</v>
      </c>
      <c r="G22" s="11">
        <v>0</v>
      </c>
      <c r="H22" s="6" t="str">
        <f t="shared" si="2"/>
        <v>RO_Data[5].MIN[</v>
      </c>
      <c r="I22" s="26">
        <f t="shared" si="14"/>
        <v>17</v>
      </c>
      <c r="J22" s="30" t="s">
        <v>23</v>
      </c>
      <c r="K22" s="11">
        <v>0</v>
      </c>
      <c r="L22" s="6" t="str">
        <f t="shared" si="3"/>
        <v>RO_Data[5].SEC[</v>
      </c>
      <c r="M22" s="26">
        <f t="shared" si="15"/>
        <v>17</v>
      </c>
      <c r="N22" s="30" t="s">
        <v>23</v>
      </c>
      <c r="O22" s="12">
        <v>0</v>
      </c>
      <c r="P22" s="6" t="str">
        <f t="shared" si="4"/>
        <v>RO_Data[5].SETPOINT[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23</v>
      </c>
      <c r="IB22" s="10"/>
      <c r="IC22" s="6" t="str">
        <f t="shared" si="12"/>
        <v>RO_Data[5].STEP_DESC[</v>
      </c>
      <c r="ID22" s="26">
        <f t="shared" si="23"/>
        <v>17</v>
      </c>
      <c r="IE22" s="30" t="s">
        <v>23</v>
      </c>
    </row>
    <row r="23" spans="1:239" x14ac:dyDescent="0.25">
      <c r="A23" s="8">
        <v>18</v>
      </c>
      <c r="B23" s="8" t="str">
        <f t="shared" si="0"/>
        <v/>
      </c>
      <c r="C23" s="82"/>
      <c r="D23" s="6" t="str">
        <f t="shared" si="1"/>
        <v>RO_Data[5].ACK_DESC[</v>
      </c>
      <c r="E23" s="26">
        <f t="shared" si="13"/>
        <v>18</v>
      </c>
      <c r="F23" s="30" t="s">
        <v>23</v>
      </c>
      <c r="G23" s="11">
        <v>0</v>
      </c>
      <c r="H23" s="6" t="str">
        <f t="shared" si="2"/>
        <v>RO_Data[5].MIN[</v>
      </c>
      <c r="I23" s="26">
        <f t="shared" si="14"/>
        <v>18</v>
      </c>
      <c r="J23" s="30" t="s">
        <v>23</v>
      </c>
      <c r="K23" s="11">
        <v>0</v>
      </c>
      <c r="L23" s="6" t="str">
        <f t="shared" si="3"/>
        <v>RO_Data[5].SEC[</v>
      </c>
      <c r="M23" s="26">
        <f t="shared" si="15"/>
        <v>18</v>
      </c>
      <c r="N23" s="30" t="s">
        <v>23</v>
      </c>
      <c r="O23" s="12">
        <v>0</v>
      </c>
      <c r="P23" s="6" t="str">
        <f t="shared" si="4"/>
        <v>RO_Data[5].SETPOINT[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23</v>
      </c>
      <c r="IB23" s="10"/>
      <c r="IC23" s="6" t="str">
        <f t="shared" si="12"/>
        <v>RO_Data[5].STEP_DESC[</v>
      </c>
      <c r="ID23" s="26">
        <f t="shared" si="23"/>
        <v>18</v>
      </c>
      <c r="IE23" s="30" t="s">
        <v>23</v>
      </c>
    </row>
    <row r="24" spans="1:239" ht="15.75" thickBot="1" x14ac:dyDescent="0.3">
      <c r="A24" s="56">
        <v>19</v>
      </c>
      <c r="B24" s="56" t="str">
        <f t="shared" si="0"/>
        <v/>
      </c>
      <c r="C24" s="92"/>
      <c r="D24" s="54" t="str">
        <f t="shared" si="1"/>
        <v>RO_Data[5].ACK_DESC[</v>
      </c>
      <c r="E24" s="55">
        <f t="shared" si="13"/>
        <v>19</v>
      </c>
      <c r="F24" s="58" t="s">
        <v>23</v>
      </c>
      <c r="G24" s="93">
        <v>0</v>
      </c>
      <c r="H24" s="54" t="str">
        <f t="shared" si="2"/>
        <v>RO_Data[5].MIN[</v>
      </c>
      <c r="I24" s="55">
        <f t="shared" si="14"/>
        <v>19</v>
      </c>
      <c r="J24" s="58" t="s">
        <v>23</v>
      </c>
      <c r="K24" s="93">
        <v>0</v>
      </c>
      <c r="L24" s="54" t="str">
        <f t="shared" si="3"/>
        <v>RO_Data[5].SEC[</v>
      </c>
      <c r="M24" s="55">
        <f t="shared" si="15"/>
        <v>19</v>
      </c>
      <c r="N24" s="58" t="s">
        <v>23</v>
      </c>
      <c r="O24" s="91">
        <v>0</v>
      </c>
      <c r="P24" s="54" t="str">
        <f t="shared" si="4"/>
        <v>RO_Data[5].SETPOINT[</v>
      </c>
      <c r="Q24" s="55">
        <f t="shared" si="16"/>
        <v>19</v>
      </c>
      <c r="R24" s="58" t="s">
        <v>23</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23</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23</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23</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23</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23</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23</v>
      </c>
      <c r="IB24" s="57"/>
      <c r="IC24" s="54" t="str">
        <f t="shared" si="12"/>
        <v>RO_Data[5].STEP_DESC[</v>
      </c>
      <c r="ID24" s="55">
        <f t="shared" si="23"/>
        <v>19</v>
      </c>
      <c r="IE24" s="58" t="s">
        <v>23</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Program'!$B$31:$B$36</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206" t="s">
        <v>135</v>
      </c>
      <c r="B1" s="186"/>
      <c r="C1" s="186" t="s">
        <v>124</v>
      </c>
      <c r="D1" s="204"/>
      <c r="E1" s="204"/>
      <c r="F1" s="205"/>
      <c r="G1" s="186" t="s">
        <v>125</v>
      </c>
      <c r="H1" s="204"/>
      <c r="I1" s="204"/>
      <c r="J1" s="205"/>
      <c r="K1" s="186" t="s">
        <v>126</v>
      </c>
      <c r="L1" s="204"/>
      <c r="M1" s="204"/>
      <c r="N1" s="205"/>
      <c r="O1" s="186" t="s">
        <v>127</v>
      </c>
      <c r="P1" s="204"/>
      <c r="Q1" s="204"/>
      <c r="R1" s="205"/>
      <c r="S1" s="81"/>
      <c r="T1" s="207" t="s">
        <v>128</v>
      </c>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t="s">
        <v>129</v>
      </c>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t="s">
        <v>130</v>
      </c>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7"/>
      <c r="DQ1" s="207"/>
      <c r="DR1" s="207"/>
      <c r="DS1" s="207"/>
      <c r="DT1" s="207"/>
      <c r="DU1" s="207"/>
      <c r="DV1" s="207"/>
      <c r="DW1" s="207"/>
      <c r="DX1" s="186" t="s">
        <v>131</v>
      </c>
      <c r="DY1" s="186"/>
      <c r="DZ1" s="186"/>
      <c r="EA1" s="186"/>
      <c r="EB1" s="186"/>
      <c r="EC1" s="186"/>
      <c r="ED1" s="186"/>
      <c r="EE1" s="186"/>
      <c r="EF1" s="186"/>
      <c r="EG1" s="186"/>
      <c r="EH1" s="186"/>
      <c r="EI1" s="186"/>
      <c r="EJ1" s="186"/>
      <c r="EK1" s="186"/>
      <c r="EL1" s="186"/>
      <c r="EM1" s="186"/>
      <c r="EN1" s="186"/>
      <c r="EO1" s="186"/>
      <c r="EP1" s="186"/>
      <c r="EQ1" s="186"/>
      <c r="ER1" s="186"/>
      <c r="ES1" s="186"/>
      <c r="ET1" s="186"/>
      <c r="EU1" s="186"/>
      <c r="EV1" s="186"/>
      <c r="EW1" s="186"/>
      <c r="EX1" s="186"/>
      <c r="EY1" s="186"/>
      <c r="EZ1" s="186"/>
      <c r="FA1" s="186"/>
      <c r="FB1" s="186"/>
      <c r="FC1" s="186"/>
      <c r="FD1" s="186"/>
      <c r="FE1" s="186"/>
      <c r="FF1" s="186"/>
      <c r="FG1" s="186"/>
      <c r="FH1" s="186" t="s">
        <v>132</v>
      </c>
      <c r="FI1" s="186"/>
      <c r="FJ1" s="186"/>
      <c r="FK1" s="186"/>
      <c r="FL1" s="186"/>
      <c r="FM1" s="186"/>
      <c r="FN1" s="186"/>
      <c r="FO1" s="186"/>
      <c r="FP1" s="186"/>
      <c r="FQ1" s="186"/>
      <c r="FR1" s="186"/>
      <c r="FS1" s="186"/>
      <c r="FT1" s="186"/>
      <c r="FU1" s="186"/>
      <c r="FV1" s="186"/>
      <c r="FW1" s="186"/>
      <c r="FX1" s="186"/>
      <c r="FY1" s="186"/>
      <c r="FZ1" s="186"/>
      <c r="GA1" s="186"/>
      <c r="GB1" s="186"/>
      <c r="GC1" s="186"/>
      <c r="GD1" s="186"/>
      <c r="GE1" s="186"/>
      <c r="GF1" s="186"/>
      <c r="GG1" s="186"/>
      <c r="GH1" s="186"/>
      <c r="GI1" s="186"/>
      <c r="GJ1" s="186"/>
      <c r="GK1" s="186"/>
      <c r="GL1" s="186"/>
      <c r="GM1" s="186"/>
      <c r="GN1" s="186"/>
      <c r="GO1" s="186"/>
      <c r="GP1" s="186"/>
      <c r="GQ1" s="186"/>
      <c r="GR1" s="186" t="s">
        <v>133</v>
      </c>
      <c r="GS1" s="186"/>
      <c r="GT1" s="186"/>
      <c r="GU1" s="186"/>
      <c r="GV1" s="186"/>
      <c r="GW1" s="186"/>
      <c r="GX1" s="186"/>
      <c r="GY1" s="186"/>
      <c r="GZ1" s="186"/>
      <c r="HA1" s="186"/>
      <c r="HB1" s="186"/>
      <c r="HC1" s="186"/>
      <c r="HD1" s="186"/>
      <c r="HE1" s="186"/>
      <c r="HF1" s="186"/>
      <c r="HG1" s="186"/>
      <c r="HH1" s="186"/>
      <c r="HI1" s="186"/>
      <c r="HJ1" s="186"/>
      <c r="HK1" s="186"/>
      <c r="HL1" s="186"/>
      <c r="HM1" s="186"/>
      <c r="HN1" s="186"/>
      <c r="HO1" s="186"/>
      <c r="HP1" s="186"/>
      <c r="HQ1" s="186"/>
      <c r="HR1" s="186"/>
      <c r="HS1" s="186"/>
      <c r="HT1" s="186"/>
      <c r="HU1" s="186"/>
      <c r="HV1" s="186"/>
      <c r="HW1" s="186"/>
      <c r="HX1" s="186"/>
      <c r="HY1" s="186"/>
      <c r="HZ1" s="186"/>
      <c r="IA1" s="186"/>
      <c r="IB1" s="186" t="s">
        <v>134</v>
      </c>
      <c r="IC1" s="204"/>
      <c r="ID1" s="204"/>
      <c r="IE1" s="205"/>
    </row>
    <row r="2" spans="1:239" ht="312.75" thickBot="1" x14ac:dyDescent="0.3">
      <c r="A2" s="1"/>
      <c r="B2" s="2" t="s">
        <v>52</v>
      </c>
      <c r="C2" s="4" t="s">
        <v>110</v>
      </c>
      <c r="D2" s="199"/>
      <c r="E2" s="197"/>
      <c r="F2" s="217"/>
      <c r="G2" s="45" t="s">
        <v>108</v>
      </c>
      <c r="H2" s="208"/>
      <c r="I2" s="171"/>
      <c r="J2" s="216"/>
      <c r="K2" s="45" t="s">
        <v>111</v>
      </c>
      <c r="L2" s="208"/>
      <c r="M2" s="171"/>
      <c r="N2" s="216"/>
      <c r="O2" s="4" t="s">
        <v>107</v>
      </c>
      <c r="P2" s="209"/>
      <c r="Q2" s="171"/>
      <c r="R2" s="171"/>
      <c r="S2" s="63" t="s">
        <v>136</v>
      </c>
      <c r="T2" s="16" t="s">
        <v>25</v>
      </c>
      <c r="U2" s="17" t="s">
        <v>26</v>
      </c>
      <c r="V2" s="17"/>
      <c r="W2" s="17" t="s">
        <v>27</v>
      </c>
      <c r="X2" s="17" t="s">
        <v>28</v>
      </c>
      <c r="Y2" s="59" t="s">
        <v>137</v>
      </c>
      <c r="Z2" s="59" t="s">
        <v>138</v>
      </c>
      <c r="AA2" s="59" t="s">
        <v>139</v>
      </c>
      <c r="AB2" s="17" t="s">
        <v>29</v>
      </c>
      <c r="AC2" s="17" t="s">
        <v>30</v>
      </c>
      <c r="AD2" s="17" t="s">
        <v>31</v>
      </c>
      <c r="AE2" s="76" t="s">
        <v>32</v>
      </c>
      <c r="AF2" s="76" t="s">
        <v>140</v>
      </c>
      <c r="AG2" s="76" t="s">
        <v>33</v>
      </c>
      <c r="AH2" s="76" t="s">
        <v>34</v>
      </c>
      <c r="AI2" s="76" t="s">
        <v>35</v>
      </c>
      <c r="AJ2" s="76" t="s">
        <v>36</v>
      </c>
      <c r="AK2" s="76" t="s">
        <v>37</v>
      </c>
      <c r="AL2" s="76" t="s">
        <v>38</v>
      </c>
      <c r="AM2" s="76" t="s">
        <v>39</v>
      </c>
      <c r="AN2" s="76" t="s">
        <v>40</v>
      </c>
      <c r="AO2" s="76" t="s">
        <v>41</v>
      </c>
      <c r="AP2" s="76" t="s">
        <v>42</v>
      </c>
      <c r="AQ2" s="76" t="s">
        <v>43</v>
      </c>
      <c r="AR2" s="76" t="s">
        <v>44</v>
      </c>
      <c r="AS2" s="76" t="s">
        <v>45</v>
      </c>
      <c r="AT2" s="76" t="s">
        <v>46</v>
      </c>
      <c r="AU2" s="76" t="s">
        <v>47</v>
      </c>
      <c r="AV2" s="76" t="s">
        <v>48</v>
      </c>
      <c r="AW2" s="17" t="s">
        <v>49</v>
      </c>
      <c r="AX2" s="17" t="s">
        <v>50</v>
      </c>
      <c r="AY2" s="18" t="s">
        <v>51</v>
      </c>
      <c r="AZ2" s="2"/>
      <c r="BA2" s="195"/>
      <c r="BB2" s="187"/>
      <c r="BC2" s="188"/>
      <c r="BD2" s="16" t="s">
        <v>53</v>
      </c>
      <c r="BE2" s="17" t="s">
        <v>54</v>
      </c>
      <c r="BF2" s="17" t="s">
        <v>55</v>
      </c>
      <c r="BG2" s="17" t="s">
        <v>56</v>
      </c>
      <c r="BH2" s="17" t="s">
        <v>57</v>
      </c>
      <c r="BI2" s="17" t="s">
        <v>141</v>
      </c>
      <c r="BJ2" s="17" t="s">
        <v>142</v>
      </c>
      <c r="BK2" s="17" t="s">
        <v>58</v>
      </c>
      <c r="BL2" s="17" t="s">
        <v>59</v>
      </c>
      <c r="BM2" s="17" t="s">
        <v>60</v>
      </c>
      <c r="BN2" s="17" t="s">
        <v>143</v>
      </c>
      <c r="BO2" s="17" t="s">
        <v>61</v>
      </c>
      <c r="BP2" s="17" t="s">
        <v>62</v>
      </c>
      <c r="BQ2" s="17" t="s">
        <v>63</v>
      </c>
      <c r="BR2" s="17" t="s">
        <v>64</v>
      </c>
      <c r="BS2" s="17" t="s">
        <v>65</v>
      </c>
      <c r="BT2" s="17" t="s">
        <v>66</v>
      </c>
      <c r="BU2" s="17" t="s">
        <v>67</v>
      </c>
      <c r="BV2" s="17" t="s">
        <v>68</v>
      </c>
      <c r="BW2" s="17" t="s">
        <v>69</v>
      </c>
      <c r="BX2" s="17" t="s">
        <v>70</v>
      </c>
      <c r="BY2" s="17" t="s">
        <v>71</v>
      </c>
      <c r="BZ2" s="17" t="s">
        <v>72</v>
      </c>
      <c r="CA2" s="17" t="s">
        <v>73</v>
      </c>
      <c r="CB2" s="17" t="s">
        <v>74</v>
      </c>
      <c r="CC2" s="17" t="s">
        <v>75</v>
      </c>
      <c r="CD2" s="17" t="s">
        <v>76</v>
      </c>
      <c r="CE2" s="17" t="s">
        <v>77</v>
      </c>
      <c r="CF2" s="17" t="s">
        <v>78</v>
      </c>
      <c r="CG2" s="17" t="s">
        <v>79</v>
      </c>
      <c r="CH2" s="17" t="s">
        <v>80</v>
      </c>
      <c r="CI2" s="18" t="s">
        <v>81</v>
      </c>
      <c r="CJ2" s="2"/>
      <c r="CK2" s="195"/>
      <c r="CL2" s="187"/>
      <c r="CM2" s="188"/>
      <c r="CN2" s="16" t="s">
        <v>144</v>
      </c>
      <c r="CO2" s="17" t="s">
        <v>145</v>
      </c>
      <c r="CP2" s="17" t="s">
        <v>146</v>
      </c>
      <c r="CQ2" s="17" t="s">
        <v>147</v>
      </c>
      <c r="CR2" s="17" t="s">
        <v>148</v>
      </c>
      <c r="CS2" s="17" t="s">
        <v>82</v>
      </c>
      <c r="CT2" s="17" t="s">
        <v>83</v>
      </c>
      <c r="CU2" s="17" t="s">
        <v>84</v>
      </c>
      <c r="CV2" s="17" t="s">
        <v>85</v>
      </c>
      <c r="CW2" s="17" t="s">
        <v>149</v>
      </c>
      <c r="CX2" s="17" t="s">
        <v>86</v>
      </c>
      <c r="CY2" s="17" t="s">
        <v>87</v>
      </c>
      <c r="CZ2" s="17" t="s">
        <v>88</v>
      </c>
      <c r="DA2" s="17" t="s">
        <v>89</v>
      </c>
      <c r="DB2" s="17" t="s">
        <v>90</v>
      </c>
      <c r="DC2" s="17" t="s">
        <v>91</v>
      </c>
      <c r="DD2" s="17" t="s">
        <v>92</v>
      </c>
      <c r="DE2" s="17"/>
      <c r="DF2" s="17" t="s">
        <v>93</v>
      </c>
      <c r="DG2" s="17" t="s">
        <v>94</v>
      </c>
      <c r="DH2" s="17" t="s">
        <v>95</v>
      </c>
      <c r="DI2" s="17" t="s">
        <v>96</v>
      </c>
      <c r="DJ2" s="17" t="s">
        <v>97</v>
      </c>
      <c r="DK2" s="17" t="s">
        <v>98</v>
      </c>
      <c r="DL2" s="17" t="s">
        <v>99</v>
      </c>
      <c r="DM2" s="17" t="s">
        <v>100</v>
      </c>
      <c r="DN2" s="17" t="s">
        <v>101</v>
      </c>
      <c r="DO2" s="17" t="s">
        <v>102</v>
      </c>
      <c r="DP2" s="17" t="s">
        <v>103</v>
      </c>
      <c r="DQ2" s="17" t="s">
        <v>104</v>
      </c>
      <c r="DR2" s="17" t="s">
        <v>105</v>
      </c>
      <c r="DS2" s="18" t="s">
        <v>106</v>
      </c>
      <c r="DT2" s="2"/>
      <c r="DU2" s="195"/>
      <c r="DV2" s="187"/>
      <c r="DW2" s="188"/>
      <c r="DX2" s="51" t="s">
        <v>150</v>
      </c>
      <c r="DY2" s="47" t="s">
        <v>151</v>
      </c>
      <c r="DZ2" s="47" t="s">
        <v>152</v>
      </c>
      <c r="EA2" s="47" t="s">
        <v>153</v>
      </c>
      <c r="EB2" s="47" t="s">
        <v>154</v>
      </c>
      <c r="EC2" s="47" t="s">
        <v>155</v>
      </c>
      <c r="ED2" s="47" t="s">
        <v>156</v>
      </c>
      <c r="EE2" s="47" t="s">
        <v>157</v>
      </c>
      <c r="EF2" s="47" t="s">
        <v>158</v>
      </c>
      <c r="EG2" s="47" t="s">
        <v>159</v>
      </c>
      <c r="EH2" s="47" t="s">
        <v>160</v>
      </c>
      <c r="EI2" s="47" t="s">
        <v>161</v>
      </c>
      <c r="EJ2" s="47" t="s">
        <v>162</v>
      </c>
      <c r="EK2" s="47"/>
      <c r="EL2" s="47"/>
      <c r="EM2" s="47" t="s">
        <v>163</v>
      </c>
      <c r="EN2" s="47" t="s">
        <v>164</v>
      </c>
      <c r="EO2" s="47" t="s">
        <v>165</v>
      </c>
      <c r="EP2" s="47" t="s">
        <v>166</v>
      </c>
      <c r="EQ2" s="47" t="s">
        <v>167</v>
      </c>
      <c r="ER2" s="47"/>
      <c r="ES2" s="47"/>
      <c r="ET2" s="47" t="s">
        <v>168</v>
      </c>
      <c r="EU2" s="47"/>
      <c r="EV2" s="47"/>
      <c r="EW2" s="47"/>
      <c r="EX2" s="47"/>
      <c r="EY2" s="47" t="s">
        <v>169</v>
      </c>
      <c r="EZ2" s="47" t="s">
        <v>170</v>
      </c>
      <c r="FA2" s="47" t="s">
        <v>171</v>
      </c>
      <c r="FB2" s="47" t="s">
        <v>172</v>
      </c>
      <c r="FC2" s="48" t="s">
        <v>173</v>
      </c>
      <c r="FD2" s="2"/>
      <c r="FE2" s="196"/>
      <c r="FF2" s="197"/>
      <c r="FG2" s="197"/>
      <c r="FH2" s="53" t="s">
        <v>174</v>
      </c>
      <c r="FI2" s="47" t="s">
        <v>175</v>
      </c>
      <c r="FJ2" s="47" t="s">
        <v>176</v>
      </c>
      <c r="FK2" s="47" t="s">
        <v>177</v>
      </c>
      <c r="FL2" s="47" t="s">
        <v>178</v>
      </c>
      <c r="FM2" s="47"/>
      <c r="FN2" s="47"/>
      <c r="FO2" s="47"/>
      <c r="FP2" s="47"/>
      <c r="FQ2" s="47"/>
      <c r="FR2" s="47"/>
      <c r="FS2" s="47"/>
      <c r="FT2" s="47"/>
      <c r="FU2" s="47"/>
      <c r="FV2" s="47"/>
      <c r="FW2" s="47"/>
      <c r="FX2" s="47"/>
      <c r="FY2" s="47"/>
      <c r="FZ2" s="47"/>
      <c r="GA2" s="47"/>
      <c r="GB2" s="47"/>
      <c r="GC2" s="47"/>
      <c r="GD2" s="47"/>
      <c r="GE2" s="47" t="s">
        <v>179</v>
      </c>
      <c r="GF2" s="47" t="s">
        <v>180</v>
      </c>
      <c r="GG2" s="47" t="s">
        <v>181</v>
      </c>
      <c r="GH2" s="47" t="s">
        <v>182</v>
      </c>
      <c r="GI2" s="47" t="s">
        <v>183</v>
      </c>
      <c r="GJ2" s="47" t="s">
        <v>184</v>
      </c>
      <c r="GK2" s="47" t="s">
        <v>185</v>
      </c>
      <c r="GL2" s="47" t="s">
        <v>186</v>
      </c>
      <c r="GM2" s="48" t="s">
        <v>187</v>
      </c>
      <c r="GN2" s="2"/>
      <c r="GO2" s="196"/>
      <c r="GP2" s="197"/>
      <c r="GQ2" s="197"/>
      <c r="GR2" s="53"/>
      <c r="GS2" s="47" t="s">
        <v>188</v>
      </c>
      <c r="GT2" s="47" t="s">
        <v>189</v>
      </c>
      <c r="GU2" s="47" t="s">
        <v>190</v>
      </c>
      <c r="GV2" s="47" t="s">
        <v>191</v>
      </c>
      <c r="GW2" s="47" t="s">
        <v>192</v>
      </c>
      <c r="GX2" s="47" t="s">
        <v>193</v>
      </c>
      <c r="GY2" s="47" t="s">
        <v>194</v>
      </c>
      <c r="GZ2" s="47"/>
      <c r="HA2" s="47"/>
      <c r="HB2" s="47"/>
      <c r="HC2" s="47"/>
      <c r="HD2" s="47"/>
      <c r="HE2" s="47"/>
      <c r="HF2" s="47"/>
      <c r="HG2" s="47"/>
      <c r="HH2" s="47"/>
      <c r="HI2" s="47"/>
      <c r="HJ2" s="47" t="s">
        <v>195</v>
      </c>
      <c r="HK2" s="47" t="s">
        <v>196</v>
      </c>
      <c r="HL2" s="47" t="s">
        <v>197</v>
      </c>
      <c r="HM2" s="47" t="s">
        <v>198</v>
      </c>
      <c r="HN2" s="47" t="s">
        <v>199</v>
      </c>
      <c r="HO2" s="47" t="s">
        <v>200</v>
      </c>
      <c r="HP2" s="47"/>
      <c r="HQ2" s="47"/>
      <c r="HR2" s="47" t="s">
        <v>201</v>
      </c>
      <c r="HS2" s="47" t="s">
        <v>202</v>
      </c>
      <c r="HT2" s="47" t="s">
        <v>203</v>
      </c>
      <c r="HU2" s="47" t="s">
        <v>204</v>
      </c>
      <c r="HV2" s="47" t="s">
        <v>205</v>
      </c>
      <c r="HW2" s="48" t="s">
        <v>206</v>
      </c>
      <c r="HX2" s="2"/>
      <c r="HY2" s="196"/>
      <c r="HZ2" s="197"/>
      <c r="IA2" s="197"/>
      <c r="IB2" s="4" t="s">
        <v>19</v>
      </c>
      <c r="IC2" s="199"/>
      <c r="ID2" s="197"/>
      <c r="IE2" s="217"/>
    </row>
    <row r="3" spans="1:239" ht="15.75" customHeight="1" thickBot="1" x14ac:dyDescent="0.3">
      <c r="A3" s="78" t="s">
        <v>20</v>
      </c>
      <c r="B3" s="84"/>
      <c r="C3" s="78" t="s">
        <v>18</v>
      </c>
      <c r="D3" s="218" t="s">
        <v>21</v>
      </c>
      <c r="E3" s="187"/>
      <c r="F3" s="188"/>
      <c r="G3" s="78" t="s">
        <v>17</v>
      </c>
      <c r="H3" s="190" t="s">
        <v>21</v>
      </c>
      <c r="I3" s="187"/>
      <c r="J3" s="188"/>
      <c r="K3" s="78" t="s">
        <v>17</v>
      </c>
      <c r="L3" s="190" t="s">
        <v>21</v>
      </c>
      <c r="M3" s="187"/>
      <c r="N3" s="188"/>
      <c r="O3" s="78" t="s">
        <v>17</v>
      </c>
      <c r="P3" s="218" t="s">
        <v>21</v>
      </c>
      <c r="Q3" s="187"/>
      <c r="R3" s="188"/>
      <c r="S3" s="27"/>
      <c r="T3" s="189"/>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8"/>
      <c r="AZ3" s="78" t="s">
        <v>425</v>
      </c>
      <c r="BA3" s="190" t="s">
        <v>21</v>
      </c>
      <c r="BB3" s="187"/>
      <c r="BC3" s="188"/>
      <c r="BD3" s="189"/>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8"/>
      <c r="CJ3" s="78" t="s">
        <v>16</v>
      </c>
      <c r="CK3" s="190" t="s">
        <v>21</v>
      </c>
      <c r="CL3" s="187"/>
      <c r="CM3" s="188"/>
      <c r="CN3" s="189"/>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c r="DR3" s="187"/>
      <c r="DS3" s="188"/>
      <c r="DT3" s="78" t="s">
        <v>425</v>
      </c>
      <c r="DU3" s="190" t="s">
        <v>21</v>
      </c>
      <c r="DV3" s="187"/>
      <c r="DW3" s="188"/>
      <c r="DX3" s="215"/>
      <c r="DY3" s="193"/>
      <c r="DZ3" s="193"/>
      <c r="EA3" s="193"/>
      <c r="EB3" s="193"/>
      <c r="EC3" s="193"/>
      <c r="ED3" s="193"/>
      <c r="EE3" s="193"/>
      <c r="EF3" s="193"/>
      <c r="EG3" s="193"/>
      <c r="EH3" s="193"/>
      <c r="EI3" s="193"/>
      <c r="EJ3" s="193"/>
      <c r="EK3" s="193"/>
      <c r="EL3" s="193"/>
      <c r="EM3" s="193"/>
      <c r="EN3" s="193"/>
      <c r="EO3" s="193"/>
      <c r="EP3" s="193"/>
      <c r="EQ3" s="193"/>
      <c r="ER3" s="193"/>
      <c r="ES3" s="193"/>
      <c r="ET3" s="193"/>
      <c r="EU3" s="193"/>
      <c r="EV3" s="193"/>
      <c r="EW3" s="193"/>
      <c r="EX3" s="193"/>
      <c r="EY3" s="193"/>
      <c r="EZ3" s="193"/>
      <c r="FA3" s="193"/>
      <c r="FB3" s="193"/>
      <c r="FC3" s="194"/>
      <c r="FD3" s="79" t="s">
        <v>425</v>
      </c>
      <c r="FE3" s="190" t="s">
        <v>21</v>
      </c>
      <c r="FF3" s="187"/>
      <c r="FG3" s="188"/>
      <c r="FH3" s="215"/>
      <c r="FI3" s="193"/>
      <c r="FJ3" s="193"/>
      <c r="FK3" s="193"/>
      <c r="FL3" s="193"/>
      <c r="FM3" s="193"/>
      <c r="FN3" s="193"/>
      <c r="FO3" s="193"/>
      <c r="FP3" s="193"/>
      <c r="FQ3" s="193"/>
      <c r="FR3" s="193"/>
      <c r="FS3" s="193"/>
      <c r="FT3" s="193"/>
      <c r="FU3" s="193"/>
      <c r="FV3" s="193"/>
      <c r="FW3" s="193"/>
      <c r="FX3" s="193"/>
      <c r="FY3" s="193"/>
      <c r="FZ3" s="193"/>
      <c r="GA3" s="193"/>
      <c r="GB3" s="193"/>
      <c r="GC3" s="193"/>
      <c r="GD3" s="193"/>
      <c r="GE3" s="193"/>
      <c r="GF3" s="193"/>
      <c r="GG3" s="193"/>
      <c r="GH3" s="193"/>
      <c r="GI3" s="193"/>
      <c r="GJ3" s="193"/>
      <c r="GK3" s="193"/>
      <c r="GL3" s="193"/>
      <c r="GM3" s="194"/>
      <c r="GN3" s="79" t="s">
        <v>425</v>
      </c>
      <c r="GO3" s="190" t="s">
        <v>21</v>
      </c>
      <c r="GP3" s="187"/>
      <c r="GQ3" s="188"/>
      <c r="GR3" s="215"/>
      <c r="GS3" s="193"/>
      <c r="GT3" s="193"/>
      <c r="GU3" s="193"/>
      <c r="GV3" s="193"/>
      <c r="GW3" s="193"/>
      <c r="GX3" s="193"/>
      <c r="GY3" s="193"/>
      <c r="GZ3" s="193"/>
      <c r="HA3" s="193"/>
      <c r="HB3" s="193"/>
      <c r="HC3" s="193"/>
      <c r="HD3" s="193"/>
      <c r="HE3" s="193"/>
      <c r="HF3" s="193"/>
      <c r="HG3" s="193"/>
      <c r="HH3" s="193"/>
      <c r="HI3" s="193"/>
      <c r="HJ3" s="193"/>
      <c r="HK3" s="193"/>
      <c r="HL3" s="193"/>
      <c r="HM3" s="193"/>
      <c r="HN3" s="193"/>
      <c r="HO3" s="193"/>
      <c r="HP3" s="193"/>
      <c r="HQ3" s="193"/>
      <c r="HR3" s="193"/>
      <c r="HS3" s="193"/>
      <c r="HT3" s="193"/>
      <c r="HU3" s="193"/>
      <c r="HV3" s="193"/>
      <c r="HW3" s="194"/>
      <c r="HX3" s="79" t="s">
        <v>425</v>
      </c>
      <c r="HY3" s="190" t="s">
        <v>21</v>
      </c>
      <c r="HZ3" s="187"/>
      <c r="IA3" s="188"/>
      <c r="IB3" s="78" t="s">
        <v>18</v>
      </c>
      <c r="IC3" s="218" t="s">
        <v>21</v>
      </c>
      <c r="ID3" s="187"/>
      <c r="IE3" s="188"/>
    </row>
    <row r="4" spans="1:239" x14ac:dyDescent="0.25">
      <c r="A4" s="8" t="s">
        <v>22</v>
      </c>
      <c r="B4" s="8" t="s">
        <v>19</v>
      </c>
      <c r="C4" s="30"/>
      <c r="D4" s="200"/>
      <c r="E4" s="201"/>
      <c r="F4" s="203"/>
      <c r="G4" s="7"/>
      <c r="H4" s="200"/>
      <c r="I4" s="201"/>
      <c r="J4" s="203"/>
      <c r="K4" s="7"/>
      <c r="L4" s="200"/>
      <c r="M4" s="201"/>
      <c r="N4" s="203"/>
      <c r="O4" s="5"/>
      <c r="P4" s="200"/>
      <c r="Q4" s="201"/>
      <c r="R4" s="203"/>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200"/>
      <c r="BB4" s="201"/>
      <c r="BC4" s="203"/>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200"/>
      <c r="CL4" s="201"/>
      <c r="CM4" s="203"/>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200"/>
      <c r="DV4" s="201"/>
      <c r="DW4" s="203"/>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200"/>
      <c r="FF4" s="201"/>
      <c r="FG4" s="203"/>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200"/>
      <c r="GP4" s="201"/>
      <c r="GQ4" s="203"/>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200"/>
      <c r="HZ4" s="201"/>
      <c r="IA4" s="203"/>
      <c r="IB4" s="8"/>
      <c r="IC4" s="200"/>
      <c r="ID4" s="201"/>
      <c r="IE4" s="203"/>
    </row>
    <row r="5" spans="1:239" x14ac:dyDescent="0.25">
      <c r="A5" s="8">
        <v>0</v>
      </c>
      <c r="B5" s="8" t="str">
        <f t="shared" ref="B5:B24" si="0">IF($IB5&lt;&gt;"", $IB5, "")</f>
        <v>HOME</v>
      </c>
      <c r="C5" s="82"/>
      <c r="D5" s="25" t="s">
        <v>406</v>
      </c>
      <c r="E5" s="26">
        <v>0</v>
      </c>
      <c r="F5" s="30" t="s">
        <v>23</v>
      </c>
      <c r="G5" s="11">
        <v>0</v>
      </c>
      <c r="H5" s="25" t="s">
        <v>407</v>
      </c>
      <c r="I5" s="26">
        <v>0</v>
      </c>
      <c r="J5" s="30" t="s">
        <v>23</v>
      </c>
      <c r="K5" s="11">
        <v>0</v>
      </c>
      <c r="L5" s="25" t="s">
        <v>408</v>
      </c>
      <c r="M5" s="26">
        <v>0</v>
      </c>
      <c r="N5" s="30" t="s">
        <v>23</v>
      </c>
      <c r="O5" s="12">
        <v>0</v>
      </c>
      <c r="P5" s="25" t="s">
        <v>409</v>
      </c>
      <c r="Q5" s="26">
        <v>0</v>
      </c>
      <c r="R5" s="30" t="s">
        <v>23</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410</v>
      </c>
      <c r="BB5" s="26">
        <v>0</v>
      </c>
      <c r="BC5" s="30" t="s">
        <v>23</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v>0</v>
      </c>
      <c r="CK5" s="25" t="s">
        <v>411</v>
      </c>
      <c r="CL5" s="26">
        <v>0</v>
      </c>
      <c r="CM5" s="30" t="s">
        <v>23</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412</v>
      </c>
      <c r="DV5" s="26">
        <v>0</v>
      </c>
      <c r="DW5" s="30" t="s">
        <v>23</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413</v>
      </c>
      <c r="FF5" s="26">
        <v>0</v>
      </c>
      <c r="FG5" s="30" t="s">
        <v>23</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414</v>
      </c>
      <c r="GP5" s="26">
        <v>0</v>
      </c>
      <c r="GQ5" s="30" t="s">
        <v>23</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415</v>
      </c>
      <c r="HZ5" s="26">
        <v>0</v>
      </c>
      <c r="IA5" s="30" t="s">
        <v>23</v>
      </c>
      <c r="IB5" s="10" t="s">
        <v>207</v>
      </c>
      <c r="IC5" s="25" t="s">
        <v>416</v>
      </c>
      <c r="ID5" s="26">
        <v>0</v>
      </c>
      <c r="IE5" s="30" t="s">
        <v>23</v>
      </c>
    </row>
    <row r="6" spans="1:239" x14ac:dyDescent="0.25">
      <c r="A6" s="8">
        <v>1</v>
      </c>
      <c r="B6" s="8" t="str">
        <f t="shared" si="0"/>
        <v>FILLING FEED TANK TO SET POINT LEVEL</v>
      </c>
      <c r="C6" s="82"/>
      <c r="D6" s="6" t="str">
        <f t="shared" ref="D6:D24" si="1">D$5</f>
        <v>RO_Data[6].ACK_DESC[</v>
      </c>
      <c r="E6" s="26">
        <f>E5+1</f>
        <v>1</v>
      </c>
      <c r="F6" s="30" t="s">
        <v>23</v>
      </c>
      <c r="G6" s="11">
        <v>0</v>
      </c>
      <c r="H6" s="6" t="str">
        <f t="shared" ref="H6:H24" si="2">H$5</f>
        <v>RO_Data[6].MIN[</v>
      </c>
      <c r="I6" s="26">
        <f>I5+1</f>
        <v>1</v>
      </c>
      <c r="J6" s="30" t="s">
        <v>23</v>
      </c>
      <c r="K6" s="11">
        <v>1</v>
      </c>
      <c r="L6" s="6" t="str">
        <f t="shared" ref="L6:L24" si="3">L$5</f>
        <v>RO_Data[6].SEC[</v>
      </c>
      <c r="M6" s="26">
        <f>M5+1</f>
        <v>1</v>
      </c>
      <c r="N6" s="30" t="s">
        <v>23</v>
      </c>
      <c r="O6" s="12">
        <v>0</v>
      </c>
      <c r="P6" s="6" t="str">
        <f t="shared" ref="P6:P24" si="4">P$5</f>
        <v>RO_Data[6].SETPOINT[</v>
      </c>
      <c r="Q6" s="26">
        <f>Q5+1</f>
        <v>1</v>
      </c>
      <c r="R6" s="30" t="s">
        <v>23</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23</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v>0</v>
      </c>
      <c r="CK6" s="6" t="str">
        <f t="shared" ref="CK6:CK24" si="7">CK$5</f>
        <v>RO_Data[6].COND2[</v>
      </c>
      <c r="CL6" s="26">
        <f>CL5+1</f>
        <v>1</v>
      </c>
      <c r="CM6" s="30" t="s">
        <v>23</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23</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23</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23</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23</v>
      </c>
      <c r="IB6" s="10" t="s">
        <v>225</v>
      </c>
      <c r="IC6" s="6" t="str">
        <f t="shared" ref="IC6:IC24" si="12">IC$5</f>
        <v>RO_Data[6].STEP_DESC[</v>
      </c>
      <c r="ID6" s="26">
        <f>ID5+1</f>
        <v>1</v>
      </c>
      <c r="IE6" s="30" t="s">
        <v>23</v>
      </c>
    </row>
    <row r="7" spans="1:239" x14ac:dyDescent="0.25">
      <c r="A7" s="8">
        <v>2</v>
      </c>
      <c r="B7" s="8" t="str">
        <f t="shared" si="0"/>
        <v>STARTING PUMPS</v>
      </c>
      <c r="C7" s="82"/>
      <c r="D7" s="6" t="str">
        <f t="shared" si="1"/>
        <v>RO_Data[6].ACK_DESC[</v>
      </c>
      <c r="E7" s="26">
        <f t="shared" ref="E7:E24" si="13">E6+1</f>
        <v>2</v>
      </c>
      <c r="F7" s="30" t="s">
        <v>23</v>
      </c>
      <c r="G7" s="11">
        <v>0</v>
      </c>
      <c r="H7" s="6" t="str">
        <f t="shared" si="2"/>
        <v>RO_Data[6].MIN[</v>
      </c>
      <c r="I7" s="26">
        <f t="shared" ref="I7:I24" si="14">I6+1</f>
        <v>2</v>
      </c>
      <c r="J7" s="30" t="s">
        <v>23</v>
      </c>
      <c r="K7" s="11">
        <v>30</v>
      </c>
      <c r="L7" s="6" t="str">
        <f t="shared" si="3"/>
        <v>RO_Data[6].SEC[</v>
      </c>
      <c r="M7" s="26">
        <f t="shared" ref="M7:M24" si="15">M6+1</f>
        <v>2</v>
      </c>
      <c r="N7" s="30" t="s">
        <v>23</v>
      </c>
      <c r="O7" s="12">
        <v>0</v>
      </c>
      <c r="P7" s="6" t="str">
        <f t="shared" si="4"/>
        <v>RO_Data[6].SETPOINT[</v>
      </c>
      <c r="Q7" s="26">
        <f t="shared" ref="Q7:Q24" si="16">Q6+1</f>
        <v>2</v>
      </c>
      <c r="R7" s="30" t="s">
        <v>23</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23</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v>6291520</v>
      </c>
      <c r="CK7" s="6" t="str">
        <f t="shared" si="7"/>
        <v>RO_Data[6].COND2[</v>
      </c>
      <c r="CL7" s="26">
        <f t="shared" ref="CL7:CL24" si="18">CL6+1</f>
        <v>2</v>
      </c>
      <c r="CM7" s="30" t="s">
        <v>23</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23</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23</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23</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23</v>
      </c>
      <c r="IB7" s="65" t="s">
        <v>226</v>
      </c>
      <c r="IC7" s="6" t="str">
        <f t="shared" si="12"/>
        <v>RO_Data[6].STEP_DESC[</v>
      </c>
      <c r="ID7" s="26">
        <f t="shared" ref="ID7:ID24" si="23">ID6+1</f>
        <v>2</v>
      </c>
      <c r="IE7" s="30" t="s">
        <v>23</v>
      </c>
    </row>
    <row r="8" spans="1:239" x14ac:dyDescent="0.25">
      <c r="A8" s="8">
        <v>3</v>
      </c>
      <c r="B8" s="8" t="str">
        <f t="shared" si="0"/>
        <v>ADDING CHEMICALS</v>
      </c>
      <c r="C8" s="82"/>
      <c r="D8" s="6" t="str">
        <f t="shared" si="1"/>
        <v>RO_Data[6].ACK_DESC[</v>
      </c>
      <c r="E8" s="26">
        <f t="shared" si="13"/>
        <v>3</v>
      </c>
      <c r="F8" s="30" t="s">
        <v>23</v>
      </c>
      <c r="G8" s="11">
        <v>0</v>
      </c>
      <c r="H8" s="6" t="str">
        <f t="shared" si="2"/>
        <v>RO_Data[6].MIN[</v>
      </c>
      <c r="I8" s="26">
        <f t="shared" si="14"/>
        <v>3</v>
      </c>
      <c r="J8" s="30" t="s">
        <v>23</v>
      </c>
      <c r="K8" s="11">
        <v>1</v>
      </c>
      <c r="L8" s="6" t="str">
        <f t="shared" si="3"/>
        <v>RO_Data[6].SEC[</v>
      </c>
      <c r="M8" s="26">
        <f t="shared" si="15"/>
        <v>3</v>
      </c>
      <c r="N8" s="30" t="s">
        <v>23</v>
      </c>
      <c r="O8" s="12">
        <v>0</v>
      </c>
      <c r="P8" s="6" t="str">
        <f t="shared" si="4"/>
        <v>RO_Data[6].SETPOINT[</v>
      </c>
      <c r="Q8" s="26">
        <f t="shared" si="16"/>
        <v>3</v>
      </c>
      <c r="R8" s="30" t="s">
        <v>23</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23</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v>6291520</v>
      </c>
      <c r="CK8" s="6" t="str">
        <f t="shared" si="7"/>
        <v>RO_Data[6].COND2[</v>
      </c>
      <c r="CL8" s="26">
        <f t="shared" si="18"/>
        <v>3</v>
      </c>
      <c r="CM8" s="30" t="s">
        <v>23</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23</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23</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23</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23</v>
      </c>
      <c r="IB8" s="65" t="s">
        <v>228</v>
      </c>
      <c r="IC8" s="6" t="str">
        <f t="shared" si="12"/>
        <v>RO_Data[6].STEP_DESC[</v>
      </c>
      <c r="ID8" s="26">
        <f t="shared" si="23"/>
        <v>3</v>
      </c>
      <c r="IE8" s="30" t="s">
        <v>23</v>
      </c>
    </row>
    <row r="9" spans="1:239" x14ac:dyDescent="0.25">
      <c r="A9" s="8">
        <v>4</v>
      </c>
      <c r="B9" s="8" t="str">
        <f t="shared" si="0"/>
        <v>CHECK PH - HOLD FOR ACKNOWLEDGE</v>
      </c>
      <c r="C9" s="82"/>
      <c r="D9" s="6" t="str">
        <f t="shared" si="1"/>
        <v>RO_Data[6].ACK_DESC[</v>
      </c>
      <c r="E9" s="26">
        <f t="shared" si="13"/>
        <v>4</v>
      </c>
      <c r="F9" s="30" t="s">
        <v>23</v>
      </c>
      <c r="G9" s="11">
        <v>0</v>
      </c>
      <c r="H9" s="6" t="str">
        <f t="shared" si="2"/>
        <v>RO_Data[6].MIN[</v>
      </c>
      <c r="I9" s="26">
        <f t="shared" si="14"/>
        <v>4</v>
      </c>
      <c r="J9" s="30" t="s">
        <v>23</v>
      </c>
      <c r="K9" s="11">
        <v>1</v>
      </c>
      <c r="L9" s="6" t="str">
        <f t="shared" si="3"/>
        <v>RO_Data[6].SEC[</v>
      </c>
      <c r="M9" s="26">
        <f t="shared" si="15"/>
        <v>4</v>
      </c>
      <c r="N9" s="30" t="s">
        <v>23</v>
      </c>
      <c r="O9" s="12">
        <v>0</v>
      </c>
      <c r="P9" s="6" t="str">
        <f t="shared" si="4"/>
        <v>RO_Data[6].SETPOINT[</v>
      </c>
      <c r="Q9" s="26">
        <f t="shared" si="16"/>
        <v>4</v>
      </c>
      <c r="R9" s="30" t="s">
        <v>23</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23</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v>274726976</v>
      </c>
      <c r="CK9" s="6" t="str">
        <f t="shared" si="7"/>
        <v>RO_Data[6].COND2[</v>
      </c>
      <c r="CL9" s="26">
        <f t="shared" si="18"/>
        <v>4</v>
      </c>
      <c r="CM9" s="30" t="s">
        <v>23</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23</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23</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23</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23</v>
      </c>
      <c r="IB9" s="65" t="s">
        <v>356</v>
      </c>
      <c r="IC9" s="6" t="str">
        <f t="shared" si="12"/>
        <v>RO_Data[6].STEP_DESC[</v>
      </c>
      <c r="ID9" s="26">
        <f t="shared" si="23"/>
        <v>4</v>
      </c>
      <c r="IE9" s="30" t="s">
        <v>23</v>
      </c>
    </row>
    <row r="10" spans="1:239" x14ac:dyDescent="0.25">
      <c r="A10" s="8">
        <v>5</v>
      </c>
      <c r="B10" s="8" t="str">
        <f t="shared" si="0"/>
        <v>SANITIZE</v>
      </c>
      <c r="C10" s="82"/>
      <c r="D10" s="6" t="str">
        <f t="shared" si="1"/>
        <v>RO_Data[6].ACK_DESC[</v>
      </c>
      <c r="E10" s="26">
        <f t="shared" si="13"/>
        <v>5</v>
      </c>
      <c r="F10" s="30" t="s">
        <v>23</v>
      </c>
      <c r="G10" s="11">
        <v>0</v>
      </c>
      <c r="H10" s="6" t="str">
        <f t="shared" si="2"/>
        <v>RO_Data[6].MIN[</v>
      </c>
      <c r="I10" s="26">
        <f t="shared" si="14"/>
        <v>5</v>
      </c>
      <c r="J10" s="30" t="s">
        <v>23</v>
      </c>
      <c r="K10" s="11">
        <v>1</v>
      </c>
      <c r="L10" s="6" t="str">
        <f t="shared" si="3"/>
        <v>RO_Data[6].SEC[</v>
      </c>
      <c r="M10" s="26">
        <f t="shared" si="15"/>
        <v>5</v>
      </c>
      <c r="N10" s="30" t="s">
        <v>23</v>
      </c>
      <c r="O10" s="12">
        <v>0</v>
      </c>
      <c r="P10" s="6" t="str">
        <f t="shared" si="4"/>
        <v>RO_Data[6].SETPOINT[</v>
      </c>
      <c r="Q10" s="26">
        <f t="shared" si="16"/>
        <v>5</v>
      </c>
      <c r="R10" s="30" t="s">
        <v>23</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23</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v>6307904</v>
      </c>
      <c r="CK10" s="6" t="str">
        <f t="shared" si="7"/>
        <v>RO_Data[6].COND2[</v>
      </c>
      <c r="CL10" s="26">
        <f t="shared" si="18"/>
        <v>5</v>
      </c>
      <c r="CM10" s="30" t="s">
        <v>23</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23</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23</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23</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23</v>
      </c>
      <c r="IB10" s="10" t="s">
        <v>112</v>
      </c>
      <c r="IC10" s="6" t="str">
        <f t="shared" si="12"/>
        <v>RO_Data[6].STEP_DESC[</v>
      </c>
      <c r="ID10" s="26">
        <f t="shared" si="23"/>
        <v>5</v>
      </c>
      <c r="IE10" s="30" t="s">
        <v>23</v>
      </c>
    </row>
    <row r="11" spans="1:239" x14ac:dyDescent="0.25">
      <c r="A11" s="8">
        <v>6</v>
      </c>
      <c r="B11" s="8" t="str">
        <f t="shared" si="0"/>
        <v>PUMPING DOWN FEED TANK</v>
      </c>
      <c r="C11" s="82"/>
      <c r="D11" s="6" t="str">
        <f t="shared" si="1"/>
        <v>RO_Data[6].ACK_DESC[</v>
      </c>
      <c r="E11" s="26">
        <f t="shared" si="13"/>
        <v>6</v>
      </c>
      <c r="F11" s="30" t="s">
        <v>23</v>
      </c>
      <c r="G11" s="11">
        <v>0</v>
      </c>
      <c r="H11" s="6" t="str">
        <f t="shared" si="2"/>
        <v>RO_Data[6].MIN[</v>
      </c>
      <c r="I11" s="26">
        <f t="shared" si="14"/>
        <v>6</v>
      </c>
      <c r="J11" s="30" t="s">
        <v>23</v>
      </c>
      <c r="K11" s="11">
        <v>1</v>
      </c>
      <c r="L11" s="6" t="str">
        <f t="shared" si="3"/>
        <v>RO_Data[6].SEC[</v>
      </c>
      <c r="M11" s="26">
        <f t="shared" si="15"/>
        <v>6</v>
      </c>
      <c r="N11" s="30" t="s">
        <v>23</v>
      </c>
      <c r="O11" s="12">
        <v>0</v>
      </c>
      <c r="P11" s="6" t="str">
        <f t="shared" si="4"/>
        <v>RO_Data[6].SETPOINT[</v>
      </c>
      <c r="Q11" s="26">
        <f t="shared" si="16"/>
        <v>6</v>
      </c>
      <c r="R11" s="30" t="s">
        <v>23</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23</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v>4194304</v>
      </c>
      <c r="CK11" s="6" t="str">
        <f t="shared" si="7"/>
        <v>RO_Data[6].COND2[</v>
      </c>
      <c r="CL11" s="26">
        <f t="shared" si="18"/>
        <v>6</v>
      </c>
      <c r="CM11" s="30" t="s">
        <v>23</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23</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23</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23</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23</v>
      </c>
      <c r="IB11" s="10" t="s">
        <v>231</v>
      </c>
      <c r="IC11" s="6" t="str">
        <f t="shared" si="12"/>
        <v>RO_Data[6].STEP_DESC[</v>
      </c>
      <c r="ID11" s="26">
        <f t="shared" si="23"/>
        <v>6</v>
      </c>
      <c r="IE11" s="30" t="s">
        <v>23</v>
      </c>
    </row>
    <row r="12" spans="1:239" x14ac:dyDescent="0.25">
      <c r="A12" s="8">
        <v>7</v>
      </c>
      <c r="B12" s="8" t="str">
        <f t="shared" si="0"/>
        <v>DRAINING BALANCE TANKS</v>
      </c>
      <c r="C12" s="82"/>
      <c r="D12" s="6" t="str">
        <f t="shared" si="1"/>
        <v>RO_Data[6].ACK_DESC[</v>
      </c>
      <c r="E12" s="26">
        <f t="shared" si="13"/>
        <v>7</v>
      </c>
      <c r="F12" s="30" t="s">
        <v>23</v>
      </c>
      <c r="G12" s="11">
        <v>0</v>
      </c>
      <c r="H12" s="6" t="str">
        <f t="shared" si="2"/>
        <v>RO_Data[6].MIN[</v>
      </c>
      <c r="I12" s="26">
        <f t="shared" si="14"/>
        <v>7</v>
      </c>
      <c r="J12" s="30" t="s">
        <v>23</v>
      </c>
      <c r="K12" s="11">
        <v>1</v>
      </c>
      <c r="L12" s="6" t="str">
        <f t="shared" si="3"/>
        <v>RO_Data[6].SEC[</v>
      </c>
      <c r="M12" s="26">
        <f t="shared" si="15"/>
        <v>7</v>
      </c>
      <c r="N12" s="30" t="s">
        <v>23</v>
      </c>
      <c r="O12" s="12">
        <v>0</v>
      </c>
      <c r="P12" s="6" t="str">
        <f t="shared" si="4"/>
        <v>RO_Data[6].SETPOINT[</v>
      </c>
      <c r="Q12" s="26">
        <f t="shared" si="16"/>
        <v>7</v>
      </c>
      <c r="R12" s="30" t="s">
        <v>23</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23</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v>33587200</v>
      </c>
      <c r="CK12" s="6" t="str">
        <f t="shared" si="7"/>
        <v>RO_Data[6].COND2[</v>
      </c>
      <c r="CL12" s="26">
        <f t="shared" si="18"/>
        <v>7</v>
      </c>
      <c r="CM12" s="30" t="s">
        <v>23</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23</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23</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23</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23</v>
      </c>
      <c r="IB12" s="10" t="s">
        <v>248</v>
      </c>
      <c r="IC12" s="6" t="str">
        <f t="shared" si="12"/>
        <v>RO_Data[6].STEP_DESC[</v>
      </c>
      <c r="ID12" s="26">
        <f t="shared" si="23"/>
        <v>7</v>
      </c>
      <c r="IE12" s="30" t="s">
        <v>23</v>
      </c>
    </row>
    <row r="13" spans="1:239" s="75" customFormat="1" x14ac:dyDescent="0.25">
      <c r="A13" s="64">
        <v>8</v>
      </c>
      <c r="B13" s="64" t="str">
        <f t="shared" si="0"/>
        <v>FILLING FEED TANK TO SET POINT LEVEL</v>
      </c>
      <c r="C13" s="83"/>
      <c r="D13" s="66" t="str">
        <f t="shared" si="1"/>
        <v>RO_Data[6].ACK_DESC[</v>
      </c>
      <c r="E13" s="67">
        <f t="shared" si="13"/>
        <v>8</v>
      </c>
      <c r="F13" s="68" t="s">
        <v>23</v>
      </c>
      <c r="G13" s="69">
        <v>0</v>
      </c>
      <c r="H13" s="66" t="str">
        <f t="shared" si="2"/>
        <v>RO_Data[6].MIN[</v>
      </c>
      <c r="I13" s="67">
        <f t="shared" si="14"/>
        <v>8</v>
      </c>
      <c r="J13" s="68" t="s">
        <v>23</v>
      </c>
      <c r="K13" s="11">
        <v>1</v>
      </c>
      <c r="L13" s="66" t="str">
        <f t="shared" si="3"/>
        <v>RO_Data[6].SEC[</v>
      </c>
      <c r="M13" s="67">
        <f t="shared" si="15"/>
        <v>8</v>
      </c>
      <c r="N13" s="68" t="s">
        <v>23</v>
      </c>
      <c r="O13" s="70">
        <v>0</v>
      </c>
      <c r="P13" s="66" t="str">
        <f t="shared" si="4"/>
        <v>RO_Data[6].SETPOINT[</v>
      </c>
      <c r="Q13" s="67">
        <f t="shared" si="16"/>
        <v>8</v>
      </c>
      <c r="R13" s="68" t="s">
        <v>23</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23</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v>0</v>
      </c>
      <c r="CK13" s="66" t="str">
        <f t="shared" si="7"/>
        <v>RO_Data[6].COND2[</v>
      </c>
      <c r="CL13" s="67">
        <f t="shared" si="18"/>
        <v>8</v>
      </c>
      <c r="CM13" s="68" t="s">
        <v>23</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23</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23</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23</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23</v>
      </c>
      <c r="IB13" s="65" t="s">
        <v>225</v>
      </c>
      <c r="IC13" s="66" t="str">
        <f t="shared" si="12"/>
        <v>RO_Data[6].STEP_DESC[</v>
      </c>
      <c r="ID13" s="67">
        <f t="shared" si="23"/>
        <v>8</v>
      </c>
      <c r="IE13" s="68" t="s">
        <v>23</v>
      </c>
    </row>
    <row r="14" spans="1:239" s="75" customFormat="1" x14ac:dyDescent="0.25">
      <c r="A14" s="64">
        <v>9</v>
      </c>
      <c r="B14" s="64" t="str">
        <f t="shared" si="0"/>
        <v>STARTING PUMPS</v>
      </c>
      <c r="C14" s="83"/>
      <c r="D14" s="66" t="str">
        <f t="shared" si="1"/>
        <v>RO_Data[6].ACK_DESC[</v>
      </c>
      <c r="E14" s="67">
        <f t="shared" si="13"/>
        <v>9</v>
      </c>
      <c r="F14" s="68" t="s">
        <v>23</v>
      </c>
      <c r="G14" s="69">
        <v>0</v>
      </c>
      <c r="H14" s="66" t="str">
        <f t="shared" si="2"/>
        <v>RO_Data[6].MIN[</v>
      </c>
      <c r="I14" s="67">
        <f t="shared" si="14"/>
        <v>9</v>
      </c>
      <c r="J14" s="68" t="s">
        <v>23</v>
      </c>
      <c r="K14" s="11">
        <v>30</v>
      </c>
      <c r="L14" s="66" t="str">
        <f t="shared" si="3"/>
        <v>RO_Data[6].SEC[</v>
      </c>
      <c r="M14" s="67">
        <f t="shared" si="15"/>
        <v>9</v>
      </c>
      <c r="N14" s="68" t="s">
        <v>23</v>
      </c>
      <c r="O14" s="70">
        <v>0</v>
      </c>
      <c r="P14" s="66" t="str">
        <f t="shared" si="4"/>
        <v>RO_Data[6].SETPOINT[</v>
      </c>
      <c r="Q14" s="67">
        <f t="shared" si="16"/>
        <v>9</v>
      </c>
      <c r="R14" s="68" t="s">
        <v>23</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23</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v>4259840</v>
      </c>
      <c r="CK14" s="66" t="str">
        <f t="shared" si="7"/>
        <v>RO_Data[6].COND2[</v>
      </c>
      <c r="CL14" s="67">
        <f t="shared" si="18"/>
        <v>9</v>
      </c>
      <c r="CM14" s="68" t="s">
        <v>23</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23</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23</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23</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23</v>
      </c>
      <c r="IB14" s="65" t="s">
        <v>226</v>
      </c>
      <c r="IC14" s="66" t="str">
        <f t="shared" si="12"/>
        <v>RO_Data[6].STEP_DESC[</v>
      </c>
      <c r="ID14" s="67">
        <f t="shared" si="23"/>
        <v>9</v>
      </c>
      <c r="IE14" s="68" t="s">
        <v>23</v>
      </c>
    </row>
    <row r="15" spans="1:239" s="75" customFormat="1" x14ac:dyDescent="0.25">
      <c r="A15" s="64">
        <v>10</v>
      </c>
      <c r="B15" s="64" t="str">
        <f t="shared" si="0"/>
        <v>RINSING STAGES</v>
      </c>
      <c r="C15" s="83"/>
      <c r="D15" s="66" t="str">
        <f t="shared" si="1"/>
        <v>RO_Data[6].ACK_DESC[</v>
      </c>
      <c r="E15" s="67">
        <f t="shared" si="13"/>
        <v>10</v>
      </c>
      <c r="F15" s="68" t="s">
        <v>23</v>
      </c>
      <c r="G15" s="69">
        <v>0</v>
      </c>
      <c r="H15" s="66" t="str">
        <f t="shared" si="2"/>
        <v>RO_Data[6].MIN[</v>
      </c>
      <c r="I15" s="67">
        <f t="shared" si="14"/>
        <v>10</v>
      </c>
      <c r="J15" s="68" t="s">
        <v>23</v>
      </c>
      <c r="K15" s="11">
        <v>1</v>
      </c>
      <c r="L15" s="66" t="str">
        <f t="shared" si="3"/>
        <v>RO_Data[6].SEC[</v>
      </c>
      <c r="M15" s="67">
        <f t="shared" si="15"/>
        <v>10</v>
      </c>
      <c r="N15" s="68" t="s">
        <v>23</v>
      </c>
      <c r="O15" s="70">
        <v>0</v>
      </c>
      <c r="P15" s="66" t="str">
        <f t="shared" si="4"/>
        <v>RO_Data[6].SETPOINT[</v>
      </c>
      <c r="Q15" s="67">
        <f t="shared" si="16"/>
        <v>10</v>
      </c>
      <c r="R15" s="68" t="s">
        <v>23</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23</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v>4259840</v>
      </c>
      <c r="CK15" s="66" t="str">
        <f t="shared" si="7"/>
        <v>RO_Data[6].COND2[</v>
      </c>
      <c r="CL15" s="67">
        <f t="shared" si="18"/>
        <v>10</v>
      </c>
      <c r="CM15" s="68" t="s">
        <v>23</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23</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23</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23</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23</v>
      </c>
      <c r="IB15" s="65" t="s">
        <v>227</v>
      </c>
      <c r="IC15" s="66" t="str">
        <f t="shared" si="12"/>
        <v>RO_Data[6].STEP_DESC[</v>
      </c>
      <c r="ID15" s="67">
        <f t="shared" si="23"/>
        <v>10</v>
      </c>
      <c r="IE15" s="68" t="s">
        <v>23</v>
      </c>
    </row>
    <row r="16" spans="1:239" x14ac:dyDescent="0.25">
      <c r="A16" s="8">
        <v>11</v>
      </c>
      <c r="B16" s="8" t="str">
        <f t="shared" si="0"/>
        <v>PUMPING DOWN FEED TANK</v>
      </c>
      <c r="C16" s="82"/>
      <c r="D16" s="6" t="str">
        <f t="shared" si="1"/>
        <v>RO_Data[6].ACK_DESC[</v>
      </c>
      <c r="E16" s="26">
        <f t="shared" si="13"/>
        <v>11</v>
      </c>
      <c r="F16" s="30" t="s">
        <v>23</v>
      </c>
      <c r="G16" s="11">
        <v>0</v>
      </c>
      <c r="H16" s="6" t="str">
        <f t="shared" si="2"/>
        <v>RO_Data[6].MIN[</v>
      </c>
      <c r="I16" s="26">
        <f t="shared" si="14"/>
        <v>11</v>
      </c>
      <c r="J16" s="30" t="s">
        <v>23</v>
      </c>
      <c r="K16" s="11">
        <v>1</v>
      </c>
      <c r="L16" s="6" t="str">
        <f t="shared" si="3"/>
        <v>RO_Data[6].SEC[</v>
      </c>
      <c r="M16" s="26">
        <f t="shared" si="15"/>
        <v>11</v>
      </c>
      <c r="N16" s="30" t="s">
        <v>23</v>
      </c>
      <c r="O16" s="12">
        <v>0</v>
      </c>
      <c r="P16" s="6" t="str">
        <f t="shared" si="4"/>
        <v>RO_Data[6].SETPOINT[</v>
      </c>
      <c r="Q16" s="26">
        <f t="shared" si="16"/>
        <v>11</v>
      </c>
      <c r="R16" s="30" t="s">
        <v>23</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23</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v>4194304</v>
      </c>
      <c r="CK16" s="6" t="str">
        <f t="shared" si="7"/>
        <v>RO_Data[6].COND2[</v>
      </c>
      <c r="CL16" s="26">
        <f t="shared" si="18"/>
        <v>11</v>
      </c>
      <c r="CM16" s="30" t="s">
        <v>23</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23</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23</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23</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23</v>
      </c>
      <c r="IB16" s="10" t="s">
        <v>231</v>
      </c>
      <c r="IC16" s="6" t="str">
        <f t="shared" si="12"/>
        <v>RO_Data[6].STEP_DESC[</v>
      </c>
      <c r="ID16" s="26">
        <f t="shared" si="23"/>
        <v>11</v>
      </c>
      <c r="IE16" s="30" t="s">
        <v>23</v>
      </c>
    </row>
    <row r="17" spans="1:239" x14ac:dyDescent="0.25">
      <c r="A17" s="8">
        <v>12</v>
      </c>
      <c r="B17" s="8" t="str">
        <f t="shared" si="0"/>
        <v>DRAINING FEED TANK</v>
      </c>
      <c r="C17" s="82"/>
      <c r="D17" s="6" t="str">
        <f t="shared" si="1"/>
        <v>RO_Data[6].ACK_DESC[</v>
      </c>
      <c r="E17" s="26">
        <f t="shared" si="13"/>
        <v>12</v>
      </c>
      <c r="F17" s="30" t="s">
        <v>23</v>
      </c>
      <c r="G17" s="11">
        <v>0</v>
      </c>
      <c r="H17" s="6" t="str">
        <f t="shared" si="2"/>
        <v>RO_Data[6].MIN[</v>
      </c>
      <c r="I17" s="26">
        <f t="shared" si="14"/>
        <v>12</v>
      </c>
      <c r="J17" s="30" t="s">
        <v>23</v>
      </c>
      <c r="K17" s="11">
        <v>1</v>
      </c>
      <c r="L17" s="6" t="str">
        <f t="shared" si="3"/>
        <v>RO_Data[6].SEC[</v>
      </c>
      <c r="M17" s="26">
        <f t="shared" si="15"/>
        <v>12</v>
      </c>
      <c r="N17" s="30" t="s">
        <v>23</v>
      </c>
      <c r="O17" s="12">
        <v>0</v>
      </c>
      <c r="P17" s="6" t="str">
        <f t="shared" si="4"/>
        <v>RO_Data[6].SETPOINT[</v>
      </c>
      <c r="Q17" s="26">
        <f t="shared" si="16"/>
        <v>12</v>
      </c>
      <c r="R17" s="30" t="s">
        <v>23</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23</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v>33587200</v>
      </c>
      <c r="CK17" s="6" t="str">
        <f t="shared" si="7"/>
        <v>RO_Data[6].COND2[</v>
      </c>
      <c r="CL17" s="26">
        <f t="shared" si="18"/>
        <v>12</v>
      </c>
      <c r="CM17" s="30" t="s">
        <v>23</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23</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23</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23</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23</v>
      </c>
      <c r="IB17" s="10" t="s">
        <v>232</v>
      </c>
      <c r="IC17" s="6" t="str">
        <f t="shared" si="12"/>
        <v>RO_Data[6].STEP_DESC[</v>
      </c>
      <c r="ID17" s="26">
        <f t="shared" si="23"/>
        <v>12</v>
      </c>
      <c r="IE17" s="30" t="s">
        <v>23</v>
      </c>
    </row>
    <row r="18" spans="1:239" x14ac:dyDescent="0.25">
      <c r="A18" s="8">
        <v>13</v>
      </c>
      <c r="B18" s="8" t="str">
        <f t="shared" si="0"/>
        <v>CYCLE COMPLETE</v>
      </c>
      <c r="C18" s="82"/>
      <c r="D18" s="6" t="str">
        <f t="shared" si="1"/>
        <v>RO_Data[6].ACK_DESC[</v>
      </c>
      <c r="E18" s="26">
        <f t="shared" si="13"/>
        <v>13</v>
      </c>
      <c r="F18" s="30" t="s">
        <v>23</v>
      </c>
      <c r="G18" s="11">
        <v>0</v>
      </c>
      <c r="H18" s="6" t="str">
        <f t="shared" si="2"/>
        <v>RO_Data[6].MIN[</v>
      </c>
      <c r="I18" s="26">
        <f t="shared" si="14"/>
        <v>13</v>
      </c>
      <c r="J18" s="30" t="s">
        <v>23</v>
      </c>
      <c r="K18" s="11">
        <v>0</v>
      </c>
      <c r="L18" s="6" t="str">
        <f t="shared" si="3"/>
        <v>RO_Data[6].SEC[</v>
      </c>
      <c r="M18" s="26">
        <f t="shared" si="15"/>
        <v>13</v>
      </c>
      <c r="N18" s="30" t="s">
        <v>23</v>
      </c>
      <c r="O18" s="12">
        <v>0</v>
      </c>
      <c r="P18" s="6" t="str">
        <f t="shared" si="4"/>
        <v>RO_Data[6].SETPOINT[</v>
      </c>
      <c r="Q18" s="26">
        <f t="shared" si="16"/>
        <v>13</v>
      </c>
      <c r="R18" s="30" t="s">
        <v>23</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23</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v>0</v>
      </c>
      <c r="CK18" s="6" t="str">
        <f t="shared" si="7"/>
        <v>RO_Data[6].COND2[</v>
      </c>
      <c r="CL18" s="26">
        <f t="shared" si="18"/>
        <v>13</v>
      </c>
      <c r="CM18" s="30" t="s">
        <v>23</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23</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23</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23</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23</v>
      </c>
      <c r="IB18" s="10" t="s">
        <v>224</v>
      </c>
      <c r="IC18" s="6" t="str">
        <f t="shared" si="12"/>
        <v>RO_Data[6].STEP_DESC[</v>
      </c>
      <c r="ID18" s="26">
        <f t="shared" si="23"/>
        <v>13</v>
      </c>
      <c r="IE18" s="30" t="s">
        <v>23</v>
      </c>
    </row>
    <row r="19" spans="1:239" x14ac:dyDescent="0.25">
      <c r="A19" s="8">
        <v>14</v>
      </c>
      <c r="B19" s="8" t="str">
        <f t="shared" si="0"/>
        <v/>
      </c>
      <c r="C19" s="82"/>
      <c r="D19" s="6" t="str">
        <f t="shared" si="1"/>
        <v>RO_Data[6].ACK_DESC[</v>
      </c>
      <c r="E19" s="26">
        <f t="shared" si="13"/>
        <v>14</v>
      </c>
      <c r="F19" s="30" t="s">
        <v>23</v>
      </c>
      <c r="G19" s="11">
        <v>0</v>
      </c>
      <c r="H19" s="6" t="str">
        <f t="shared" si="2"/>
        <v>RO_Data[6].MIN[</v>
      </c>
      <c r="I19" s="26">
        <f t="shared" si="14"/>
        <v>14</v>
      </c>
      <c r="J19" s="30" t="s">
        <v>23</v>
      </c>
      <c r="K19" s="11">
        <v>0</v>
      </c>
      <c r="L19" s="6" t="str">
        <f t="shared" si="3"/>
        <v>RO_Data[6].SEC[</v>
      </c>
      <c r="M19" s="26">
        <f t="shared" si="15"/>
        <v>14</v>
      </c>
      <c r="N19" s="30" t="s">
        <v>23</v>
      </c>
      <c r="O19" s="12">
        <v>0</v>
      </c>
      <c r="P19" s="6" t="str">
        <f t="shared" si="4"/>
        <v>RO_Data[6].SETPOINT[</v>
      </c>
      <c r="Q19" s="26">
        <f t="shared" si="16"/>
        <v>14</v>
      </c>
      <c r="R19" s="30" t="s">
        <v>23</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23</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v>0</v>
      </c>
      <c r="CK19" s="6" t="str">
        <f t="shared" si="7"/>
        <v>RO_Data[6].COND2[</v>
      </c>
      <c r="CL19" s="26">
        <f t="shared" si="18"/>
        <v>14</v>
      </c>
      <c r="CM19" s="30" t="s">
        <v>23</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23</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23</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23</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23</v>
      </c>
      <c r="IB19" s="10"/>
      <c r="IC19" s="6" t="str">
        <f t="shared" si="12"/>
        <v>RO_Data[6].STEP_DESC[</v>
      </c>
      <c r="ID19" s="26">
        <f t="shared" si="23"/>
        <v>14</v>
      </c>
      <c r="IE19" s="30" t="s">
        <v>23</v>
      </c>
    </row>
    <row r="20" spans="1:239" x14ac:dyDescent="0.25">
      <c r="A20" s="8">
        <v>15</v>
      </c>
      <c r="B20" s="8" t="str">
        <f t="shared" si="0"/>
        <v/>
      </c>
      <c r="C20" s="82"/>
      <c r="D20" s="6" t="str">
        <f t="shared" si="1"/>
        <v>RO_Data[6].ACK_DESC[</v>
      </c>
      <c r="E20" s="26">
        <f t="shared" si="13"/>
        <v>15</v>
      </c>
      <c r="F20" s="30" t="s">
        <v>23</v>
      </c>
      <c r="G20" s="11">
        <v>0</v>
      </c>
      <c r="H20" s="6" t="str">
        <f t="shared" si="2"/>
        <v>RO_Data[6].MIN[</v>
      </c>
      <c r="I20" s="26">
        <f t="shared" si="14"/>
        <v>15</v>
      </c>
      <c r="J20" s="30" t="s">
        <v>23</v>
      </c>
      <c r="K20" s="11">
        <v>0</v>
      </c>
      <c r="L20" s="6" t="str">
        <f t="shared" si="3"/>
        <v>RO_Data[6].SEC[</v>
      </c>
      <c r="M20" s="26">
        <f t="shared" si="15"/>
        <v>15</v>
      </c>
      <c r="N20" s="30" t="s">
        <v>23</v>
      </c>
      <c r="O20" s="12">
        <v>0</v>
      </c>
      <c r="P20" s="6" t="str">
        <f t="shared" si="4"/>
        <v>RO_Data[6].SETPOINT[</v>
      </c>
      <c r="Q20" s="26">
        <f t="shared" si="16"/>
        <v>15</v>
      </c>
      <c r="R20" s="30" t="s">
        <v>23</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23</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v>0</v>
      </c>
      <c r="CK20" s="6" t="str">
        <f t="shared" si="7"/>
        <v>RO_Data[6].COND2[</v>
      </c>
      <c r="CL20" s="26">
        <f t="shared" si="18"/>
        <v>15</v>
      </c>
      <c r="CM20" s="30" t="s">
        <v>23</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23</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23</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23</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23</v>
      </c>
      <c r="IB20" s="10"/>
      <c r="IC20" s="6" t="str">
        <f t="shared" si="12"/>
        <v>RO_Data[6].STEP_DESC[</v>
      </c>
      <c r="ID20" s="26">
        <f t="shared" si="23"/>
        <v>15</v>
      </c>
      <c r="IE20" s="30" t="s">
        <v>23</v>
      </c>
    </row>
    <row r="21" spans="1:239" x14ac:dyDescent="0.25">
      <c r="A21" s="8">
        <v>16</v>
      </c>
      <c r="B21" s="8" t="str">
        <f t="shared" si="0"/>
        <v/>
      </c>
      <c r="C21" s="82"/>
      <c r="D21" s="6" t="str">
        <f t="shared" si="1"/>
        <v>RO_Data[6].ACK_DESC[</v>
      </c>
      <c r="E21" s="26">
        <f t="shared" si="13"/>
        <v>16</v>
      </c>
      <c r="F21" s="30" t="s">
        <v>23</v>
      </c>
      <c r="G21" s="11">
        <v>0</v>
      </c>
      <c r="H21" s="6" t="str">
        <f t="shared" si="2"/>
        <v>RO_Data[6].MIN[</v>
      </c>
      <c r="I21" s="26">
        <f t="shared" si="14"/>
        <v>16</v>
      </c>
      <c r="J21" s="30" t="s">
        <v>23</v>
      </c>
      <c r="K21" s="11">
        <v>0</v>
      </c>
      <c r="L21" s="6" t="str">
        <f t="shared" si="3"/>
        <v>RO_Data[6].SEC[</v>
      </c>
      <c r="M21" s="26">
        <f t="shared" si="15"/>
        <v>16</v>
      </c>
      <c r="N21" s="30" t="s">
        <v>23</v>
      </c>
      <c r="O21" s="12">
        <v>0</v>
      </c>
      <c r="P21" s="6" t="str">
        <f t="shared" si="4"/>
        <v>RO_Data[6].SETPOINT[</v>
      </c>
      <c r="Q21" s="26">
        <f t="shared" si="16"/>
        <v>16</v>
      </c>
      <c r="R21" s="30" t="s">
        <v>23</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23</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v>0</v>
      </c>
      <c r="CK21" s="6" t="str">
        <f t="shared" si="7"/>
        <v>RO_Data[6].COND2[</v>
      </c>
      <c r="CL21" s="26">
        <f t="shared" si="18"/>
        <v>16</v>
      </c>
      <c r="CM21" s="30" t="s">
        <v>23</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23</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23</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23</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23</v>
      </c>
      <c r="IB21" s="10"/>
      <c r="IC21" s="6" t="str">
        <f t="shared" si="12"/>
        <v>RO_Data[6].STEP_DESC[</v>
      </c>
      <c r="ID21" s="26">
        <f t="shared" si="23"/>
        <v>16</v>
      </c>
      <c r="IE21" s="30" t="s">
        <v>23</v>
      </c>
    </row>
    <row r="22" spans="1:239" x14ac:dyDescent="0.25">
      <c r="A22" s="8">
        <v>17</v>
      </c>
      <c r="B22" s="8" t="str">
        <f t="shared" si="0"/>
        <v/>
      </c>
      <c r="C22" s="82"/>
      <c r="D22" s="6" t="str">
        <f t="shared" si="1"/>
        <v>RO_Data[6].ACK_DESC[</v>
      </c>
      <c r="E22" s="26">
        <f t="shared" si="13"/>
        <v>17</v>
      </c>
      <c r="F22" s="30" t="s">
        <v>23</v>
      </c>
      <c r="G22" s="11">
        <v>0</v>
      </c>
      <c r="H22" s="6" t="str">
        <f t="shared" si="2"/>
        <v>RO_Data[6].MIN[</v>
      </c>
      <c r="I22" s="26">
        <f t="shared" si="14"/>
        <v>17</v>
      </c>
      <c r="J22" s="30" t="s">
        <v>23</v>
      </c>
      <c r="K22" s="11">
        <v>0</v>
      </c>
      <c r="L22" s="6" t="str">
        <f t="shared" si="3"/>
        <v>RO_Data[6].SEC[</v>
      </c>
      <c r="M22" s="26">
        <f t="shared" si="15"/>
        <v>17</v>
      </c>
      <c r="N22" s="30" t="s">
        <v>23</v>
      </c>
      <c r="O22" s="12">
        <v>0</v>
      </c>
      <c r="P22" s="6" t="str">
        <f t="shared" si="4"/>
        <v>RO_Data[6].SETPOINT[</v>
      </c>
      <c r="Q22" s="26">
        <f t="shared" si="16"/>
        <v>17</v>
      </c>
      <c r="R22" s="30" t="s">
        <v>23</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23</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v>0</v>
      </c>
      <c r="CK22" s="6" t="str">
        <f t="shared" si="7"/>
        <v>RO_Data[6].COND2[</v>
      </c>
      <c r="CL22" s="26">
        <f t="shared" si="18"/>
        <v>17</v>
      </c>
      <c r="CM22" s="30" t="s">
        <v>23</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23</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23</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23</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23</v>
      </c>
      <c r="IB22" s="10"/>
      <c r="IC22" s="6" t="str">
        <f t="shared" si="12"/>
        <v>RO_Data[6].STEP_DESC[</v>
      </c>
      <c r="ID22" s="26">
        <f t="shared" si="23"/>
        <v>17</v>
      </c>
      <c r="IE22" s="30" t="s">
        <v>23</v>
      </c>
    </row>
    <row r="23" spans="1:239" x14ac:dyDescent="0.25">
      <c r="A23" s="8">
        <v>18</v>
      </c>
      <c r="B23" s="8" t="str">
        <f t="shared" si="0"/>
        <v/>
      </c>
      <c r="C23" s="82"/>
      <c r="D23" s="6" t="str">
        <f t="shared" si="1"/>
        <v>RO_Data[6].ACK_DESC[</v>
      </c>
      <c r="E23" s="26">
        <f t="shared" si="13"/>
        <v>18</v>
      </c>
      <c r="F23" s="30" t="s">
        <v>23</v>
      </c>
      <c r="G23" s="11">
        <v>0</v>
      </c>
      <c r="H23" s="6" t="str">
        <f t="shared" si="2"/>
        <v>RO_Data[6].MIN[</v>
      </c>
      <c r="I23" s="26">
        <f t="shared" si="14"/>
        <v>18</v>
      </c>
      <c r="J23" s="30" t="s">
        <v>23</v>
      </c>
      <c r="K23" s="11">
        <v>0</v>
      </c>
      <c r="L23" s="6" t="str">
        <f t="shared" si="3"/>
        <v>RO_Data[6].SEC[</v>
      </c>
      <c r="M23" s="26">
        <f t="shared" si="15"/>
        <v>18</v>
      </c>
      <c r="N23" s="30" t="s">
        <v>23</v>
      </c>
      <c r="O23" s="12">
        <v>0</v>
      </c>
      <c r="P23" s="6" t="str">
        <f t="shared" si="4"/>
        <v>RO_Data[6].SETPOINT[</v>
      </c>
      <c r="Q23" s="26">
        <f t="shared" si="16"/>
        <v>18</v>
      </c>
      <c r="R23" s="30" t="s">
        <v>23</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23</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v>0</v>
      </c>
      <c r="CK23" s="6" t="str">
        <f t="shared" si="7"/>
        <v>RO_Data[6].COND2[</v>
      </c>
      <c r="CL23" s="26">
        <f t="shared" si="18"/>
        <v>18</v>
      </c>
      <c r="CM23" s="30" t="s">
        <v>23</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23</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23</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23</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23</v>
      </c>
      <c r="IB23" s="10"/>
      <c r="IC23" s="6" t="str">
        <f t="shared" si="12"/>
        <v>RO_Data[6].STEP_DESC[</v>
      </c>
      <c r="ID23" s="26">
        <f t="shared" si="23"/>
        <v>18</v>
      </c>
      <c r="IE23" s="30" t="s">
        <v>23</v>
      </c>
    </row>
    <row r="24" spans="1:239" ht="15.75" thickBot="1" x14ac:dyDescent="0.3">
      <c r="A24" s="56">
        <v>19</v>
      </c>
      <c r="B24" s="56" t="str">
        <f t="shared" si="0"/>
        <v/>
      </c>
      <c r="C24" s="92"/>
      <c r="D24" s="54" t="str">
        <f t="shared" si="1"/>
        <v>RO_Data[6].ACK_DESC[</v>
      </c>
      <c r="E24" s="55">
        <f t="shared" si="13"/>
        <v>19</v>
      </c>
      <c r="F24" s="58" t="s">
        <v>23</v>
      </c>
      <c r="G24" s="93">
        <v>0</v>
      </c>
      <c r="H24" s="54" t="str">
        <f t="shared" si="2"/>
        <v>RO_Data[6].MIN[</v>
      </c>
      <c r="I24" s="55">
        <f t="shared" si="14"/>
        <v>19</v>
      </c>
      <c r="J24" s="58" t="s">
        <v>23</v>
      </c>
      <c r="K24" s="93">
        <v>0</v>
      </c>
      <c r="L24" s="54" t="str">
        <f t="shared" si="3"/>
        <v>RO_Data[6].SEC[</v>
      </c>
      <c r="M24" s="55">
        <f t="shared" si="15"/>
        <v>19</v>
      </c>
      <c r="N24" s="58" t="s">
        <v>23</v>
      </c>
      <c r="O24" s="91">
        <v>0</v>
      </c>
      <c r="P24" s="54" t="str">
        <f t="shared" si="4"/>
        <v>RO_Data[6].SETPOINT[</v>
      </c>
      <c r="Q24" s="55">
        <f t="shared" si="16"/>
        <v>19</v>
      </c>
      <c r="R24" s="58" t="s">
        <v>23</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23</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v>0</v>
      </c>
      <c r="CK24" s="54" t="str">
        <f t="shared" si="7"/>
        <v>RO_Data[6].COND2[</v>
      </c>
      <c r="CL24" s="55">
        <f t="shared" si="18"/>
        <v>19</v>
      </c>
      <c r="CM24" s="58" t="s">
        <v>23</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23</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23</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23</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23</v>
      </c>
      <c r="IB24" s="57"/>
      <c r="IC24" s="54" t="str">
        <f t="shared" si="12"/>
        <v>RO_Data[6].STEP_DESC[</v>
      </c>
      <c r="ID24" s="55">
        <f t="shared" si="23"/>
        <v>19</v>
      </c>
      <c r="IE24" s="58" t="s">
        <v>23</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Program'!$B$31:$B$36</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249</v>
      </c>
    </row>
    <row r="3" spans="2:2" ht="15" x14ac:dyDescent="0.2">
      <c r="B3" s="100"/>
    </row>
    <row r="4" spans="2:2" ht="14.25" x14ac:dyDescent="0.2">
      <c r="B4" s="102" t="s">
        <v>250</v>
      </c>
    </row>
    <row r="5" spans="2:2" ht="15" x14ac:dyDescent="0.2">
      <c r="B5" s="103" t="s">
        <v>251</v>
      </c>
    </row>
    <row r="6" spans="2:2" ht="15" x14ac:dyDescent="0.2">
      <c r="B6" s="103" t="s">
        <v>252</v>
      </c>
    </row>
    <row r="7" spans="2:2" ht="15" x14ac:dyDescent="0.2">
      <c r="B7" s="103" t="s">
        <v>253</v>
      </c>
    </row>
    <row r="8" spans="2:2" ht="15" x14ac:dyDescent="0.2">
      <c r="B8" s="103" t="s">
        <v>254</v>
      </c>
    </row>
    <row r="9" spans="2:2" ht="15" x14ac:dyDescent="0.2">
      <c r="B9" s="103" t="s">
        <v>255</v>
      </c>
    </row>
    <row r="10" spans="2:2" ht="15" x14ac:dyDescent="0.2">
      <c r="B10" s="103" t="s">
        <v>256</v>
      </c>
    </row>
    <row r="11" spans="2:2" ht="15" x14ac:dyDescent="0.2">
      <c r="B11" s="103" t="s">
        <v>257</v>
      </c>
    </row>
    <row r="12" spans="2:2" ht="15" x14ac:dyDescent="0.2">
      <c r="B12" s="103" t="s">
        <v>258</v>
      </c>
    </row>
    <row r="13" spans="2:2" ht="15" x14ac:dyDescent="0.2">
      <c r="B13" s="103" t="s">
        <v>259</v>
      </c>
    </row>
    <row r="14" spans="2:2" ht="15" x14ac:dyDescent="0.2">
      <c r="B14" s="103" t="s">
        <v>260</v>
      </c>
    </row>
    <row r="15" spans="2:2" ht="15" x14ac:dyDescent="0.2">
      <c r="B15" s="103" t="s">
        <v>261</v>
      </c>
    </row>
    <row r="16" spans="2:2" ht="15" x14ac:dyDescent="0.2">
      <c r="B16" s="103" t="s">
        <v>262</v>
      </c>
    </row>
    <row r="17" spans="2:3" ht="15" x14ac:dyDescent="0.2">
      <c r="B17" s="103" t="s">
        <v>263</v>
      </c>
    </row>
    <row r="18" spans="2:3" ht="15" x14ac:dyDescent="0.2">
      <c r="B18" s="103" t="s">
        <v>264</v>
      </c>
    </row>
    <row r="19" spans="2:3" ht="15" x14ac:dyDescent="0.2">
      <c r="B19" s="103" t="s">
        <v>265</v>
      </c>
      <c r="C19" s="103"/>
    </row>
    <row r="20" spans="2:3" ht="15" x14ac:dyDescent="0.2">
      <c r="B20" s="103" t="s">
        <v>266</v>
      </c>
    </row>
    <row r="21" spans="2:3" ht="15" x14ac:dyDescent="0.2">
      <c r="B21" s="103" t="s">
        <v>267</v>
      </c>
    </row>
    <row r="22" spans="2:3" ht="15" x14ac:dyDescent="0.2">
      <c r="B22" s="103" t="s">
        <v>268</v>
      </c>
    </row>
    <row r="23" spans="2:3" ht="15" x14ac:dyDescent="0.2">
      <c r="B23" s="103" t="s">
        <v>269</v>
      </c>
      <c r="C23" s="104"/>
    </row>
    <row r="24" spans="2:3" ht="15" x14ac:dyDescent="0.2">
      <c r="B24" s="103" t="s">
        <v>270</v>
      </c>
    </row>
    <row r="25" spans="2:3" ht="15" x14ac:dyDescent="0.2">
      <c r="B25" s="103" t="s">
        <v>271</v>
      </c>
    </row>
    <row r="26" spans="2:3" ht="15" x14ac:dyDescent="0.2">
      <c r="B26" s="103" t="s">
        <v>272</v>
      </c>
    </row>
    <row r="27" spans="2:3" ht="15" x14ac:dyDescent="0.2">
      <c r="B27" s="103" t="s">
        <v>273</v>
      </c>
    </row>
    <row r="28" spans="2:3" ht="15" x14ac:dyDescent="0.2">
      <c r="B28" s="103" t="s">
        <v>274</v>
      </c>
    </row>
    <row r="29" spans="2:3" ht="15" x14ac:dyDescent="0.2">
      <c r="B29" s="103" t="s">
        <v>275</v>
      </c>
    </row>
    <row r="30" spans="2:3" ht="15" x14ac:dyDescent="0.2">
      <c r="B30" s="103" t="s">
        <v>276</v>
      </c>
    </row>
    <row r="31" spans="2:3" ht="15" x14ac:dyDescent="0.2">
      <c r="B31" s="103" t="s">
        <v>277</v>
      </c>
    </row>
    <row r="32" spans="2:3" ht="15" x14ac:dyDescent="0.2">
      <c r="B32" s="103" t="s">
        <v>278</v>
      </c>
    </row>
    <row r="33" spans="2:3" ht="15" x14ac:dyDescent="0.2">
      <c r="B33" s="103" t="s">
        <v>279</v>
      </c>
    </row>
    <row r="34" spans="2:3" ht="15" x14ac:dyDescent="0.2">
      <c r="B34" s="103" t="s">
        <v>280</v>
      </c>
    </row>
    <row r="35" spans="2:3" ht="15" x14ac:dyDescent="0.2">
      <c r="B35" s="103" t="s">
        <v>281</v>
      </c>
    </row>
    <row r="36" spans="2:3" ht="15" x14ac:dyDescent="0.2">
      <c r="B36" s="105"/>
    </row>
    <row r="37" spans="2:3" ht="14.25" x14ac:dyDescent="0.2">
      <c r="B37" s="102" t="s">
        <v>282</v>
      </c>
    </row>
    <row r="38" spans="2:3" ht="15" x14ac:dyDescent="0.2">
      <c r="B38" s="103" t="s">
        <v>283</v>
      </c>
      <c r="C38" s="103"/>
    </row>
    <row r="39" spans="2:3" ht="15" x14ac:dyDescent="0.2">
      <c r="B39" s="103" t="s">
        <v>284</v>
      </c>
    </row>
    <row r="40" spans="2:3" ht="15" x14ac:dyDescent="0.2">
      <c r="B40" s="103" t="s">
        <v>285</v>
      </c>
    </row>
    <row r="41" spans="2:3" ht="15" x14ac:dyDescent="0.2">
      <c r="B41" s="103" t="s">
        <v>286</v>
      </c>
      <c r="C41" s="103"/>
    </row>
    <row r="42" spans="2:3" ht="15" x14ac:dyDescent="0.2">
      <c r="B42" s="103" t="s">
        <v>287</v>
      </c>
    </row>
    <row r="43" spans="2:3" ht="15" x14ac:dyDescent="0.2">
      <c r="B43" s="103" t="s">
        <v>288</v>
      </c>
    </row>
    <row r="44" spans="2:3" ht="15" x14ac:dyDescent="0.2">
      <c r="B44" s="103" t="s">
        <v>289</v>
      </c>
    </row>
    <row r="45" spans="2:3" ht="15" x14ac:dyDescent="0.2">
      <c r="B45" s="103" t="s">
        <v>290</v>
      </c>
    </row>
    <row r="46" spans="2:3" ht="15" x14ac:dyDescent="0.2">
      <c r="B46" s="103" t="s">
        <v>291</v>
      </c>
    </row>
    <row r="47" spans="2:3" ht="15" x14ac:dyDescent="0.2">
      <c r="B47" s="103" t="s">
        <v>292</v>
      </c>
    </row>
    <row r="48" spans="2:3" ht="15" x14ac:dyDescent="0.2">
      <c r="B48" s="103" t="s">
        <v>293</v>
      </c>
    </row>
    <row r="49" spans="2:3" ht="17.25" x14ac:dyDescent="0.2">
      <c r="B49" s="103" t="s">
        <v>294</v>
      </c>
    </row>
    <row r="50" spans="2:3" ht="17.25" x14ac:dyDescent="0.2">
      <c r="B50" s="103" t="s">
        <v>295</v>
      </c>
    </row>
    <row r="51" spans="2:3" ht="17.25" x14ac:dyDescent="0.2">
      <c r="B51" s="103" t="s">
        <v>296</v>
      </c>
    </row>
    <row r="52" spans="2:3" ht="15" x14ac:dyDescent="0.2">
      <c r="B52" s="103" t="s">
        <v>297</v>
      </c>
    </row>
    <row r="53" spans="2:3" ht="15" x14ac:dyDescent="0.2">
      <c r="B53" s="103" t="s">
        <v>298</v>
      </c>
      <c r="C53" s="104"/>
    </row>
    <row r="54" spans="2:3" ht="15" x14ac:dyDescent="0.2">
      <c r="B54" s="103" t="s">
        <v>299</v>
      </c>
    </row>
    <row r="55" spans="2:3" ht="15" x14ac:dyDescent="0.2">
      <c r="B55" s="103" t="s">
        <v>300</v>
      </c>
    </row>
    <row r="56" spans="2:3" ht="15" x14ac:dyDescent="0.2">
      <c r="B56" s="103" t="s">
        <v>301</v>
      </c>
    </row>
    <row r="57" spans="2:3" ht="17.25" x14ac:dyDescent="0.2">
      <c r="B57" s="103" t="s">
        <v>302</v>
      </c>
    </row>
    <row r="58" spans="2:3" ht="17.25" x14ac:dyDescent="0.2">
      <c r="B58" s="103" t="s">
        <v>303</v>
      </c>
    </row>
    <row r="59" spans="2:3" ht="17.25" x14ac:dyDescent="0.2">
      <c r="B59" s="103" t="s">
        <v>304</v>
      </c>
    </row>
    <row r="60" spans="2:3" ht="17.25" x14ac:dyDescent="0.2">
      <c r="B60" s="103" t="s">
        <v>305</v>
      </c>
    </row>
    <row r="61" spans="2:3" ht="15" x14ac:dyDescent="0.2">
      <c r="B61" s="103" t="s">
        <v>306</v>
      </c>
      <c r="C61" s="104"/>
    </row>
    <row r="62" spans="2:3" ht="15" x14ac:dyDescent="0.2">
      <c r="B62" s="103" t="s">
        <v>307</v>
      </c>
      <c r="C62" s="104"/>
    </row>
    <row r="63" spans="2:3" ht="15" x14ac:dyDescent="0.2">
      <c r="B63" s="103" t="s">
        <v>308</v>
      </c>
    </row>
    <row r="64" spans="2:3" ht="15" x14ac:dyDescent="0.2">
      <c r="B64" s="103" t="s">
        <v>309</v>
      </c>
    </row>
    <row r="65" spans="2:2" ht="15" x14ac:dyDescent="0.2">
      <c r="B65" s="103" t="s">
        <v>310</v>
      </c>
    </row>
    <row r="66" spans="2:2" ht="15" x14ac:dyDescent="0.2">
      <c r="B66" s="103" t="s">
        <v>311</v>
      </c>
    </row>
    <row r="67" spans="2:2" ht="15" x14ac:dyDescent="0.2">
      <c r="B67" s="103" t="s">
        <v>312</v>
      </c>
    </row>
    <row r="68" spans="2:2" ht="15" x14ac:dyDescent="0.2">
      <c r="B68" s="103" t="s">
        <v>313</v>
      </c>
    </row>
    <row r="69" spans="2:2" ht="15" x14ac:dyDescent="0.2">
      <c r="B69" s="103"/>
    </row>
    <row r="70" spans="2:2" ht="14.25" x14ac:dyDescent="0.2">
      <c r="B70" s="102" t="s">
        <v>314</v>
      </c>
    </row>
    <row r="71" spans="2:2" ht="15" x14ac:dyDescent="0.2">
      <c r="B71" s="103" t="s">
        <v>315</v>
      </c>
    </row>
    <row r="72" spans="2:2" ht="15" x14ac:dyDescent="0.2">
      <c r="B72" s="103" t="s">
        <v>316</v>
      </c>
    </row>
    <row r="73" spans="2:2" ht="15" x14ac:dyDescent="0.2">
      <c r="B73" s="103" t="s">
        <v>317</v>
      </c>
    </row>
    <row r="74" spans="2:2" ht="15" x14ac:dyDescent="0.2">
      <c r="B74" s="103" t="s">
        <v>318</v>
      </c>
    </row>
    <row r="75" spans="2:2" ht="15" x14ac:dyDescent="0.2">
      <c r="B75" s="103" t="s">
        <v>319</v>
      </c>
    </row>
    <row r="76" spans="2:2" ht="15" x14ac:dyDescent="0.2">
      <c r="B76" s="103" t="s">
        <v>320</v>
      </c>
    </row>
    <row r="77" spans="2:2" ht="15" x14ac:dyDescent="0.2">
      <c r="B77" s="103" t="s">
        <v>321</v>
      </c>
    </row>
    <row r="78" spans="2:2" ht="15" x14ac:dyDescent="0.2">
      <c r="B78" s="103" t="s">
        <v>322</v>
      </c>
    </row>
    <row r="79" spans="2:2" ht="15" x14ac:dyDescent="0.2">
      <c r="B79" s="103" t="s">
        <v>323</v>
      </c>
    </row>
    <row r="80" spans="2:2" ht="15" x14ac:dyDescent="0.2">
      <c r="B80" s="103" t="s">
        <v>324</v>
      </c>
    </row>
    <row r="81" spans="2:3" ht="15" x14ac:dyDescent="0.2">
      <c r="B81" s="103" t="s">
        <v>325</v>
      </c>
    </row>
    <row r="82" spans="2:3" ht="15" x14ac:dyDescent="0.2">
      <c r="B82" s="103" t="s">
        <v>326</v>
      </c>
    </row>
    <row r="83" spans="2:3" ht="15" x14ac:dyDescent="0.2">
      <c r="B83" s="103" t="s">
        <v>327</v>
      </c>
    </row>
    <row r="84" spans="2:3" ht="15" x14ac:dyDescent="0.2">
      <c r="B84" s="103" t="s">
        <v>328</v>
      </c>
    </row>
    <row r="85" spans="2:3" ht="15" x14ac:dyDescent="0.2">
      <c r="B85" s="103" t="s">
        <v>329</v>
      </c>
    </row>
    <row r="86" spans="2:3" ht="15" x14ac:dyDescent="0.2">
      <c r="B86" s="103" t="s">
        <v>330</v>
      </c>
    </row>
    <row r="87" spans="2:3" ht="15" x14ac:dyDescent="0.2">
      <c r="B87" s="103" t="s">
        <v>331</v>
      </c>
    </row>
    <row r="88" spans="2:3" ht="15" x14ac:dyDescent="0.2">
      <c r="B88" s="103" t="s">
        <v>332</v>
      </c>
    </row>
    <row r="89" spans="2:3" ht="15" x14ac:dyDescent="0.2">
      <c r="B89" s="103" t="s">
        <v>333</v>
      </c>
    </row>
    <row r="90" spans="2:3" ht="15" x14ac:dyDescent="0.2">
      <c r="B90" s="103" t="s">
        <v>334</v>
      </c>
    </row>
    <row r="91" spans="2:3" ht="15" x14ac:dyDescent="0.2">
      <c r="B91" s="103" t="s">
        <v>335</v>
      </c>
    </row>
    <row r="92" spans="2:3" ht="15" x14ac:dyDescent="0.2">
      <c r="B92" s="103" t="s">
        <v>336</v>
      </c>
    </row>
    <row r="93" spans="2:3" ht="15" x14ac:dyDescent="0.2">
      <c r="B93" s="103" t="s">
        <v>337</v>
      </c>
    </row>
    <row r="94" spans="2:3" ht="15" x14ac:dyDescent="0.2">
      <c r="B94" s="103" t="s">
        <v>338</v>
      </c>
    </row>
    <row r="95" spans="2:3" ht="15" x14ac:dyDescent="0.2">
      <c r="B95" s="103" t="s">
        <v>339</v>
      </c>
      <c r="C95" s="104"/>
    </row>
    <row r="96" spans="2:3" ht="15" x14ac:dyDescent="0.2">
      <c r="B96" s="103" t="s">
        <v>340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2020-10-12T20:47:58Z</dcterms:modified>
</cp:coreProperties>
</file>
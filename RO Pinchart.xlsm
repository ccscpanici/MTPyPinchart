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9102F342-7E8D-43F4-9234-89ACA8C1F7F2}" xr6:coauthVersionLast="45" xr6:coauthVersionMax="45" xr10:uidLastSave="{00000000-0000-0000-0000-000000000000}"/>
  <bookViews>
    <workbookView xWindow="1950" yWindow="1950" windowWidth="21495" windowHeight="9660" xr2:uid="{00000000-000D-0000-FFFF-FFFF00000000}"/>
  </bookViews>
  <sheets>
    <sheet name="Main Program" sheetId="1" r:id="rId1"/>
    <sheet name="PINCHART-PROC" sheetId="17" r:id="rId2"/>
    <sheet name="PINCHART-CIP" sheetId="18" r:id="rId3"/>
    <sheet name="PINCHART-CIP-Short Wash" sheetId="19" r:id="rId4"/>
    <sheet name="PINCHART-CIP-Soak" sheetId="20" r:id="rId5"/>
    <sheet name="PINCHART-CIP-Rinse" sheetId="21" r:id="rId6"/>
    <sheet name="PINCHART-CIP-Sanitize" sheetId="22" r:id="rId7"/>
    <sheet name="CONDITION BIT OVERVIEW" sheetId="23"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Y9" i="22"/>
  <c r="GO9" i="22"/>
  <c r="FE9" i="22"/>
  <c r="DU9" i="22"/>
  <c r="CK9" i="22"/>
  <c r="BA9" i="22"/>
  <c r="S9" i="22"/>
  <c r="P9" i="22"/>
  <c r="L9" i="22"/>
  <c r="H9" i="22"/>
  <c r="D9" i="22"/>
  <c r="B9" i="22"/>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Y7" i="22"/>
  <c r="GO7" i="22"/>
  <c r="FE7" i="22"/>
  <c r="DU7" i="22"/>
  <c r="CK7" i="22"/>
  <c r="BA7" i="22"/>
  <c r="S7" i="22"/>
  <c r="P7" i="22"/>
  <c r="L7" i="22"/>
  <c r="I7" i="22"/>
  <c r="I8" i="22" s="1"/>
  <c r="I9" i="22" s="1"/>
  <c r="I10" i="22" s="1"/>
  <c r="I11" i="22" s="1"/>
  <c r="I12" i="22" s="1"/>
  <c r="I13" i="22" s="1"/>
  <c r="I14" i="22" s="1"/>
  <c r="I15" i="22" s="1"/>
  <c r="I16" i="22" s="1"/>
  <c r="I17" i="22" s="1"/>
  <c r="I18" i="22" s="1"/>
  <c r="I19" i="22" s="1"/>
  <c r="I20" i="22" s="1"/>
  <c r="I21" i="22" s="1"/>
  <c r="I22" i="22" s="1"/>
  <c r="I23" i="22" s="1"/>
  <c r="I24" i="22" s="1"/>
  <c r="H7" i="22"/>
  <c r="D7" i="22"/>
  <c r="B7" i="22"/>
  <c r="ID6" i="22"/>
  <c r="ID7" i="22" s="1"/>
  <c r="ID8" i="22" s="1"/>
  <c r="ID9" i="22" s="1"/>
  <c r="ID10" i="22" s="1"/>
  <c r="ID11" i="22" s="1"/>
  <c r="ID12" i="22" s="1"/>
  <c r="ID13" i="22" s="1"/>
  <c r="ID14" i="22" s="1"/>
  <c r="ID15" i="22" s="1"/>
  <c r="ID16" i="22" s="1"/>
  <c r="ID17" i="22" s="1"/>
  <c r="ID18" i="22" s="1"/>
  <c r="ID19" i="22" s="1"/>
  <c r="ID20" i="22" s="1"/>
  <c r="ID21" i="22" s="1"/>
  <c r="ID22" i="22" s="1"/>
  <c r="ID23" i="22" s="1"/>
  <c r="ID24" i="22" s="1"/>
  <c r="IC6" i="22"/>
  <c r="HZ6" i="22"/>
  <c r="HZ7" i="22" s="1"/>
  <c r="HZ8" i="22" s="1"/>
  <c r="HZ9" i="22" s="1"/>
  <c r="HZ10" i="22" s="1"/>
  <c r="HZ11" i="22" s="1"/>
  <c r="HZ12" i="22" s="1"/>
  <c r="HZ13" i="22" s="1"/>
  <c r="HZ14" i="22" s="1"/>
  <c r="HZ15" i="22" s="1"/>
  <c r="HZ16" i="22" s="1"/>
  <c r="HZ17" i="22" s="1"/>
  <c r="HZ18" i="22" s="1"/>
  <c r="HZ19" i="22" s="1"/>
  <c r="HZ20" i="22" s="1"/>
  <c r="HZ21" i="22" s="1"/>
  <c r="HZ22" i="22" s="1"/>
  <c r="HZ23" i="22" s="1"/>
  <c r="HZ24" i="22" s="1"/>
  <c r="HY6" i="22"/>
  <c r="GP6" i="22"/>
  <c r="GP7" i="22" s="1"/>
  <c r="GP8" i="22" s="1"/>
  <c r="GP9" i="22" s="1"/>
  <c r="GP10" i="22" s="1"/>
  <c r="GP11" i="22" s="1"/>
  <c r="GP12" i="22" s="1"/>
  <c r="GP13" i="22" s="1"/>
  <c r="GP14" i="22" s="1"/>
  <c r="GP15" i="22" s="1"/>
  <c r="GP16" i="22" s="1"/>
  <c r="GP17" i="22" s="1"/>
  <c r="GP18" i="22" s="1"/>
  <c r="GP19" i="22" s="1"/>
  <c r="GP20" i="22" s="1"/>
  <c r="GP21" i="22" s="1"/>
  <c r="GP22" i="22" s="1"/>
  <c r="GP23" i="22" s="1"/>
  <c r="GP24" i="22" s="1"/>
  <c r="GO6" i="22"/>
  <c r="FF6" i="22"/>
  <c r="FF7" i="22" s="1"/>
  <c r="FF8" i="22" s="1"/>
  <c r="FF9" i="22" s="1"/>
  <c r="FF10" i="22" s="1"/>
  <c r="FF11" i="22" s="1"/>
  <c r="FF12" i="22" s="1"/>
  <c r="FF13" i="22" s="1"/>
  <c r="FF14" i="22" s="1"/>
  <c r="FF15" i="22" s="1"/>
  <c r="FF16" i="22" s="1"/>
  <c r="FF17" i="22" s="1"/>
  <c r="FF18" i="22" s="1"/>
  <c r="FF19" i="22" s="1"/>
  <c r="FF20" i="22" s="1"/>
  <c r="FF21" i="22" s="1"/>
  <c r="FF22" i="22" s="1"/>
  <c r="FF23" i="22" s="1"/>
  <c r="FF24" i="22" s="1"/>
  <c r="FE6" i="22"/>
  <c r="DV6" i="22"/>
  <c r="DV7" i="22" s="1"/>
  <c r="DV8" i="22" s="1"/>
  <c r="DV9" i="22" s="1"/>
  <c r="DV10" i="22" s="1"/>
  <c r="DV11" i="22" s="1"/>
  <c r="DV12" i="22" s="1"/>
  <c r="DV13" i="22" s="1"/>
  <c r="DV14" i="22" s="1"/>
  <c r="DV15" i="22" s="1"/>
  <c r="DV16" i="22" s="1"/>
  <c r="DV17" i="22" s="1"/>
  <c r="DV18" i="22" s="1"/>
  <c r="DV19" i="22" s="1"/>
  <c r="DV20" i="22" s="1"/>
  <c r="DV21" i="22" s="1"/>
  <c r="DV22" i="22" s="1"/>
  <c r="DV23" i="22" s="1"/>
  <c r="DV24" i="22" s="1"/>
  <c r="DU6" i="22"/>
  <c r="CL6" i="22"/>
  <c r="CL7" i="22" s="1"/>
  <c r="CL8" i="22" s="1"/>
  <c r="CL9" i="22" s="1"/>
  <c r="CL10" i="22" s="1"/>
  <c r="CL11" i="22" s="1"/>
  <c r="CL12" i="22" s="1"/>
  <c r="CL13" i="22" s="1"/>
  <c r="CL14" i="22" s="1"/>
  <c r="CL15" i="22" s="1"/>
  <c r="CL16" i="22" s="1"/>
  <c r="CL17" i="22" s="1"/>
  <c r="CL18" i="22" s="1"/>
  <c r="CL19" i="22" s="1"/>
  <c r="CL20" i="22" s="1"/>
  <c r="CL21" i="22" s="1"/>
  <c r="CL22" i="22" s="1"/>
  <c r="CL23" i="22" s="1"/>
  <c r="CL24" i="22" s="1"/>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Q7" i="22" s="1"/>
  <c r="Q8" i="22" s="1"/>
  <c r="Q9" i="22" s="1"/>
  <c r="Q10" i="22" s="1"/>
  <c r="Q11" i="22" s="1"/>
  <c r="Q12" i="22" s="1"/>
  <c r="Q13" i="22" s="1"/>
  <c r="Q14" i="22" s="1"/>
  <c r="Q15" i="22" s="1"/>
  <c r="Q16" i="22" s="1"/>
  <c r="Q17" i="22" s="1"/>
  <c r="Q18" i="22" s="1"/>
  <c r="Q19" i="22" s="1"/>
  <c r="Q20" i="22" s="1"/>
  <c r="Q21" i="22" s="1"/>
  <c r="Q22" i="22" s="1"/>
  <c r="Q23" i="22" s="1"/>
  <c r="Q24" i="22" s="1"/>
  <c r="P6" i="22"/>
  <c r="M6" i="22"/>
  <c r="M7" i="22" s="1"/>
  <c r="L6" i="22"/>
  <c r="I6" i="22"/>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M21" i="21"/>
  <c r="M22" i="21" s="1"/>
  <c r="M23" i="21" s="1"/>
  <c r="M24" i="21" s="1"/>
  <c r="L21" i="21"/>
  <c r="H21" i="21"/>
  <c r="D21" i="21"/>
  <c r="B21" i="21"/>
  <c r="IC20" i="21"/>
  <c r="HY20" i="21"/>
  <c r="GO20" i="21"/>
  <c r="FE20" i="21"/>
  <c r="DU20" i="21"/>
  <c r="CK20" i="21"/>
  <c r="BA20" i="21"/>
  <c r="S20" i="21"/>
  <c r="P20" i="21"/>
  <c r="L20" i="21"/>
  <c r="H20" i="21"/>
  <c r="D20" i="21"/>
  <c r="B20" i="21"/>
  <c r="IC19" i="21"/>
  <c r="HY19" i="2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D9" i="21" s="1"/>
  <c r="ID10" i="21" s="1"/>
  <c r="ID11" i="21" s="1"/>
  <c r="ID12" i="21" s="1"/>
  <c r="ID13" i="21" s="1"/>
  <c r="ID14" i="21" s="1"/>
  <c r="ID15" i="21" s="1"/>
  <c r="ID16" i="21" s="1"/>
  <c r="ID17" i="21" s="1"/>
  <c r="ID18" i="21" s="1"/>
  <c r="ID19" i="21" s="1"/>
  <c r="ID20" i="21" s="1"/>
  <c r="ID21" i="21" s="1"/>
  <c r="ID22" i="21" s="1"/>
  <c r="ID23" i="21" s="1"/>
  <c r="ID24"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P19" i="21" s="1"/>
  <c r="GP20" i="21" s="1"/>
  <c r="GP21" i="21" s="1"/>
  <c r="GP22" i="21" s="1"/>
  <c r="GP23" i="21" s="1"/>
  <c r="GP24"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L6" i="21"/>
  <c r="I6" i="21"/>
  <c r="I7" i="21" s="1"/>
  <c r="I8" i="21" s="1"/>
  <c r="I9" i="21" s="1"/>
  <c r="I10" i="21" s="1"/>
  <c r="I11" i="21" s="1"/>
  <c r="I12" i="21" s="1"/>
  <c r="I13" i="21" s="1"/>
  <c r="I14" i="21" s="1"/>
  <c r="I15" i="21" s="1"/>
  <c r="I16" i="21" s="1"/>
  <c r="I17" i="21" s="1"/>
  <c r="I18" i="21" s="1"/>
  <c r="I19" i="21" s="1"/>
  <c r="I20" i="21" s="1"/>
  <c r="I21" i="21" s="1"/>
  <c r="I22" i="21" s="1"/>
  <c r="I23" i="21" s="1"/>
  <c r="I24"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L19" i="20"/>
  <c r="H19" i="20"/>
  <c r="D19" i="20"/>
  <c r="B19" i="20"/>
  <c r="IC18" i="20"/>
  <c r="HY18" i="20"/>
  <c r="GO18" i="20"/>
  <c r="FE18" i="20"/>
  <c r="DU18" i="20"/>
  <c r="CK18" i="20"/>
  <c r="BA18" i="20"/>
  <c r="S18" i="20"/>
  <c r="P18" i="20"/>
  <c r="L18" i="20"/>
  <c r="H18" i="20"/>
  <c r="D18" i="20"/>
  <c r="B18" i="20"/>
  <c r="IC17" i="20"/>
  <c r="HY17" i="20"/>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Z8" i="20"/>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8" i="20"/>
  <c r="GO8" i="20"/>
  <c r="FF8" i="20"/>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8" i="20"/>
  <c r="DU8" i="20"/>
  <c r="CL8" i="20"/>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8" i="20"/>
  <c r="BA8" i="20"/>
  <c r="S8" i="20"/>
  <c r="P8" i="20"/>
  <c r="L8" i="20"/>
  <c r="H8" i="20"/>
  <c r="D8" i="20"/>
  <c r="B8" i="20"/>
  <c r="IC7" i="20"/>
  <c r="HY7" i="20"/>
  <c r="GP7" i="20"/>
  <c r="GP8" i="20" s="1"/>
  <c r="GP9" i="20" s="1"/>
  <c r="GP10" i="20" s="1"/>
  <c r="GP11" i="20" s="1"/>
  <c r="GP12" i="20" s="1"/>
  <c r="GP13" i="20" s="1"/>
  <c r="GP14" i="20" s="1"/>
  <c r="GP15" i="20" s="1"/>
  <c r="GP16" i="20" s="1"/>
  <c r="GP17" i="20" s="1"/>
  <c r="GP18" i="20" s="1"/>
  <c r="GP19" i="20" s="1"/>
  <c r="GP20" i="20" s="1"/>
  <c r="GP21" i="20" s="1"/>
  <c r="GP22" i="20" s="1"/>
  <c r="GP23" i="20" s="1"/>
  <c r="GP24" i="20" s="1"/>
  <c r="GP25" i="20" s="1"/>
  <c r="GP26" i="20" s="1"/>
  <c r="GP27" i="20" s="1"/>
  <c r="GP28" i="20" s="1"/>
  <c r="GP29" i="20" s="1"/>
  <c r="GO7" i="20"/>
  <c r="FE7" i="20"/>
  <c r="DU7" i="20"/>
  <c r="CK7" i="20"/>
  <c r="BA7" i="20"/>
  <c r="S7" i="20"/>
  <c r="Q7" i="20"/>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Y6" i="20"/>
  <c r="GP6" i="20"/>
  <c r="GO6" i="20"/>
  <c r="FF6" i="20"/>
  <c r="FF7" i="20" s="1"/>
  <c r="FE6" i="20"/>
  <c r="DV6" i="20"/>
  <c r="DV7" i="20" s="1"/>
  <c r="DV8" i="20" s="1"/>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6" i="20"/>
  <c r="CL6" i="20"/>
  <c r="CL7" i="20" s="1"/>
  <c r="CK6" i="20"/>
  <c r="BB6" i="20"/>
  <c r="BB7" i="20" s="1"/>
  <c r="BB8" i="20" s="1"/>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6" i="20"/>
  <c r="S6" i="20"/>
  <c r="Q6" i="20"/>
  <c r="P6" i="20"/>
  <c r="M6" i="20"/>
  <c r="M7" i="20" s="1"/>
  <c r="M8" i="20" s="1"/>
  <c r="M9" i="20" s="1"/>
  <c r="M10" i="20" s="1"/>
  <c r="M11" i="20" s="1"/>
  <c r="M12" i="20" s="1"/>
  <c r="M13" i="20" s="1"/>
  <c r="M14" i="20" s="1"/>
  <c r="M15" i="20" s="1"/>
  <c r="M16" i="20" s="1"/>
  <c r="M17" i="20" s="1"/>
  <c r="M18" i="20" s="1"/>
  <c r="M19" i="20" s="1"/>
  <c r="M20" i="20" s="1"/>
  <c r="M21" i="20" s="1"/>
  <c r="M22" i="20" s="1"/>
  <c r="M23" i="20" s="1"/>
  <c r="M24" i="20" s="1"/>
  <c r="M25" i="20" s="1"/>
  <c r="M26" i="20" s="1"/>
  <c r="M27" i="20" s="1"/>
  <c r="M28" i="20" s="1"/>
  <c r="M29"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A29" i="19"/>
  <c r="S29" i="19"/>
  <c r="P29" i="19"/>
  <c r="L29" i="19"/>
  <c r="H29" i="19"/>
  <c r="D29" i="19"/>
  <c r="B29" i="19"/>
  <c r="IC28" i="19"/>
  <c r="HY28" i="19"/>
  <c r="GO28" i="19"/>
  <c r="FF28" i="19"/>
  <c r="FF29" i="19" s="1"/>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B29"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L9" i="18" s="1"/>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M7" i="17"/>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7" i="17"/>
  <c r="H7" i="17"/>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6" i="17"/>
  <c r="B6" i="17"/>
  <c r="S5" i="17"/>
  <c r="B5" i="17"/>
  <c r="FD67" i="18" a="1"/>
  <c r="HX23" i="17" a="1"/>
  <c r="DT87" i="18" a="1"/>
  <c r="GN60" i="18" a="1"/>
  <c r="HX9" i="18" a="1"/>
  <c r="HX11" i="19" a="1"/>
  <c r="CJ12" i="19" a="1"/>
  <c r="HX7" i="18" a="1"/>
  <c r="AZ71" i="18" a="1"/>
  <c r="FD41" i="18" a="1"/>
  <c r="HX78" i="18" a="1"/>
  <c r="GN18" i="20" a="1"/>
  <c r="DT15" i="18" a="1"/>
  <c r="DT19" i="18" a="1"/>
  <c r="FD15" i="21" a="1"/>
  <c r="GN99" i="18" a="1"/>
  <c r="FD91" i="18" a="1"/>
  <c r="HX70" i="18" a="1"/>
  <c r="FD18" i="22" a="1"/>
  <c r="FD7" i="18" a="1"/>
  <c r="HX65" i="18" a="1"/>
  <c r="HX25" i="19" a="1"/>
  <c r="CJ25" i="18" a="1"/>
  <c r="HX46" i="18" a="1"/>
  <c r="HX15" i="22" a="1"/>
  <c r="FD8" i="22" a="1"/>
  <c r="DT18" i="19" a="1"/>
  <c r="FD78" i="18" a="1"/>
  <c r="HX19" i="17" a="1"/>
  <c r="GN8" i="20" a="1"/>
  <c r="GN89" i="18" a="1"/>
  <c r="DT44" i="18" a="1"/>
  <c r="HX85" i="18" a="1"/>
  <c r="CJ47" i="18" a="1"/>
  <c r="CJ82" i="18" a="1"/>
  <c r="DT28" i="17" a="1"/>
  <c r="FD21" i="22" a="1"/>
  <c r="GN13" i="22" a="1"/>
  <c r="HX59" i="18" a="1"/>
  <c r="DT53" i="18" a="1"/>
  <c r="FD9" i="20" a="1"/>
  <c r="DT85" i="18" a="1"/>
  <c r="CJ25" i="20" a="1"/>
  <c r="HX14" i="19" a="1"/>
  <c r="DT92" i="18" a="1"/>
  <c r="GN74" i="18" a="1"/>
  <c r="HX37" i="18" a="1"/>
  <c r="FD79" i="18" a="1"/>
  <c r="AZ8" i="22" a="1"/>
  <c r="HX8" i="17" a="1"/>
  <c r="DT46" i="18" a="1"/>
  <c r="CJ15" i="21" a="1"/>
  <c r="GN14" i="20" a="1"/>
  <c r="AZ53" i="18" a="1"/>
  <c r="FD16" i="22" a="1"/>
  <c r="DT90" i="18" a="1"/>
  <c r="CJ9" i="20" a="1"/>
  <c r="DT36" i="18" a="1"/>
  <c r="GN21" i="18" a="1"/>
  <c r="DT22" i="20" a="1"/>
  <c r="DT28" i="18" a="1"/>
  <c r="AZ12" i="22" a="1"/>
  <c r="GN84" i="18" a="1"/>
  <c r="FD80" i="18" a="1"/>
  <c r="DT31" i="19" a="1"/>
  <c r="HX18" i="18" a="1"/>
  <c r="CJ29" i="20" a="1"/>
  <c r="HX15" i="17" a="1"/>
  <c r="GN16" i="19" a="1"/>
  <c r="GN35" i="18" a="1"/>
  <c r="AZ9" i="21" a="1"/>
  <c r="HX63" i="18" a="1"/>
  <c r="GN77" i="18" a="1"/>
  <c r="AZ24" i="20" a="1"/>
  <c r="AZ73" i="18" a="1"/>
  <c r="FD86" i="18" a="1"/>
  <c r="GN25" i="17" a="1"/>
  <c r="GN33" i="20" a="1"/>
  <c r="FD65" i="18" a="1"/>
  <c r="HX67" i="18" a="1"/>
  <c r="AZ29" i="19" a="1"/>
  <c r="AZ23" i="18" a="1"/>
  <c r="DT22" i="21" a="1"/>
  <c r="HX33" i="20" a="1"/>
  <c r="HX19" i="18" a="1"/>
  <c r="HX13" i="22" a="1"/>
  <c r="FD45" i="18" a="1"/>
  <c r="GN38" i="18" a="1"/>
  <c r="AZ13" i="21" a="1"/>
  <c r="AZ64" i="18" a="1"/>
  <c r="CJ8" i="19" a="1"/>
  <c r="FD84" i="18" a="1"/>
  <c r="DT15" i="20" a="1"/>
  <c r="GN19" i="18" a="1"/>
  <c r="HX24" i="17" a="1"/>
  <c r="CJ5" i="20" a="1"/>
  <c r="FD75" i="18" a="1"/>
  <c r="GN34" i="18" a="1"/>
  <c r="GN23" i="19" a="1"/>
  <c r="HX25" i="18" a="1"/>
  <c r="DT33" i="20" a="1"/>
  <c r="GN10" i="22" a="1"/>
  <c r="FD30" i="20" a="1"/>
  <c r="FD93" i="18" a="1"/>
  <c r="HX93" i="18" a="1"/>
  <c r="HX19" i="19" a="1"/>
  <c r="AZ47" i="18" a="1"/>
  <c r="GN81" i="18" a="1"/>
  <c r="AZ51" i="18" a="1"/>
  <c r="DT12" i="22" a="1"/>
  <c r="AZ45" i="18" a="1"/>
  <c r="AZ15" i="21" a="1"/>
  <c r="HX100" i="18" a="1"/>
  <c r="FD6" i="19" a="1"/>
  <c r="CJ88" i="18" a="1"/>
  <c r="GN18" i="19" a="1"/>
  <c r="DT21" i="21" a="1"/>
  <c r="FD44" i="18" a="1"/>
  <c r="DT27" i="20" a="1"/>
  <c r="GN11" i="17" a="1"/>
  <c r="GN23" i="22" a="1"/>
  <c r="AZ9" i="19" a="1"/>
  <c r="CJ32" i="18" a="1"/>
  <c r="AZ19" i="18" a="1"/>
  <c r="HX23" i="20" a="1"/>
  <c r="CJ24" i="17" a="1"/>
  <c r="AZ10" i="21" a="1"/>
  <c r="CJ69" i="18" a="1"/>
  <c r="FD22" i="22" a="1"/>
  <c r="HX30" i="20" a="1"/>
  <c r="GN22" i="20" a="1"/>
  <c r="HX5" i="22" a="1"/>
  <c r="FD64" i="18" a="1"/>
  <c r="CJ17" i="20" a="1"/>
  <c r="FD8" i="21" a="1"/>
  <c r="HX21" i="20" a="1"/>
  <c r="DT18" i="17" a="1"/>
  <c r="FD60" i="18" a="1"/>
  <c r="FD48" i="18" a="1"/>
  <c r="HX6" i="18" a="1"/>
  <c r="HX98" i="18" a="1"/>
  <c r="HX14" i="18" a="1"/>
  <c r="CJ70" i="18" a="1"/>
  <c r="GN17" i="21" a="1"/>
  <c r="CJ16" i="18" a="1"/>
  <c r="FD68" i="18" a="1"/>
  <c r="HX5" i="17" a="1"/>
  <c r="HX29" i="18" a="1"/>
  <c r="FD39" i="18" a="1"/>
  <c r="FD10" i="20" a="1"/>
  <c r="HX16" i="20" a="1"/>
  <c r="AZ68" i="18" a="1"/>
  <c r="DT77" i="18" a="1"/>
  <c r="HX11" i="22" a="1"/>
  <c r="DT20" i="18" a="1"/>
  <c r="HX12" i="22" a="1"/>
  <c r="FD104" i="18" a="1"/>
  <c r="HX32" i="18" a="1"/>
  <c r="GN75" i="18" a="1"/>
  <c r="CJ23" i="19" a="1"/>
  <c r="FD18" i="21" a="1"/>
  <c r="FD88" i="18" a="1"/>
  <c r="FD31" i="19" a="1"/>
  <c r="HX31" i="18" a="1"/>
  <c r="HX6" i="17" a="1"/>
  <c r="AZ15" i="22" a="1"/>
  <c r="HX11" i="17" a="1"/>
  <c r="GN10" i="17" a="1"/>
  <c r="FD102" i="18" a="1"/>
  <c r="GN90" i="18" a="1"/>
  <c r="AZ19" i="21" a="1"/>
  <c r="DT10" i="18" a="1"/>
  <c r="HX15" i="21" a="1"/>
  <c r="FD19" i="20" a="1"/>
  <c r="GN7" i="20" a="1"/>
  <c r="CJ22" i="21" a="1"/>
  <c r="DT29" i="17" a="1"/>
  <c r="GN16" i="21" a="1"/>
  <c r="GN13" i="18" a="1"/>
  <c r="CJ21" i="19" a="1"/>
  <c r="AZ90" i="18" a="1"/>
  <c r="AZ7" i="22" a="1"/>
  <c r="HX13" i="21" a="1"/>
  <c r="AZ13" i="20" a="1"/>
  <c r="HX7" i="19" a="1"/>
  <c r="DT70" i="18" a="1"/>
  <c r="GN98" i="18" a="1"/>
  <c r="HX34" i="20" a="1"/>
  <c r="HX20" i="22" a="1"/>
  <c r="FD77" i="18" a="1"/>
  <c r="DT38" i="18" a="1"/>
  <c r="AZ21" i="21" a="1"/>
  <c r="HX8" i="22" a="1"/>
  <c r="FD17" i="22" a="1"/>
  <c r="GN9" i="22" a="1"/>
  <c r="HX6" i="19" a="1"/>
  <c r="HX62" i="18" a="1"/>
  <c r="DT6" i="20" a="1"/>
  <c r="GN56" i="18" a="1"/>
  <c r="CJ95" i="18" a="1"/>
  <c r="GN28" i="18" a="1"/>
  <c r="DT48" i="18" a="1"/>
  <c r="FD7" i="20" a="1"/>
  <c r="AZ52" i="18" a="1"/>
  <c r="DT11" i="22" a="1"/>
  <c r="FD27" i="20" a="1"/>
  <c r="DT19" i="20" a="1"/>
  <c r="FD16" i="17" a="1"/>
  <c r="FD85" i="18" a="1"/>
  <c r="CJ59" i="18" a="1"/>
  <c r="HX27" i="17" a="1"/>
  <c r="DT8" i="18" a="1"/>
  <c r="GN11" i="18" a="1"/>
  <c r="HX61" i="18" a="1"/>
  <c r="DT24" i="21" a="1"/>
  <c r="AZ49" i="18" a="1"/>
  <c r="GN41" i="18" a="1"/>
  <c r="FD15" i="19" a="1"/>
  <c r="HX44" i="18" a="1"/>
  <c r="FD31" i="20" a="1"/>
  <c r="FD9" i="22" a="1"/>
  <c r="HX16" i="17" a="1"/>
  <c r="HX8" i="19" a="1"/>
  <c r="AZ35" i="20" a="1"/>
  <c r="HX21" i="18" a="1"/>
  <c r="CJ26" i="18" a="1"/>
  <c r="FD26" i="18" a="1"/>
  <c r="HX12" i="21" a="1"/>
  <c r="GN26" i="20" a="1"/>
  <c r="DT13" i="18" a="1"/>
  <c r="CJ61" i="18" a="1"/>
  <c r="DT26" i="18" a="1"/>
  <c r="AZ27" i="19" a="1"/>
  <c r="FD13" i="18" a="1"/>
  <c r="FD62" i="18" a="1"/>
  <c r="CJ40" i="18" a="1"/>
  <c r="DT73" i="18" a="1"/>
  <c r="HX17" i="22" a="1"/>
  <c r="DT5" i="19" a="1"/>
  <c r="GN30" i="18" a="1"/>
  <c r="AZ38" i="18" a="1"/>
  <c r="DT17" i="18" a="1"/>
  <c r="AZ19" i="20" a="1"/>
  <c r="AZ10" i="18" a="1"/>
  <c r="GN58" i="18" a="1"/>
  <c r="FD32" i="19" a="1"/>
  <c r="DT18" i="22" a="1"/>
  <c r="FD20" i="20" a="1"/>
  <c r="DT24" i="20" a="1"/>
  <c r="FD18" i="18" a="1"/>
  <c r="GN31" i="18" a="1"/>
  <c r="GN29" i="20" a="1"/>
  <c r="HX28" i="20" a="1"/>
  <c r="CJ23" i="18" a="1"/>
  <c r="DT50" i="18" a="1"/>
  <c r="HX23" i="21" a="1"/>
  <c r="GN6" i="20" a="1"/>
  <c r="FD15" i="22" a="1"/>
  <c r="HX30" i="19" a="1"/>
  <c r="CJ22" i="20" a="1"/>
  <c r="HX35" i="19" a="1"/>
  <c r="GN12" i="18" a="1"/>
  <c r="DT29" i="20" a="1"/>
  <c r="AZ14" i="18" a="1"/>
  <c r="DT14" i="22" a="1"/>
  <c r="FD32" i="20" a="1"/>
  <c r="AZ76" i="18" a="1"/>
  <c r="AZ61" i="18" a="1"/>
  <c r="FD5" i="20" a="1"/>
  <c r="GN21" i="20" a="1"/>
  <c r="FD13" i="22" a="1"/>
  <c r="CJ7" i="19" a="1"/>
  <c r="DT29" i="19" a="1"/>
  <c r="HX13" i="17" a="1"/>
  <c r="FD15" i="20" a="1"/>
  <c r="HX82" i="18" a="1"/>
  <c r="CJ45" i="18" a="1"/>
  <c r="GN9" i="18" a="1"/>
  <c r="DT45" i="18" a="1"/>
  <c r="CJ8" i="21" a="1"/>
  <c r="AZ26" i="18" a="1"/>
  <c r="GN19" i="20" a="1"/>
  <c r="FD15" i="18" a="1"/>
  <c r="FD59" i="18" a="1"/>
  <c r="GN25" i="19" a="1"/>
  <c r="FD98" i="18" a="1"/>
  <c r="HX77" i="18" a="1"/>
  <c r="AZ78" i="18" a="1"/>
  <c r="HX60" i="18" a="1"/>
  <c r="FD17" i="19" a="1"/>
  <c r="GN13" i="20" a="1"/>
  <c r="HX17" i="18" a="1"/>
  <c r="DT8" i="21" a="1"/>
  <c r="DT58" i="18" a="1"/>
  <c r="HX104" i="18" a="1"/>
  <c r="DT7" i="22" a="1"/>
  <c r="HX16" i="22" a="1"/>
  <c r="HX97" i="18" a="1"/>
  <c r="FD33" i="19" a="1"/>
  <c r="HX13" i="18" a="1"/>
  <c r="DT35" i="18" a="1"/>
  <c r="FD7" i="22" a="1"/>
  <c r="GN55" i="18" a="1"/>
  <c r="HX17" i="19" a="1"/>
  <c r="FD8" i="18" a="1"/>
  <c r="CJ10" i="19" a="1"/>
  <c r="DT17" i="21" a="1"/>
  <c r="GN100" i="18" a="1"/>
  <c r="DT13" i="17" a="1"/>
  <c r="CJ13" i="19" a="1"/>
  <c r="CJ24" i="21" a="1"/>
  <c r="DT17" i="22" a="1"/>
  <c r="GN12" i="19" a="1"/>
  <c r="CJ35" i="20" a="1"/>
  <c r="CJ19" i="20" a="1"/>
  <c r="FD92" i="18" a="1"/>
  <c r="CJ26" i="20" a="1"/>
  <c r="HX50" i="18" a="1"/>
  <c r="HX23" i="19" a="1"/>
  <c r="GN72" i="18" a="1"/>
  <c r="CJ12" i="20" a="1"/>
  <c r="FD5" i="18" a="1"/>
  <c r="GN39" i="18" a="1"/>
  <c r="DT22" i="22" a="1"/>
  <c r="CJ28" i="17" a="1"/>
  <c r="HX5" i="18" a="1"/>
  <c r="HX52" i="18" a="1"/>
  <c r="FD76" i="18" a="1"/>
  <c r="CJ72" i="18" a="1"/>
  <c r="FD90" i="18" a="1"/>
  <c r="FD25" i="19" a="1"/>
  <c r="CJ28" i="18" a="1"/>
  <c r="CJ29" i="19" a="1"/>
  <c r="GN18" i="18" a="1"/>
  <c r="DT51" i="18" a="1"/>
  <c r="AZ34" i="18" a="1"/>
  <c r="GN5" i="19" a="1"/>
  <c r="HX22" i="22" a="1"/>
  <c r="DT59" i="18" a="1"/>
  <c r="HX101" i="18" a="1"/>
  <c r="DT22" i="19" a="1"/>
  <c r="DT6" i="19" a="1"/>
  <c r="CJ25" i="17" a="1"/>
  <c r="CJ6" i="20" a="1"/>
  <c r="HX73" i="18" a="1"/>
  <c r="HX89" i="18" a="1"/>
  <c r="CJ7" i="21" a="1"/>
  <c r="GN8" i="22" a="1"/>
  <c r="GN7" i="17" a="1"/>
  <c r="DT96" i="18" a="1"/>
  <c r="DT71" i="18" a="1"/>
  <c r="DT37" i="18" a="1"/>
  <c r="GN7" i="21" a="1"/>
  <c r="GN21" i="21" a="1"/>
  <c r="AZ70" i="18" a="1"/>
  <c r="HX21" i="21" a="1"/>
  <c r="FD33" i="18" a="1"/>
  <c r="AZ31" i="19" a="1"/>
  <c r="DT64" i="18" a="1"/>
  <c r="HX42" i="18" a="1"/>
  <c r="AZ66" i="18" a="1"/>
  <c r="GN49" i="18" a="1"/>
  <c r="CJ20" i="18" a="1"/>
  <c r="GN11" i="19" a="1"/>
  <c r="FD18" i="17" a="1"/>
  <c r="DT18" i="20" a="1"/>
  <c r="FD56" i="18" a="1"/>
  <c r="CJ34" i="18" a="1"/>
  <c r="AZ13" i="18" a="1"/>
  <c r="HX23" i="18" a="1"/>
  <c r="AZ97" i="18" a="1"/>
  <c r="GN28" i="19" a="1"/>
  <c r="DT11" i="18" a="1"/>
  <c r="DT25" i="18" a="1"/>
  <c r="HX39" i="18" a="1"/>
  <c r="AZ42" i="18" a="1"/>
  <c r="FD14" i="18" a="1"/>
  <c r="FD16" i="20" a="1"/>
  <c r="DT9" i="21" a="1"/>
  <c r="DT13" i="21" a="1"/>
  <c r="CJ49" i="18" a="1"/>
  <c r="GN78" i="18" a="1"/>
  <c r="AZ79" i="18" a="1"/>
  <c r="HX58" i="18" a="1"/>
  <c r="FD14" i="20" a="1"/>
  <c r="GN30" i="20" a="1"/>
  <c r="GN45" i="18" a="1"/>
  <c r="DT33" i="18" a="1"/>
  <c r="FD25" i="18" a="1"/>
  <c r="FD29" i="17" a="1"/>
  <c r="HX7" i="20" a="1"/>
  <c r="HX26" i="19" a="1"/>
  <c r="CJ7" i="20" a="1"/>
  <c r="GN22" i="22" a="1"/>
  <c r="GN82" i="18" a="1"/>
  <c r="GN24" i="22" a="1"/>
  <c r="GN20" i="22" a="1"/>
  <c r="FD35" i="20" a="1"/>
  <c r="FD19" i="17" a="1"/>
  <c r="HX21" i="22" a="1"/>
  <c r="HX84" i="18" a="1"/>
  <c r="GN61" i="18" a="1"/>
  <c r="GN85" i="18" a="1"/>
  <c r="GN54" i="18" a="1"/>
  <c r="GN11" i="22" a="1"/>
  <c r="GN6" i="18" a="1"/>
  <c r="HX29" i="20" a="1"/>
  <c r="HX81" i="18" a="1"/>
  <c r="DT79" i="18" a="1"/>
  <c r="FD11" i="19" a="1"/>
  <c r="GN96" i="18" a="1"/>
  <c r="FD27" i="18" a="1"/>
  <c r="GN28" i="20" a="1"/>
  <c r="GN34" i="19" a="1"/>
  <c r="GN80" i="18" a="1"/>
  <c r="GN29" i="19" a="1"/>
  <c r="CJ7" i="18" a="1"/>
  <c r="DT63" i="18" a="1"/>
  <c r="DT26" i="19" a="1"/>
  <c r="CJ96" i="18" a="1"/>
  <c r="HX48" i="18" a="1"/>
  <c r="HX5" i="19" a="1"/>
  <c r="HX27" i="18" a="1"/>
  <c r="DT20" i="22" a="1"/>
  <c r="GN26" i="18" a="1"/>
  <c r="HX35" i="18" a="1"/>
  <c r="GN66" i="18" a="1"/>
  <c r="GN20" i="20" a="1"/>
  <c r="GN17" i="18" a="1"/>
  <c r="DT102" i="18" a="1"/>
  <c r="AZ31" i="18" a="1"/>
  <c r="FD23" i="20" a="1"/>
  <c r="DT72" i="18" a="1"/>
  <c r="HX29" i="19" a="1"/>
  <c r="DT5" i="20" a="1"/>
  <c r="DT42" i="18" a="1"/>
  <c r="FD23" i="22" a="1"/>
  <c r="GN12" i="21" a="1"/>
  <c r="AZ11" i="18" a="1"/>
  <c r="GN43" i="18" a="1"/>
  <c r="GN76" i="18" a="1"/>
  <c r="GN33" i="18" a="1"/>
  <c r="CJ18" i="18" a="1"/>
  <c r="DT80" i="18" a="1"/>
  <c r="GN27" i="20" a="1"/>
  <c r="CJ60" i="18" a="1"/>
  <c r="DT94" i="18" a="1"/>
  <c r="AZ89" i="18" a="1"/>
  <c r="FD21" i="18" a="1"/>
  <c r="GN10" i="19" a="1"/>
  <c r="GN28" i="17" a="1"/>
  <c r="FD18" i="19" a="1"/>
  <c r="FD30" i="18" a="1"/>
  <c r="HX27" i="19" a="1"/>
  <c r="GN67" i="18" a="1"/>
  <c r="CJ66" i="18" a="1"/>
  <c r="GN42" i="18" a="1"/>
  <c r="CJ29" i="17" a="1"/>
  <c r="HX18" i="21" a="1"/>
  <c r="FD11" i="18" a="1"/>
  <c r="AZ67" i="18" a="1"/>
  <c r="DT16" i="19" a="1"/>
  <c r="DT40" i="18" a="1"/>
  <c r="CJ21" i="17" a="1"/>
  <c r="HX87" i="18" a="1"/>
  <c r="HX9" i="22" a="1"/>
  <c r="HX68" i="18" a="1"/>
  <c r="GN11" i="20" a="1"/>
  <c r="CJ16" i="20" a="1"/>
  <c r="GN24" i="20" a="1"/>
  <c r="AZ102" i="18" a="1"/>
  <c r="HX92" i="18" a="1"/>
  <c r="GN23" i="18" a="1"/>
  <c r="FD8" i="20" a="1"/>
  <c r="AZ20" i="19" a="1"/>
  <c r="DT15" i="17" a="1"/>
  <c r="FD8" i="17" a="1"/>
  <c r="GN94" i="18" a="1"/>
  <c r="DT5" i="17" a="1"/>
  <c r="HX22" i="17" a="1"/>
  <c r="GN40" i="18" a="1"/>
  <c r="AZ21" i="19" a="1"/>
  <c r="AZ6" i="22" a="1"/>
  <c r="CJ14" i="20" a="1"/>
  <c r="GN87" i="18" a="1"/>
  <c r="FD28" i="19" a="1"/>
  <c r="GN15" i="21" a="1"/>
  <c r="DT76" i="18" a="1"/>
  <c r="DT8" i="22" a="1"/>
  <c r="CJ12" i="18" a="1"/>
  <c r="AZ6" i="20" a="1"/>
  <c r="FD7" i="19" a="1"/>
  <c r="CJ73" i="18" a="1"/>
  <c r="HX12" i="19" a="1"/>
  <c r="CJ13" i="21" a="1"/>
  <c r="CJ103" i="18" a="1"/>
  <c r="HX8" i="18" a="1"/>
  <c r="CJ38" i="18" a="1"/>
  <c r="CJ22" i="19" a="1"/>
  <c r="CJ101" i="18" a="1"/>
  <c r="FD14" i="21" a="1"/>
  <c r="HX31" i="19" a="1"/>
  <c r="DT23" i="21" a="1"/>
  <c r="CJ42" i="18" a="1"/>
  <c r="HX22" i="18" a="1"/>
  <c r="FD19" i="18" a="1"/>
  <c r="GN11" i="21" a="1"/>
  <c r="FD5" i="21" a="1"/>
  <c r="AZ43" i="18" a="1"/>
  <c r="HX45" i="18" a="1"/>
  <c r="GN69" i="18" a="1"/>
  <c r="GN10" i="18" a="1"/>
  <c r="AZ11" i="22" a="1"/>
  <c r="HX28" i="17" a="1"/>
  <c r="GN68" i="18" a="1"/>
  <c r="HX34" i="19" a="1"/>
  <c r="HX18" i="20" a="1"/>
  <c r="HX17" i="17" a="1"/>
  <c r="DT9" i="22" a="1"/>
  <c r="DT6" i="18" a="1"/>
  <c r="DT20" i="20" a="1"/>
  <c r="GN35" i="20" a="1"/>
  <c r="AZ18" i="22" a="1"/>
  <c r="HX40" i="18" a="1"/>
  <c r="FD10" i="18" a="1"/>
  <c r="DT17" i="20" a="1"/>
  <c r="CJ6" i="21" a="1"/>
  <c r="DT7" i="18" a="1"/>
  <c r="CJ43" i="18" a="1"/>
  <c r="AZ18" i="20" a="1"/>
  <c r="FD34" i="18" a="1"/>
  <c r="HX10" i="20" a="1"/>
  <c r="FD27" i="17" a="1"/>
  <c r="DT29" i="18" a="1"/>
  <c r="DT34" i="18" a="1"/>
  <c r="FD20" i="18" a="1"/>
  <c r="AZ12" i="18" a="1"/>
  <c r="HX33" i="19" a="1"/>
  <c r="GN16" i="18" a="1"/>
  <c r="CJ18" i="17" a="1"/>
  <c r="AZ20" i="22" a="1"/>
  <c r="DT9" i="20" a="1"/>
  <c r="CJ51" i="18" a="1"/>
  <c r="AZ17" i="20" a="1"/>
  <c r="HX47" i="18" a="1"/>
  <c r="HX43" i="18" a="1"/>
  <c r="HX20" i="17" a="1"/>
  <c r="DT27" i="19" a="1"/>
  <c r="AZ17" i="18" a="1"/>
  <c r="DT5" i="21" a="1"/>
  <c r="DT68" i="18" a="1"/>
  <c r="FD13" i="19" a="1"/>
  <c r="FD22" i="20" a="1"/>
  <c r="DT43" i="18" a="1"/>
  <c r="FD46" i="18" a="1"/>
  <c r="FD26" i="20" a="1"/>
  <c r="GN8" i="17" a="1"/>
  <c r="GN30" i="19" a="1"/>
  <c r="AZ14" i="19" a="1"/>
  <c r="GN29" i="17" a="1"/>
  <c r="GN26" i="17" a="1"/>
  <c r="GN24" i="21" a="1"/>
  <c r="FD33" i="20" a="1"/>
  <c r="FD14" i="17" a="1"/>
  <c r="FD23" i="21" a="1"/>
  <c r="FD6" i="17" a="1"/>
  <c r="FD6" i="18" a="1"/>
  <c r="DT34" i="20" a="1"/>
  <c r="CJ18" i="20" a="1"/>
  <c r="AZ13" i="19" a="1"/>
  <c r="FD37" i="18" a="1"/>
  <c r="DT11" i="20" a="1"/>
  <c r="FD5" i="19" a="1"/>
  <c r="AZ84" i="18" a="1"/>
  <c r="HX102" i="18" a="1"/>
  <c r="GN17" i="22" a="1"/>
  <c r="HX36" i="18" a="1"/>
  <c r="HX69" i="18" a="1"/>
  <c r="DT41" i="18" a="1"/>
  <c r="AZ10" i="22" a="1"/>
  <c r="DT103" i="18" a="1"/>
  <c r="GN12" i="22" a="1"/>
  <c r="HX12" i="20" a="1"/>
  <c r="FD34" i="20" a="1"/>
  <c r="CJ81" i="18" a="1"/>
  <c r="HX35" i="20" a="1"/>
  <c r="AZ63" i="18" a="1"/>
  <c r="CJ29" i="18" a="1"/>
  <c r="GN65" i="18" a="1"/>
  <c r="CJ11" i="21" a="1"/>
  <c r="FD10" i="22" a="1"/>
  <c r="HX49" i="18" a="1"/>
  <c r="GN6" i="17" a="1"/>
  <c r="DT32" i="18" a="1"/>
  <c r="AZ5" i="22" a="1"/>
  <c r="AZ54" i="18" a="1"/>
  <c r="HX54" i="18" a="1"/>
  <c r="AZ23" i="19" a="1"/>
  <c r="AZ23" i="22" a="1"/>
  <c r="CJ79" i="18" a="1"/>
  <c r="FD10" i="21" a="1"/>
  <c r="AZ101" i="18" a="1"/>
  <c r="AZ33" i="18" a="1"/>
  <c r="AZ32" i="20" a="1"/>
  <c r="AZ22" i="21" a="1"/>
  <c r="DT32" i="19" a="1"/>
  <c r="HX8" i="21" a="1"/>
  <c r="DT27" i="18" a="1"/>
  <c r="GN104" i="18" a="1"/>
  <c r="AZ14" i="21" a="1"/>
  <c r="FD34" i="19" a="1"/>
  <c r="FD101" i="18" a="1"/>
  <c r="AZ23" i="21" a="1"/>
  <c r="GN23" i="21" a="1"/>
  <c r="AZ25" i="20" a="1"/>
  <c r="AZ22" i="19" a="1"/>
  <c r="AZ81" i="18" a="1"/>
  <c r="AZ20" i="20" a="1"/>
  <c r="HX10" i="18" a="1"/>
  <c r="GN6" i="21" a="1"/>
  <c r="DT25" i="17" a="1"/>
  <c r="HX94" i="18" a="1"/>
  <c r="CJ87" i="18" a="1"/>
  <c r="DT39" i="18" a="1"/>
  <c r="CJ62" i="18" a="1"/>
  <c r="AZ28" i="20" a="1"/>
  <c r="AZ18" i="21" a="1"/>
  <c r="FD28" i="20" a="1"/>
  <c r="GN7" i="18" a="1"/>
  <c r="DT52" i="18" a="1"/>
  <c r="GN50" i="18" a="1"/>
  <c r="CJ17" i="17" a="1"/>
  <c r="DT12" i="19" a="1"/>
  <c r="HX75" i="18" a="1"/>
  <c r="HX95" i="18" a="1"/>
  <c r="CJ9" i="18" a="1"/>
  <c r="DT83" i="18" a="1"/>
  <c r="CJ90" i="18" a="1"/>
  <c r="FD16" i="21" a="1"/>
  <c r="HX9" i="17" a="1"/>
  <c r="FD21" i="21" a="1"/>
  <c r="AZ20" i="17" a="1"/>
  <c r="AZ5" i="19" a="1"/>
  <c r="CJ10" i="17" a="1"/>
  <c r="FD6" i="20" a="1"/>
  <c r="DT14" i="21" a="1"/>
  <c r="AZ100" i="18" a="1"/>
  <c r="AZ18" i="19" a="1"/>
  <c r="AZ11" i="17" a="1"/>
  <c r="DT21" i="19" a="1"/>
  <c r="HX19" i="21" a="1"/>
  <c r="GN5" i="20" a="1"/>
  <c r="GN19" i="19" a="1"/>
  <c r="HX51" i="18" a="1"/>
  <c r="HX28" i="19" a="1"/>
  <c r="DT13" i="22" a="1"/>
  <c r="FD13" i="20" a="1"/>
  <c r="FD29" i="19" a="1"/>
  <c r="DT16" i="17" a="1"/>
  <c r="AZ12" i="21" a="1"/>
  <c r="HX30" i="18" a="1"/>
  <c r="CJ15" i="20" a="1"/>
  <c r="GN93" i="18" a="1"/>
  <c r="GN13" i="17" a="1"/>
  <c r="DT19" i="19" a="1"/>
  <c r="DT25" i="19" a="1"/>
  <c r="DT34" i="19" a="1"/>
  <c r="CJ56" i="18" a="1"/>
  <c r="DT15" i="21" a="1"/>
  <c r="CJ34" i="20" a="1"/>
  <c r="FD9" i="21" a="1"/>
  <c r="AZ24" i="19" a="1"/>
  <c r="DT11" i="17" a="1"/>
  <c r="CJ30" i="20" a="1"/>
  <c r="AZ20" i="18" a="1"/>
  <c r="HX32" i="19" a="1"/>
  <c r="DT99" i="18" a="1"/>
  <c r="CJ52" i="18" a="1"/>
  <c r="GN21" i="19" a="1"/>
  <c r="DT66" i="18" a="1"/>
  <c r="AZ25" i="17" a="1"/>
  <c r="HX76" i="18" a="1"/>
  <c r="AZ14" i="22" a="1"/>
  <c r="CJ18" i="21" a="1"/>
  <c r="GN15" i="19" a="1"/>
  <c r="FD27" i="19" a="1"/>
  <c r="CJ20" i="17" a="1"/>
  <c r="FD13" i="17" a="1"/>
  <c r="FD53" i="18" a="1"/>
  <c r="DT14" i="20" a="1"/>
  <c r="GN52" i="18" a="1"/>
  <c r="CJ84" i="18" a="1"/>
  <c r="HX71" i="18" a="1"/>
  <c r="CJ5" i="21" a="1"/>
  <c r="FD10" i="17" a="1"/>
  <c r="HX6" i="21" a="1"/>
  <c r="AZ12" i="19" a="1"/>
  <c r="GN24" i="17" a="1"/>
  <c r="CJ53" i="18" a="1"/>
  <c r="CJ10" i="18" a="1"/>
  <c r="DT91" i="18" a="1"/>
  <c r="GN37" i="18" a="1"/>
  <c r="FD99" i="18" a="1"/>
  <c r="DT24" i="19" a="1"/>
  <c r="CJ94" i="18" a="1"/>
  <c r="DT88" i="18" a="1"/>
  <c r="HX16" i="19" a="1"/>
  <c r="HX26" i="18" a="1"/>
  <c r="HX17" i="21" a="1"/>
  <c r="HX24" i="21" a="1"/>
  <c r="CJ26" i="17" a="1"/>
  <c r="HX28" i="18" a="1"/>
  <c r="AZ6" i="17" a="1"/>
  <c r="GN20" i="17" a="1"/>
  <c r="GN29" i="18" a="1"/>
  <c r="CJ23" i="17" a="1"/>
  <c r="AZ14" i="17" a="1"/>
  <c r="GN14" i="21" a="1"/>
  <c r="FD6" i="22" a="1"/>
  <c r="DT60" i="18" a="1"/>
  <c r="GN16" i="22" a="1"/>
  <c r="DT31" i="20" a="1"/>
  <c r="CJ93" i="18" a="1"/>
  <c r="DT16" i="21" a="1"/>
  <c r="GN63" i="18" a="1"/>
  <c r="FD19" i="21" a="1"/>
  <c r="FD29" i="20" a="1"/>
  <c r="HX83" i="18" a="1"/>
  <c r="AZ32" i="18" a="1"/>
  <c r="CJ9" i="19" a="1"/>
  <c r="FD25" i="17" a="1"/>
  <c r="DT61" i="18" a="1"/>
  <c r="HX24" i="20" a="1"/>
  <c r="DT9" i="18" a="1"/>
  <c r="FD73" i="18" a="1"/>
  <c r="CJ32" i="19" a="1"/>
  <c r="AZ13" i="22" a="1"/>
  <c r="AZ9" i="22" a="1"/>
  <c r="FD23" i="17" a="1"/>
  <c r="AZ6" i="19" a="1"/>
  <c r="HX96" i="18" a="1"/>
  <c r="HX15" i="20" a="1"/>
  <c r="GN44" i="18" a="1"/>
  <c r="DT62" i="18" a="1"/>
  <c r="HX24" i="18" a="1"/>
  <c r="CJ18" i="19" a="1"/>
  <c r="AZ83" i="18" a="1"/>
  <c r="HX74" i="18" a="1"/>
  <c r="FD14" i="22" a="1"/>
  <c r="CJ27" i="19" a="1"/>
  <c r="GN27" i="17" a="1"/>
  <c r="AZ24" i="18" a="1"/>
  <c r="HX13" i="20" a="1"/>
  <c r="DT18" i="18" a="1"/>
  <c r="FD28" i="17" a="1"/>
  <c r="AZ27" i="20" a="1"/>
  <c r="GN17" i="17" a="1"/>
  <c r="AZ7" i="19" a="1"/>
  <c r="GN15" i="17" a="1"/>
  <c r="HX7" i="22" a="1"/>
  <c r="CJ33" i="20" a="1"/>
  <c r="GN97" i="18" a="1"/>
  <c r="GN95" i="18" a="1"/>
  <c r="FD17" i="21" a="1"/>
  <c r="DT10" i="21" a="1"/>
  <c r="AZ21" i="22" a="1"/>
  <c r="GN5" i="18" a="1"/>
  <c r="FD74" i="18" a="1"/>
  <c r="CJ44" i="18" a="1"/>
  <c r="HX5" i="20" a="1"/>
  <c r="AZ22" i="20" a="1"/>
  <c r="AZ17" i="22" a="1"/>
  <c r="FD66" i="18" a="1"/>
  <c r="FD9" i="18" a="1"/>
  <c r="CJ26" i="19" a="1"/>
  <c r="FD26" i="17" a="1"/>
  <c r="AZ8" i="19" a="1"/>
  <c r="AZ23" i="20" a="1"/>
  <c r="AZ74" i="18" a="1"/>
  <c r="GN103" i="18" a="1"/>
  <c r="CJ19" i="19" a="1"/>
  <c r="FD22" i="19" a="1"/>
  <c r="CJ17" i="21" a="1"/>
  <c r="CJ34" i="19" a="1"/>
  <c r="CJ85" i="18" a="1"/>
  <c r="HX88" i="18" a="1"/>
  <c r="AZ33" i="19" a="1"/>
  <c r="GN57" i="18" a="1"/>
  <c r="HX18" i="17" a="1"/>
  <c r="DT89" i="18" a="1"/>
  <c r="GN59" i="18" a="1"/>
  <c r="CJ23" i="20" a="1"/>
  <c r="AZ32" i="19" a="1"/>
  <c r="FD31" i="18" a="1"/>
  <c r="GN13" i="21" a="1"/>
  <c r="AZ22" i="18" a="1"/>
  <c r="DT13" i="20" a="1"/>
  <c r="GN8" i="19" a="1"/>
  <c r="DT57" i="18" a="1"/>
  <c r="CJ37" i="18" a="1"/>
  <c r="GN25" i="18" a="1"/>
  <c r="AZ35" i="19" a="1"/>
  <c r="AZ11" i="20" a="1"/>
  <c r="AZ75" i="18" a="1"/>
  <c r="AZ50" i="18" a="1"/>
  <c r="AZ59" i="18" a="1"/>
  <c r="CJ19" i="18" a="1"/>
  <c r="GN34" i="20" a="1"/>
  <c r="FD21" i="19" a="1"/>
  <c r="GN17" i="20" a="1"/>
  <c r="GN6" i="22" a="1"/>
  <c r="AZ87" i="18" a="1"/>
  <c r="HX10" i="17" a="1"/>
  <c r="HX20" i="19" a="1"/>
  <c r="HX12" i="18" a="1"/>
  <c r="AZ22" i="22" a="1"/>
  <c r="FD57" i="18" a="1"/>
  <c r="FD24" i="18" a="1"/>
  <c r="DT55" i="18" a="1"/>
  <c r="GN9" i="17" a="1"/>
  <c r="AZ88" i="18" a="1"/>
  <c r="FD87" i="18" a="1"/>
  <c r="HX79" i="18" a="1"/>
  <c r="CJ6" i="17" a="1"/>
  <c r="CJ35" i="19" a="1"/>
  <c r="HX7" i="17" a="1"/>
  <c r="GN7" i="19" a="1"/>
  <c r="CJ76" i="18" a="1"/>
  <c r="GN46" i="18" a="1"/>
  <c r="HX6" i="20" a="1"/>
  <c r="GN32" i="18" a="1"/>
  <c r="FD12" i="20" a="1"/>
  <c r="HX25" i="20" a="1"/>
  <c r="CJ30" i="19" a="1"/>
  <c r="FD70" i="18" a="1"/>
  <c r="AZ65" i="18" a="1"/>
  <c r="DT12" i="20" a="1"/>
  <c r="AZ29" i="20" a="1"/>
  <c r="GN14" i="18" a="1"/>
  <c r="DT5" i="18" a="1"/>
  <c r="DT16" i="18" a="1"/>
  <c r="AZ30" i="19" a="1"/>
  <c r="FD24" i="19" a="1"/>
  <c r="GN19" i="22" a="1"/>
  <c r="DT25" i="20" a="1"/>
  <c r="AZ17" i="21" a="1"/>
  <c r="HX91" i="18" a="1"/>
  <c r="DT65" i="18" a="1"/>
  <c r="AZ103" i="18" a="1"/>
  <c r="CJ33" i="18" a="1"/>
  <c r="GN21" i="17" a="1"/>
  <c r="CJ36" i="18" a="1"/>
  <c r="HX22" i="19" a="1"/>
  <c r="DT30" i="20" a="1"/>
  <c r="AZ8" i="21" a="1"/>
  <c r="CJ8" i="20" a="1"/>
  <c r="GN62" i="18" a="1"/>
  <c r="AZ9" i="20" a="1"/>
  <c r="DT19" i="21" a="1"/>
  <c r="CJ91" i="18" a="1"/>
  <c r="GN47" i="18" a="1"/>
  <c r="HX20" i="18" a="1"/>
  <c r="CJ102" i="18" a="1"/>
  <c r="FD12" i="21" a="1"/>
  <c r="CJ21" i="20" a="1"/>
  <c r="CJ31" i="20" a="1"/>
  <c r="GN20" i="21" a="1"/>
  <c r="FD81" i="18" a="1"/>
  <c r="AZ28" i="18" a="1"/>
  <c r="DT98" i="18" a="1"/>
  <c r="FD100" i="18" a="1"/>
  <c r="AZ19" i="17" a="1"/>
  <c r="AZ9" i="18" a="1"/>
  <c r="GN10" i="21" a="1"/>
  <c r="DT7" i="17" a="1"/>
  <c r="DT75" i="18" a="1"/>
  <c r="DT54" i="18" a="1"/>
  <c r="CJ28" i="19" a="1"/>
  <c r="FD20" i="17" a="1"/>
  <c r="GN15" i="20" a="1"/>
  <c r="FD63" i="18" a="1"/>
  <c r="GN19" i="21" a="1"/>
  <c r="DT12" i="21" a="1"/>
  <c r="CJ39" i="18" a="1"/>
  <c r="AZ24" i="17" a="1"/>
  <c r="AZ27" i="18" a="1"/>
  <c r="HX55" i="18" a="1"/>
  <c r="CJ30" i="18" a="1"/>
  <c r="GN22" i="18" a="1"/>
  <c r="DT30" i="18" a="1"/>
  <c r="CJ35" i="18" a="1"/>
  <c r="DT47" i="18" a="1"/>
  <c r="HX23" i="22" a="1"/>
  <c r="AZ18" i="18" a="1"/>
  <c r="AZ92" i="18" a="1"/>
  <c r="AZ26" i="17" a="1"/>
  <c r="FD5" i="22" a="1"/>
  <c r="FD94" i="18" a="1"/>
  <c r="GN35" i="19" a="1"/>
  <c r="AZ16" i="19" a="1"/>
  <c r="FD9" i="19" a="1"/>
  <c r="CJ64" i="18" a="1"/>
  <c r="AZ33" i="20" a="1"/>
  <c r="DT67" i="18" a="1"/>
  <c r="CJ16" i="21" a="1"/>
  <c r="DT21" i="20" a="1"/>
  <c r="AZ39" i="18" a="1"/>
  <c r="CJ10" i="20" a="1"/>
  <c r="FD35" i="18" a="1"/>
  <c r="GN5" i="22" a="1"/>
  <c r="AZ7" i="18" a="1"/>
  <c r="CJ24" i="18" a="1"/>
  <c r="DT95" i="18" a="1"/>
  <c r="FD7" i="17" a="1"/>
  <c r="DT21" i="18" a="1"/>
  <c r="HX24" i="22" a="1"/>
  <c r="HX15" i="18" a="1"/>
  <c r="HX56" i="18" a="1"/>
  <c r="AZ96" i="18" a="1"/>
  <c r="FD29" i="18" a="1"/>
  <c r="DT86" i="18" a="1"/>
  <c r="AZ36" i="18" a="1"/>
  <c r="AZ10" i="19" a="1"/>
  <c r="DT19" i="22" a="1"/>
  <c r="FD54" i="18" a="1"/>
  <c r="GN86" i="18" a="1"/>
  <c r="AZ23" i="17" a="1"/>
  <c r="AZ5" i="17" a="1"/>
  <c r="HX14" i="17" a="1"/>
  <c r="DT81" i="18" a="1"/>
  <c r="FD17" i="17" a="1"/>
  <c r="GN92" i="18" a="1"/>
  <c r="CJ13" i="20" a="1"/>
  <c r="CJ13" i="17" a="1"/>
  <c r="CJ27" i="18" a="1"/>
  <c r="HX9" i="19" a="1"/>
  <c r="CJ6" i="19" a="1"/>
  <c r="CJ12" i="21" a="1"/>
  <c r="DT22" i="18" a="1"/>
  <c r="CJ25" i="19" a="1"/>
  <c r="AZ86" i="18" a="1"/>
  <c r="CJ33" i="19" a="1"/>
  <c r="GN12" i="17" a="1"/>
  <c r="FD22" i="21" a="1"/>
  <c r="DT8" i="19" a="1"/>
  <c r="HX26" i="17" a="1"/>
  <c r="FD16" i="18" a="1"/>
  <c r="AZ7" i="20" a="1"/>
  <c r="CJ5" i="17" a="1"/>
  <c r="HX20" i="21" a="1"/>
  <c r="CJ54" i="18" a="1"/>
  <c r="GN21" i="22" a="1"/>
  <c r="AZ9" i="17" a="1"/>
  <c r="GN16" i="17" a="1"/>
  <c r="CJ13" i="18" a="1"/>
  <c r="FD28" i="18" a="1"/>
  <c r="AZ104" i="18" a="1"/>
  <c r="AZ60" i="18" a="1"/>
  <c r="HX24" i="19" a="1"/>
  <c r="DT19" i="17" a="1"/>
  <c r="DT8" i="17" a="1"/>
  <c r="AZ15" i="17" a="1"/>
  <c r="CJ11" i="18" a="1"/>
  <c r="FD69" i="18" a="1"/>
  <c r="FD7" i="21" a="1"/>
  <c r="GN5" i="17" a="1"/>
  <c r="CJ24" i="20" a="1"/>
  <c r="DT10" i="20" a="1"/>
  <c r="CJ19" i="17" a="1"/>
  <c r="DT17" i="17" a="1"/>
  <c r="GN48" i="18" a="1"/>
  <c r="FD72" i="18" a="1"/>
  <c r="HX19" i="22" a="1"/>
  <c r="DT28" i="20" a="1"/>
  <c r="DT104" i="18" a="1"/>
  <c r="HX31" i="20" a="1"/>
  <c r="CJ20" i="20" a="1"/>
  <c r="CJ20" i="19" a="1"/>
  <c r="GN27" i="19" a="1"/>
  <c r="HX17" i="20" a="1"/>
  <c r="AZ29" i="18" a="1"/>
  <c r="CJ6" i="18" a="1"/>
  <c r="GN27" i="18" a="1"/>
  <c r="AZ19" i="19" a="1"/>
  <c r="HX32" i="20" a="1"/>
  <c r="GN32" i="20" a="1"/>
  <c r="CJ32" i="20" a="1"/>
  <c r="AZ34" i="20" a="1"/>
  <c r="GN22" i="19" a="1"/>
  <c r="GN32" i="19" a="1"/>
  <c r="AZ37" i="18" a="1"/>
  <c r="AZ26" i="19" a="1"/>
  <c r="DT14" i="19" a="1"/>
  <c r="AZ5" i="21" a="1"/>
  <c r="CJ17" i="19" a="1"/>
  <c r="AZ94" i="18" a="1"/>
  <c r="GN91" i="18" a="1"/>
  <c r="FD96" i="18" a="1"/>
  <c r="GN18" i="22" a="1"/>
  <c r="AZ46" i="18" a="1"/>
  <c r="DT7" i="21" a="1"/>
  <c r="GN25" i="20" a="1"/>
  <c r="AZ25" i="19" a="1"/>
  <c r="CJ20" i="21" a="1"/>
  <c r="FD95" i="18" a="1"/>
  <c r="HX22" i="20" a="1"/>
  <c r="HX103" i="18" a="1"/>
  <c r="CJ5" i="18" a="1"/>
  <c r="HX29" i="17" a="1"/>
  <c r="AZ5" i="20" a="1"/>
  <c r="FD11" i="22" a="1"/>
  <c r="FD51" i="18" a="1"/>
  <c r="DT12" i="18" a="1"/>
  <c r="HX7" i="21" a="1"/>
  <c r="AZ16" i="21" a="1"/>
  <c r="CJ67" i="18" a="1"/>
  <c r="GN12" i="20" a="1"/>
  <c r="CJ83" i="18" a="1"/>
  <c r="DT101" i="18" a="1"/>
  <c r="AZ62" i="18" a="1"/>
  <c r="HX80" i="18" a="1"/>
  <c r="GN7" i="22" a="1"/>
  <c r="GN14" i="17" a="1"/>
  <c r="FD58" i="18" a="1"/>
  <c r="DT11" i="19" a="1"/>
  <c r="GN16" i="20" a="1"/>
  <c r="FD5" i="17" a="1"/>
  <c r="DT26" i="17" a="1"/>
  <c r="FD40" i="18" a="1"/>
  <c r="FD20" i="22" a="1"/>
  <c r="GN101" i="18" a="1"/>
  <c r="FD12" i="18" a="1"/>
  <c r="DT84" i="18" a="1"/>
  <c r="FD24" i="20" a="1"/>
  <c r="HX6" i="22" a="1"/>
  <c r="GN53" i="18" a="1"/>
  <c r="AZ8" i="20" a="1"/>
  <c r="CJ41" i="18" a="1"/>
  <c r="FD103" i="18" a="1"/>
  <c r="CJ22" i="17" a="1"/>
  <c r="CJ58" i="18" a="1"/>
  <c r="AZ11" i="19" a="1"/>
  <c r="DT35" i="19" a="1"/>
  <c r="HX38" i="18" a="1"/>
  <c r="DT13" i="19" a="1"/>
  <c r="CJ89" i="18" a="1"/>
  <c r="AZ82" i="18" a="1"/>
  <c r="DT16" i="22" a="1"/>
  <c r="HX11" i="18" a="1"/>
  <c r="AZ95" i="18" a="1"/>
  <c r="HX25" i="17" a="1"/>
  <c r="HX34" i="18" a="1"/>
  <c r="HX20" i="20" a="1"/>
  <c r="AZ22" i="17" a="1"/>
  <c r="DT16" i="20" a="1"/>
  <c r="HX90" i="18" a="1"/>
  <c r="DT6" i="21" a="1"/>
  <c r="AZ28" i="17" a="1"/>
  <c r="FD18" i="20" a="1"/>
  <c r="GN8" i="21" a="1"/>
  <c r="HX10" i="19" a="1"/>
  <c r="CJ97" i="18" a="1"/>
  <c r="HX14" i="21" a="1"/>
  <c r="FD17" i="20" a="1"/>
  <c r="CJ9" i="17" a="1"/>
  <c r="FD19" i="19" a="1"/>
  <c r="AZ7" i="21" a="1"/>
  <c r="AZ6" i="18" a="1"/>
  <c r="FD42" i="18" a="1"/>
  <c r="AZ16" i="17" a="1"/>
  <c r="FD20" i="21" a="1"/>
  <c r="FD50" i="18" a="1"/>
  <c r="FD24" i="17" a="1"/>
  <c r="FD35" i="19" a="1"/>
  <c r="GN24" i="19" a="1"/>
  <c r="FD32" i="18" a="1"/>
  <c r="FD36" i="18" a="1"/>
  <c r="FD8" i="19" a="1"/>
  <c r="GN88" i="18" a="1"/>
  <c r="GN18" i="21" a="1"/>
  <c r="FD12" i="19" a="1"/>
  <c r="HX26" i="20" a="1"/>
  <c r="HX16" i="18" a="1"/>
  <c r="CJ11" i="20" a="1"/>
  <c r="DT32" i="20" a="1"/>
  <c r="HX64" i="18" a="1"/>
  <c r="CJ16" i="17" a="1"/>
  <c r="DT20" i="21" a="1"/>
  <c r="GN83" i="18" a="1"/>
  <c r="FD49" i="18" a="1"/>
  <c r="AZ44" i="18" a="1"/>
  <c r="DT23" i="19" a="1"/>
  <c r="DT93" i="18" a="1"/>
  <c r="HX14" i="20" a="1"/>
  <c r="FD38" i="18" a="1"/>
  <c r="FD22" i="18" a="1"/>
  <c r="GN102" i="18" a="1"/>
  <c r="HX14" i="22" a="1"/>
  <c r="DT17" i="19" a="1"/>
  <c r="HX86" i="18" a="1"/>
  <c r="DT69" i="18" a="1"/>
  <c r="AZ56" i="18" a="1"/>
  <c r="HX57" i="18" a="1"/>
  <c r="FD71" i="18" a="1"/>
  <c r="AZ20" i="21" a="1"/>
  <c r="DT10" i="17" a="1"/>
  <c r="FD14" i="19" a="1"/>
  <c r="FD20" i="19" a="1"/>
  <c r="DT24" i="22" a="1"/>
  <c r="DT21" i="17" a="1"/>
  <c r="GN6" i="19" a="1"/>
  <c r="GN9" i="19" a="1"/>
  <c r="HX11" i="20" a="1"/>
  <c r="AZ57" i="18" a="1"/>
  <c r="CJ104" i="18" a="1"/>
  <c r="GN20" i="18" a="1"/>
  <c r="CJ14" i="18" a="1"/>
  <c r="CJ27" i="17" a="1"/>
  <c r="AZ99" i="18" a="1"/>
  <c r="AZ18" i="17" a="1"/>
  <c r="HX10" i="21" a="1"/>
  <c r="FD12" i="22" a="1"/>
  <c r="DT15" i="19" a="1"/>
  <c r="CJ74" i="18" a="1"/>
  <c r="FD21" i="17" a="1"/>
  <c r="AZ16" i="20" a="1"/>
  <c r="DT11" i="21" a="1"/>
  <c r="AZ21" i="17" a="1"/>
  <c r="HX12" i="17" a="1"/>
  <c r="HX72" i="18" a="1"/>
  <c r="AZ58" i="18" a="1"/>
  <c r="AZ5" i="18" a="1"/>
  <c r="FD13" i="21" a="1"/>
  <c r="DT5" i="22" a="1"/>
  <c r="AZ12" i="20" a="1"/>
  <c r="GN5" i="21" a="1"/>
  <c r="CJ46" i="18" a="1"/>
  <c r="AZ69" i="18" a="1"/>
  <c r="DT23" i="20" a="1"/>
  <c r="AZ26" i="20" a="1"/>
  <c r="FD24" i="21" a="1"/>
  <c r="AZ34" i="19" a="1"/>
  <c r="FD83" i="18" a="1"/>
  <c r="AZ6" i="21" a="1"/>
  <c r="AZ11" i="21" a="1"/>
  <c r="DT21" i="22" a="1"/>
  <c r="DT9" i="17" a="1"/>
  <c r="CJ100" i="18" a="1"/>
  <c r="DT12" i="17" a="1"/>
  <c r="DT10" i="19" a="1"/>
  <c r="AZ14" i="20" a="1"/>
  <c r="DT78" i="18" a="1"/>
  <c r="GN73" i="18" a="1"/>
  <c r="CJ31" i="18" a="1"/>
  <c r="DT49" i="18" a="1"/>
  <c r="AZ80" i="18" a="1"/>
  <c r="FD47" i="18" a="1"/>
  <c r="CJ75" i="18" a="1"/>
  <c r="HX11" i="21" a="1"/>
  <c r="CJ77" i="18" a="1"/>
  <c r="CJ48" i="18" a="1"/>
  <c r="DT15" i="22" a="1"/>
  <c r="CJ8" i="17" a="1"/>
  <c r="CJ19" i="21" a="1"/>
  <c r="CJ8" i="18" a="1"/>
  <c r="FD43" i="18" a="1"/>
  <c r="GN71" i="18" a="1"/>
  <c r="HX16" i="21" a="1"/>
  <c r="AZ85" i="18" a="1"/>
  <c r="AZ30" i="18" a="1"/>
  <c r="AZ24" i="22" a="1"/>
  <c r="GN10" i="20" a="1"/>
  <c r="DT7" i="20" a="1"/>
  <c r="GN23" i="20" a="1"/>
  <c r="FD30" i="19" a="1"/>
  <c r="CJ55" i="18" a="1"/>
  <c r="AZ93" i="18" a="1"/>
  <c r="DT22" i="17" a="1"/>
  <c r="DT26" i="20" a="1"/>
  <c r="GN33" i="19" a="1"/>
  <c r="CJ14" i="17" a="1"/>
  <c r="DT20" i="19" a="1"/>
  <c r="CJ86" i="18" a="1"/>
  <c r="AZ55" i="18" a="1"/>
  <c r="DT27" i="17" a="1"/>
  <c r="HX21" i="17" a="1"/>
  <c r="AZ17" i="19" a="1"/>
  <c r="FD21" i="20" a="1"/>
  <c r="CJ99" i="18" a="1"/>
  <c r="GN9" i="20" a="1"/>
  <c r="CJ17" i="18" a="1"/>
  <c r="FD6" i="21" a="1"/>
  <c r="GN23" i="17" a="1"/>
  <c r="FD16" i="19" a="1"/>
  <c r="HX5" i="21" a="1"/>
  <c r="FD17" i="18" a="1"/>
  <c r="CJ10" i="21" a="1"/>
  <c r="DT9" i="19" a="1"/>
  <c r="DT97" i="18" a="1"/>
  <c r="FD9" i="17" a="1"/>
  <c r="CJ24" i="19" a="1"/>
  <c r="GN31" i="19" a="1"/>
  <c r="GN26" i="19" a="1"/>
  <c r="HX8" i="20" a="1"/>
  <c r="HX21" i="19" a="1"/>
  <c r="FD23" i="18" a="1"/>
  <c r="CJ23" i="21" a="1"/>
  <c r="AZ30" i="20" a="1"/>
  <c r="CJ15" i="19" a="1"/>
  <c r="DT18" i="21" a="1"/>
  <c r="DT24" i="18" a="1"/>
  <c r="AZ15" i="19" a="1"/>
  <c r="DT33" i="19" a="1"/>
  <c r="HX10" i="22" a="1"/>
  <c r="AZ16" i="22" a="1"/>
  <c r="AZ8" i="17" a="1"/>
  <c r="HX53" i="18" a="1"/>
  <c r="HX9" i="21" a="1"/>
  <c r="AZ35" i="18" a="1"/>
  <c r="HX19" i="20" a="1"/>
  <c r="DT6" i="22" a="1"/>
  <c r="CJ9" i="21" a="1"/>
  <c r="DT23" i="18" a="1"/>
  <c r="AZ29" i="17" a="1"/>
  <c r="GN20" i="19" a="1"/>
  <c r="DT8" i="20" a="1"/>
  <c r="DT23" i="17" a="1"/>
  <c r="AZ28" i="19" a="1"/>
  <c r="AZ77" i="18" a="1"/>
  <c r="DT74" i="18" a="1"/>
  <c r="HX99" i="18" a="1"/>
  <c r="AZ10" i="17" a="1"/>
  <c r="AZ21" i="18" a="1"/>
  <c r="DT20" i="17" a="1"/>
  <c r="AZ15" i="20" a="1"/>
  <c r="FD26" i="19" a="1"/>
  <c r="HX27" i="20" a="1"/>
  <c r="CJ57" i="18" a="1"/>
  <c r="FD24" i="22" a="1"/>
  <c r="DT6" i="17" a="1"/>
  <c r="AZ31" i="20" a="1"/>
  <c r="GN8" i="18" a="1"/>
  <c r="CJ14" i="21" a="1"/>
  <c r="DT30" i="19" a="1"/>
  <c r="CJ31" i="19" a="1"/>
  <c r="HX9" i="20" a="1"/>
  <c r="FD97" i="18" a="1"/>
  <c r="GN36" i="18" a="1"/>
  <c r="FD52" i="18" a="1"/>
  <c r="HX33" i="18" a="1"/>
  <c r="DT23" i="22" a="1"/>
  <c r="CJ22" i="18" a="1"/>
  <c r="FD11" i="17" a="1"/>
  <c r="CJ11" i="17" a="1"/>
  <c r="HX18" i="22" a="1"/>
  <c r="HX66" i="18" a="1"/>
  <c r="DT56" i="18" a="1"/>
  <c r="FD19" i="22" a="1"/>
  <c r="DT14" i="18" a="1"/>
  <c r="AZ8" i="18" a="1"/>
  <c r="DT100" i="18" a="1"/>
  <c r="GN22" i="21" a="1"/>
  <c r="CJ50" i="18" a="1"/>
  <c r="CJ5" i="19" a="1"/>
  <c r="DT28" i="19" a="1"/>
  <c r="CJ14" i="19" a="1"/>
  <c r="CJ71" i="18" a="1"/>
  <c r="CJ12" i="17" a="1"/>
  <c r="HX13" i="19" a="1"/>
  <c r="AZ13" i="17" a="1"/>
  <c r="FD11" i="20" a="1"/>
  <c r="CJ98" i="18" a="1"/>
  <c r="FD10" i="19" a="1"/>
  <c r="CJ11" i="19" a="1"/>
  <c r="CJ15" i="18" a="1"/>
  <c r="CJ7" i="17" a="1"/>
  <c r="AZ15" i="18" a="1"/>
  <c r="FD12" i="17" a="1"/>
  <c r="CJ80" i="18" a="1"/>
  <c r="GN31" i="20" a="1"/>
  <c r="FD89" i="18" a="1"/>
  <c r="FD15" i="17" a="1"/>
  <c r="AZ24" i="21" a="1"/>
  <c r="AZ12" i="17" a="1"/>
  <c r="CJ92" i="18" a="1"/>
  <c r="AZ98" i="18" a="1"/>
  <c r="GN22" i="17" a="1"/>
  <c r="DT14" i="17" a="1"/>
  <c r="CJ78" i="18" a="1"/>
  <c r="AZ17" i="17" a="1"/>
  <c r="GN18" i="17" a="1"/>
  <c r="FD55" i="18" a="1"/>
  <c r="DT35" i="20" a="1"/>
  <c r="FD82" i="18" a="1"/>
  <c r="GN15" i="18" a="1"/>
  <c r="CJ16" i="19" a="1"/>
  <c r="FD25" i="20" a="1"/>
  <c r="GN15" i="22" a="1"/>
  <c r="HX18" i="19" a="1"/>
  <c r="HX22" i="21" a="1"/>
  <c r="AZ21" i="20" a="1"/>
  <c r="CJ68" i="18" a="1"/>
  <c r="AZ48" i="18" a="1"/>
  <c r="DT7" i="19" a="1"/>
  <c r="GN70" i="18" a="1"/>
  <c r="CJ63" i="18" a="1"/>
  <c r="FD23" i="19" a="1"/>
  <c r="HX15" i="19" a="1"/>
  <c r="AZ16" i="18" a="1"/>
  <c r="FD61" i="18" a="1"/>
  <c r="CJ21" i="18" a="1"/>
  <c r="FD11" i="21" a="1"/>
  <c r="HX41" i="18" a="1"/>
  <c r="AZ25" i="18" a="1"/>
  <c r="AZ27" i="17" a="1"/>
  <c r="DT31" i="18" a="1"/>
  <c r="GN19" i="17" a="1"/>
  <c r="CJ21" i="21" a="1"/>
  <c r="GN24" i="18" a="1"/>
  <c r="CJ65" i="18" a="1"/>
  <c r="GN64" i="18" a="1"/>
  <c r="GN9" i="21" a="1"/>
  <c r="AZ40" i="18" a="1"/>
  <c r="CJ28" i="20" a="1"/>
  <c r="AZ10" i="20" a="1"/>
  <c r="AZ41" i="18" a="1"/>
  <c r="GN13" i="19" a="1"/>
  <c r="DT24" i="17" a="1"/>
  <c r="GN14" i="19" a="1"/>
  <c r="AZ19" i="22" a="1"/>
  <c r="GN17" i="19" a="1"/>
  <c r="GN51" i="18" a="1"/>
  <c r="GN79" i="18" a="1"/>
  <c r="FD22" i="17" a="1"/>
  <c r="CJ27" i="20" a="1"/>
  <c r="GN14" i="22" a="1"/>
  <c r="CJ15" i="17" a="1"/>
  <c r="AZ72" i="18" a="1"/>
  <c r="DT82" i="18" a="1"/>
  <c r="AZ7" i="17" a="1"/>
  <c r="DT10" i="22" a="1"/>
  <c r="AZ91" i="18" a="1"/>
  <c r="AZ91" i="18" l="1"/>
  <c r="DT10" i="22"/>
  <c r="AZ7" i="17"/>
  <c r="DT82" i="18"/>
  <c r="AZ72" i="18"/>
  <c r="CJ15" i="17"/>
  <c r="GN14" i="22"/>
  <c r="CJ27" i="20"/>
  <c r="FD22" i="17"/>
  <c r="GN79" i="18"/>
  <c r="GN51" i="18"/>
  <c r="GN17" i="19"/>
  <c r="AZ19" i="22"/>
  <c r="GN14" i="19"/>
  <c r="DT24" i="17"/>
  <c r="GN13" i="19"/>
  <c r="AZ41" i="18"/>
  <c r="AZ10" i="20"/>
  <c r="CJ28" i="20"/>
  <c r="AZ40" i="18"/>
  <c r="GN9" i="21"/>
  <c r="GN64" i="18"/>
  <c r="CJ65" i="18"/>
  <c r="GN24" i="18"/>
  <c r="CJ21" i="21"/>
  <c r="GN19" i="17"/>
  <c r="DT31" i="18"/>
  <c r="AZ27" i="17"/>
  <c r="AZ25" i="18"/>
  <c r="HX41" i="18"/>
  <c r="FD11" i="21"/>
  <c r="CJ21" i="18"/>
  <c r="FD61" i="18"/>
  <c r="AZ16" i="18"/>
  <c r="HX15" i="19"/>
  <c r="FD23" i="19"/>
  <c r="CJ63" i="18"/>
  <c r="GN70" i="18"/>
  <c r="DT7" i="19"/>
  <c r="AZ48" i="18"/>
  <c r="CJ68" i="18"/>
  <c r="AZ21" i="20"/>
  <c r="HX22" i="21"/>
  <c r="HX18" i="19"/>
  <c r="GN15" i="22"/>
  <c r="FD25" i="20"/>
  <c r="CJ16" i="19"/>
  <c r="GN15" i="18"/>
  <c r="FD82" i="18"/>
  <c r="DT35" i="20"/>
  <c r="FD55" i="18"/>
  <c r="GN18" i="17"/>
  <c r="AZ17" i="17"/>
  <c r="CJ78" i="18"/>
  <c r="DT14" i="17"/>
  <c r="GN22" i="17"/>
  <c r="AZ98" i="18"/>
  <c r="CJ92" i="18"/>
  <c r="AZ12" i="17"/>
  <c r="AZ24" i="21"/>
  <c r="FD15" i="17"/>
  <c r="FD89" i="18"/>
  <c r="GN31" i="20"/>
  <c r="CJ80" i="18"/>
  <c r="FD12" i="17"/>
  <c r="AZ15" i="18"/>
  <c r="CJ7" i="17"/>
  <c r="CJ15" i="18"/>
  <c r="CJ11" i="19"/>
  <c r="FD10" i="19"/>
  <c r="CJ98" i="18"/>
  <c r="FD11" i="20"/>
  <c r="AZ13" i="17"/>
  <c r="HX13" i="19"/>
  <c r="CJ12" i="17"/>
  <c r="CJ71" i="18"/>
  <c r="CJ14" i="19"/>
  <c r="DT28" i="19"/>
  <c r="CJ5" i="19"/>
  <c r="CJ50" i="18"/>
  <c r="GN22" i="21"/>
  <c r="DT100" i="18"/>
  <c r="AZ8" i="18"/>
  <c r="DT14" i="18"/>
  <c r="FD19" i="22"/>
  <c r="DT56" i="18"/>
  <c r="HX66" i="18"/>
  <c r="HX18" i="22"/>
  <c r="CJ11" i="17"/>
  <c r="FD11" i="17"/>
  <c r="CJ22" i="18"/>
  <c r="DT23" i="22"/>
  <c r="HX33" i="18"/>
  <c r="FD52" i="18"/>
  <c r="GN36" i="18"/>
  <c r="FD97" i="18"/>
  <c r="HX9" i="20"/>
  <c r="CJ31" i="19"/>
  <c r="DT30" i="19"/>
  <c r="CJ14" i="21"/>
  <c r="GN8" i="18"/>
  <c r="AZ31" i="20"/>
  <c r="DT6" i="17"/>
  <c r="FD24" i="22"/>
  <c r="CJ57" i="18"/>
  <c r="HX27" i="20"/>
  <c r="FD26" i="19"/>
  <c r="AZ15" i="20"/>
  <c r="DT20" i="17"/>
  <c r="AZ21" i="18"/>
  <c r="AZ10" i="17"/>
  <c r="HX99" i="18"/>
  <c r="DT74" i="18"/>
  <c r="AZ77" i="18"/>
  <c r="AZ28" i="19"/>
  <c r="DT23" i="17"/>
  <c r="DT8" i="20"/>
  <c r="GN20" i="19"/>
  <c r="AZ29" i="17"/>
  <c r="DT23" i="18"/>
  <c r="CJ9" i="21"/>
  <c r="DT6" i="22"/>
  <c r="HX19" i="20"/>
  <c r="AZ35" i="18"/>
  <c r="HX9" i="21"/>
  <c r="HX53" i="18"/>
  <c r="AZ8" i="17"/>
  <c r="AZ16" i="22"/>
  <c r="HX10" i="22"/>
  <c r="DT33" i="19"/>
  <c r="AZ15" i="19"/>
  <c r="DT24" i="18"/>
  <c r="DT18" i="21"/>
  <c r="CJ15" i="19"/>
  <c r="AZ30" i="20"/>
  <c r="CJ23" i="21"/>
  <c r="FD23" i="18"/>
  <c r="HX21" i="19"/>
  <c r="HX8" i="20"/>
  <c r="GN26" i="19"/>
  <c r="GN31" i="19"/>
  <c r="CJ24" i="19"/>
  <c r="FD9" i="17"/>
  <c r="DT97" i="18"/>
  <c r="DT9" i="19"/>
  <c r="CJ10" i="21"/>
  <c r="FD17" i="18"/>
  <c r="HX5" i="21"/>
  <c r="FD16" i="19"/>
  <c r="GN23" i="17"/>
  <c r="FD6" i="21"/>
  <c r="CJ17" i="18"/>
  <c r="GN9" i="20"/>
  <c r="CJ99" i="18"/>
  <c r="FD21" i="20"/>
  <c r="AZ17" i="19"/>
  <c r="HX21" i="17"/>
  <c r="DT27" i="17"/>
  <c r="AZ55" i="18"/>
  <c r="CJ86" i="18"/>
  <c r="DT20" i="19"/>
  <c r="CJ14" i="17"/>
  <c r="GN33" i="19"/>
  <c r="DT26" i="20"/>
  <c r="DT22" i="17"/>
  <c r="AZ93" i="18"/>
  <c r="CJ55" i="18"/>
  <c r="FD30" i="19"/>
  <c r="GN23" i="20"/>
  <c r="DT7" i="20"/>
  <c r="GN10" i="20"/>
  <c r="AZ24" i="22"/>
  <c r="AZ30" i="18"/>
  <c r="AZ85" i="18"/>
  <c r="HX16" i="21"/>
  <c r="GN71" i="18"/>
  <c r="FD43" i="18"/>
  <c r="CJ8" i="18"/>
  <c r="CJ19" i="21"/>
  <c r="CJ8" i="17"/>
  <c r="DT15" i="22"/>
  <c r="CJ48" i="18"/>
  <c r="CJ77" i="18"/>
  <c r="HX11" i="21"/>
  <c r="CJ75" i="18"/>
  <c r="FD47" i="18"/>
  <c r="AZ80" i="18"/>
  <c r="DT49" i="18"/>
  <c r="CJ31" i="18"/>
  <c r="GN73" i="18"/>
  <c r="DT78" i="18"/>
  <c r="AZ14" i="20"/>
  <c r="DT10" i="19"/>
  <c r="DT12" i="17"/>
  <c r="CJ100" i="18"/>
  <c r="DT9" i="17"/>
  <c r="DT21" i="22"/>
  <c r="AZ11" i="21"/>
  <c r="AZ6" i="21"/>
  <c r="FD83" i="18"/>
  <c r="AZ34" i="19"/>
  <c r="FD24" i="21"/>
  <c r="AZ26" i="20"/>
  <c r="DT23" i="20"/>
  <c r="AZ69" i="18"/>
  <c r="CJ46" i="18"/>
  <c r="GN5" i="21"/>
  <c r="AZ12" i="20"/>
  <c r="DT5" i="22"/>
  <c r="FD13" i="21"/>
  <c r="AZ5" i="18"/>
  <c r="AZ58" i="18"/>
  <c r="HX72" i="18"/>
  <c r="HX12" i="17"/>
  <c r="AZ21" i="17"/>
  <c r="DT11" i="21"/>
  <c r="AZ16" i="20"/>
  <c r="FD21" i="17"/>
  <c r="CJ74" i="18"/>
  <c r="DT15" i="19"/>
  <c r="FD12" i="22"/>
  <c r="HX10" i="21"/>
  <c r="AZ18" i="17"/>
  <c r="AZ99" i="18"/>
  <c r="CJ27" i="17"/>
  <c r="CJ14" i="18"/>
  <c r="GN20" i="18"/>
  <c r="CJ104" i="18"/>
  <c r="AZ57" i="18"/>
  <c r="HX11" i="20"/>
  <c r="GN9" i="19"/>
  <c r="GN6" i="19"/>
  <c r="DT21" i="17"/>
  <c r="DT24" i="22"/>
  <c r="FD20" i="19"/>
  <c r="FD14" i="19"/>
  <c r="DT10" i="17"/>
  <c r="AZ20" i="21"/>
  <c r="FD71" i="18"/>
  <c r="HX57" i="18"/>
  <c r="AZ56" i="18"/>
  <c r="DT69" i="18"/>
  <c r="HX86" i="18"/>
  <c r="DT17" i="19"/>
  <c r="HX14" i="22"/>
  <c r="GN102" i="18"/>
  <c r="FD22" i="18"/>
  <c r="FD38" i="18"/>
  <c r="HX14" i="20"/>
  <c r="DT93" i="18"/>
  <c r="DT23" i="19"/>
  <c r="AZ44" i="18"/>
  <c r="FD49" i="18"/>
  <c r="GN83" i="18"/>
  <c r="DT20" i="21"/>
  <c r="CJ16" i="17"/>
  <c r="HX64" i="18"/>
  <c r="DT32" i="20"/>
  <c r="CJ11" i="20"/>
  <c r="HX16" i="18"/>
  <c r="HX26" i="20"/>
  <c r="FD12" i="19"/>
  <c r="GN18" i="21"/>
  <c r="GN88" i="18"/>
  <c r="FD8" i="19"/>
  <c r="FD36" i="18"/>
  <c r="FD32" i="18"/>
  <c r="GN24" i="19"/>
  <c r="FD35" i="19"/>
  <c r="FD24" i="17"/>
  <c r="FD50" i="18"/>
  <c r="FD20" i="21"/>
  <c r="AZ16" i="17"/>
  <c r="FD42" i="18"/>
  <c r="AZ6" i="18"/>
  <c r="AZ7" i="21"/>
  <c r="FD19" i="19"/>
  <c r="CJ9" i="17"/>
  <c r="FD17" i="20"/>
  <c r="HX14" i="21"/>
  <c r="CJ97" i="18"/>
  <c r="HX10" i="19"/>
  <c r="GN8" i="21"/>
  <c r="FD18" i="20"/>
  <c r="AZ28" i="17"/>
  <c r="DT6" i="21"/>
  <c r="HX90" i="18"/>
  <c r="DT16" i="20"/>
  <c r="AZ22" i="17"/>
  <c r="HX20" i="20"/>
  <c r="HX34" i="18"/>
  <c r="HX25" i="17"/>
  <c r="AZ95" i="18"/>
  <c r="HX11" i="18"/>
  <c r="DT16" i="22"/>
  <c r="AZ82" i="18"/>
  <c r="CJ89" i="18"/>
  <c r="DT13" i="19"/>
  <c r="HX38" i="18"/>
  <c r="DT35" i="19"/>
  <c r="AZ11" i="19"/>
  <c r="CJ58" i="18"/>
  <c r="CJ22" i="17"/>
  <c r="FD103" i="18"/>
  <c r="CJ41" i="18"/>
  <c r="AZ8" i="20"/>
  <c r="GN53" i="18"/>
  <c r="HX6" i="22"/>
  <c r="FD24" i="20"/>
  <c r="DT84" i="18"/>
  <c r="FD12" i="18"/>
  <c r="GN101" i="18"/>
  <c r="FD20" i="22"/>
  <c r="FD40" i="18"/>
  <c r="DT26" i="17"/>
  <c r="FD5" i="17"/>
  <c r="GN16" i="20"/>
  <c r="DT11" i="19"/>
  <c r="FD58" i="18"/>
  <c r="GN14" i="17"/>
  <c r="GN7" i="22"/>
  <c r="HX80" i="18"/>
  <c r="AZ62" i="18"/>
  <c r="DT101" i="18"/>
  <c r="CJ83" i="18"/>
  <c r="GN12" i="20"/>
  <c r="CJ67" i="18"/>
  <c r="AZ16" i="21"/>
  <c r="HX7" i="21"/>
  <c r="DT12" i="18"/>
  <c r="FD51" i="18"/>
  <c r="FD11" i="22"/>
  <c r="AZ5" i="20"/>
  <c r="HX29" i="17"/>
  <c r="CJ5" i="18"/>
  <c r="HX103" i="18"/>
  <c r="HX22" i="20"/>
  <c r="FD95" i="18"/>
  <c r="CJ20" i="21"/>
  <c r="AZ25" i="19"/>
  <c r="GN25" i="20"/>
  <c r="DT7" i="21"/>
  <c r="AZ46" i="18"/>
  <c r="GN18" i="22"/>
  <c r="FD96" i="18"/>
  <c r="GN91" i="18"/>
  <c r="AZ94" i="18"/>
  <c r="CJ17" i="19"/>
  <c r="AZ5" i="21"/>
  <c r="DT14" i="19"/>
  <c r="AZ26" i="19"/>
  <c r="AZ37" i="18"/>
  <c r="GN32" i="19"/>
  <c r="GN22" i="19"/>
  <c r="AZ34" i="20"/>
  <c r="CJ32" i="20"/>
  <c r="GN32" i="20"/>
  <c r="HX32" i="20"/>
  <c r="AZ19" i="19"/>
  <c r="GN27" i="18"/>
  <c r="CJ6" i="18"/>
  <c r="AZ29" i="18"/>
  <c r="HX17" i="20"/>
  <c r="GN27" i="19"/>
  <c r="CJ20" i="19"/>
  <c r="CJ20" i="20"/>
  <c r="HX31" i="20"/>
  <c r="DT104" i="18"/>
  <c r="DT28" i="20"/>
  <c r="HX19" i="22"/>
  <c r="FD72" i="18"/>
  <c r="GN48" i="18"/>
  <c r="DT17" i="17"/>
  <c r="CJ19" i="17"/>
  <c r="DT10" i="20"/>
  <c r="CJ24" i="20"/>
  <c r="GN5" i="17"/>
  <c r="FD7" i="21"/>
  <c r="FD69" i="18"/>
  <c r="CJ11" i="18"/>
  <c r="AZ15" i="17"/>
  <c r="DT8" i="17"/>
  <c r="DT19" i="17"/>
  <c r="HX24" i="19"/>
  <c r="AZ60" i="18"/>
  <c r="AZ104" i="18"/>
  <c r="FD28" i="18"/>
  <c r="CJ13" i="18"/>
  <c r="GN16" i="17"/>
  <c r="AZ9" i="17"/>
  <c r="GN21" i="22"/>
  <c r="CJ54" i="18"/>
  <c r="HX20" i="21"/>
  <c r="CJ5" i="17"/>
  <c r="AZ7" i="20"/>
  <c r="FD16" i="18"/>
  <c r="HX26" i="17"/>
  <c r="DT8" i="19"/>
  <c r="FD22" i="21"/>
  <c r="GN12" i="17"/>
  <c r="CJ33" i="19"/>
  <c r="AZ86" i="18"/>
  <c r="CJ25" i="19"/>
  <c r="DT22" i="18"/>
  <c r="CJ12" i="21"/>
  <c r="CJ6" i="19"/>
  <c r="HX9" i="19"/>
  <c r="CJ27" i="18"/>
  <c r="CJ13" i="17"/>
  <c r="CJ13" i="20"/>
  <c r="GN92" i="18"/>
  <c r="FD17" i="17"/>
  <c r="DT81" i="18"/>
  <c r="HX14" i="17"/>
  <c r="AZ5" i="17"/>
  <c r="AZ23" i="17"/>
  <c r="GN86" i="18"/>
  <c r="FD54" i="18"/>
  <c r="DT19" i="22"/>
  <c r="AZ10" i="19"/>
  <c r="AZ36" i="18"/>
  <c r="DT86" i="18"/>
  <c r="FD29" i="18"/>
  <c r="AZ96" i="18"/>
  <c r="HX56" i="18"/>
  <c r="HX15" i="18"/>
  <c r="HX24" i="22"/>
  <c r="DT21" i="18"/>
  <c r="FD7" i="17"/>
  <c r="DT95" i="18"/>
  <c r="CJ24" i="18"/>
  <c r="AZ7" i="18"/>
  <c r="GN5" i="22"/>
  <c r="FD35" i="18"/>
  <c r="CJ10" i="20"/>
  <c r="AZ39" i="18"/>
  <c r="DT21" i="20"/>
  <c r="CJ16" i="21"/>
  <c r="DT67" i="18"/>
  <c r="AZ33" i="20"/>
  <c r="CJ64" i="18"/>
  <c r="FD9" i="19"/>
  <c r="AZ16" i="19"/>
  <c r="GN35" i="19"/>
  <c r="FD94" i="18"/>
  <c r="FD5" i="22"/>
  <c r="AZ26" i="17"/>
  <c r="AZ92" i="18"/>
  <c r="AZ18" i="18"/>
  <c r="HX23" i="22"/>
  <c r="DT47" i="18"/>
  <c r="CJ35" i="18"/>
  <c r="DT30" i="18"/>
  <c r="GN22" i="18"/>
  <c r="CJ30" i="18"/>
  <c r="HX55" i="18"/>
  <c r="AZ27" i="18"/>
  <c r="AZ24" i="17"/>
  <c r="CJ39" i="18"/>
  <c r="DT12" i="21"/>
  <c r="GN19" i="21"/>
  <c r="FD63" i="18"/>
  <c r="GN15" i="20"/>
  <c r="FD20" i="17"/>
  <c r="CJ28" i="19"/>
  <c r="DT54" i="18"/>
  <c r="DT75" i="18"/>
  <c r="DT7" i="17"/>
  <c r="GN10" i="21"/>
  <c r="AZ9" i="18"/>
  <c r="AZ19" i="17"/>
  <c r="FD100" i="18"/>
  <c r="DT98" i="18"/>
  <c r="AZ28" i="18"/>
  <c r="FD81" i="18"/>
  <c r="GN20" i="21"/>
  <c r="CJ31" i="20"/>
  <c r="CJ21" i="20"/>
  <c r="FD12" i="21"/>
  <c r="CJ102" i="18"/>
  <c r="HX20" i="18"/>
  <c r="GN47" i="18"/>
  <c r="CJ91" i="18"/>
  <c r="DT19" i="21"/>
  <c r="AZ9" i="20"/>
  <c r="GN62" i="18"/>
  <c r="CJ8" i="20"/>
  <c r="AZ8" i="21"/>
  <c r="DT30" i="20"/>
  <c r="HX22" i="19"/>
  <c r="CJ36" i="18"/>
  <c r="GN21" i="17"/>
  <c r="CJ33" i="18"/>
  <c r="AZ103" i="18"/>
  <c r="DT65" i="18"/>
  <c r="HX91" i="18"/>
  <c r="AZ17" i="21"/>
  <c r="DT25" i="20"/>
  <c r="GN19" i="22"/>
  <c r="FD24" i="19"/>
  <c r="AZ30" i="19"/>
  <c r="DT16" i="18"/>
  <c r="DT5" i="18"/>
  <c r="GN14" i="18"/>
  <c r="AZ29" i="20"/>
  <c r="DT12" i="20"/>
  <c r="AZ65" i="18"/>
  <c r="FD70" i="18"/>
  <c r="CJ30" i="19"/>
  <c r="HX25" i="20"/>
  <c r="FD12" i="20"/>
  <c r="GN32" i="18"/>
  <c r="HX6" i="20"/>
  <c r="GN46" i="18"/>
  <c r="CJ76" i="18"/>
  <c r="GN7" i="19"/>
  <c r="HX7" i="17"/>
  <c r="CJ35" i="19"/>
  <c r="CJ6" i="17"/>
  <c r="HX79" i="18"/>
  <c r="FD87" i="18"/>
  <c r="AZ88" i="18"/>
  <c r="GN9" i="17"/>
  <c r="DT55" i="18"/>
  <c r="FD24" i="18"/>
  <c r="FD57" i="18"/>
  <c r="AZ22" i="22"/>
  <c r="HX12" i="18"/>
  <c r="HX20" i="19"/>
  <c r="HX10" i="17"/>
  <c r="AZ87" i="18"/>
  <c r="GN6" i="22"/>
  <c r="GN17" i="20"/>
  <c r="FD21" i="19"/>
  <c r="GN34" i="20"/>
  <c r="CJ19" i="18"/>
  <c r="AZ59" i="18"/>
  <c r="AZ50" i="18"/>
  <c r="AZ75" i="18"/>
  <c r="AZ11" i="20"/>
  <c r="AZ35" i="19"/>
  <c r="GN25" i="18"/>
  <c r="CJ37" i="18"/>
  <c r="DT57" i="18"/>
  <c r="GN8" i="19"/>
  <c r="DT13" i="20"/>
  <c r="AZ22" i="18"/>
  <c r="GN13" i="21"/>
  <c r="FD31" i="18"/>
  <c r="AZ32" i="19"/>
  <c r="CJ23" i="20"/>
  <c r="GN59" i="18"/>
  <c r="DT89" i="18"/>
  <c r="HX18" i="17"/>
  <c r="GN57" i="18"/>
  <c r="AZ33" i="19"/>
  <c r="HX88" i="18"/>
  <c r="CJ85" i="18"/>
  <c r="CJ34" i="19"/>
  <c r="CJ17" i="21"/>
  <c r="FD22" i="19"/>
  <c r="CJ19" i="19"/>
  <c r="GN103" i="18"/>
  <c r="AZ74" i="18"/>
  <c r="AZ23" i="20"/>
  <c r="AZ8" i="19"/>
  <c r="FD26" i="17"/>
  <c r="CJ26" i="19"/>
  <c r="FD9" i="18"/>
  <c r="FD66" i="18"/>
  <c r="AZ17" i="22"/>
  <c r="AZ22" i="20"/>
  <c r="HX5" i="20"/>
  <c r="CJ44" i="18"/>
  <c r="FD74" i="18"/>
  <c r="GN5" i="18"/>
  <c r="AZ21" i="22"/>
  <c r="DT10" i="21"/>
  <c r="FD17" i="21"/>
  <c r="GN95" i="18"/>
  <c r="GN97" i="18"/>
  <c r="CJ33" i="20"/>
  <c r="HX7" i="22"/>
  <c r="GN15" i="17"/>
  <c r="AZ7" i="19"/>
  <c r="GN17" i="17"/>
  <c r="AZ27" i="20"/>
  <c r="FD28" i="17"/>
  <c r="DT18" i="18"/>
  <c r="HX13" i="20"/>
  <c r="AZ24" i="18"/>
  <c r="GN27" i="17"/>
  <c r="CJ27" i="19"/>
  <c r="FD14" i="22"/>
  <c r="HX74" i="18"/>
  <c r="AZ83" i="18"/>
  <c r="CJ18" i="19"/>
  <c r="HX24" i="18"/>
  <c r="DT62" i="18"/>
  <c r="GN44" i="18"/>
  <c r="HX15" i="20"/>
  <c r="HX96" i="18"/>
  <c r="AZ6" i="19"/>
  <c r="FD23" i="17"/>
  <c r="AZ9" i="22"/>
  <c r="AZ13" i="22"/>
  <c r="CJ32" i="19"/>
  <c r="FD73" i="18"/>
  <c r="DT9" i="18"/>
  <c r="HX24" i="20"/>
  <c r="DT61" i="18"/>
  <c r="FD25" i="17"/>
  <c r="CJ9" i="19"/>
  <c r="AZ32" i="18"/>
  <c r="HX83" i="18"/>
  <c r="FD29" i="20"/>
  <c r="FD19" i="21"/>
  <c r="GN63" i="18"/>
  <c r="DT16" i="21"/>
  <c r="CJ93" i="18"/>
  <c r="DT31" i="20"/>
  <c r="GN16" i="22"/>
  <c r="DT60" i="18"/>
  <c r="FD6" i="22"/>
  <c r="GN14" i="21"/>
  <c r="AZ14" i="17"/>
  <c r="CJ23" i="17"/>
  <c r="GN29" i="18"/>
  <c r="GN20" i="17"/>
  <c r="AZ6" i="17"/>
  <c r="HX28" i="18"/>
  <c r="CJ26" i="17"/>
  <c r="HX24" i="21"/>
  <c r="HX17" i="21"/>
  <c r="HX26" i="18"/>
  <c r="HX16" i="19"/>
  <c r="DT88" i="18"/>
  <c r="CJ94" i="18"/>
  <c r="DT24" i="19"/>
  <c r="FD99" i="18"/>
  <c r="GN37" i="18"/>
  <c r="DT91" i="18"/>
  <c r="CJ10" i="18"/>
  <c r="CJ53" i="18"/>
  <c r="GN24" i="17"/>
  <c r="AZ12" i="19"/>
  <c r="HX6" i="21"/>
  <c r="FD10" i="17"/>
  <c r="CJ5" i="21"/>
  <c r="HX71" i="18"/>
  <c r="CJ84" i="18"/>
  <c r="GN52" i="18"/>
  <c r="DT14" i="20"/>
  <c r="FD53" i="18"/>
  <c r="FD13" i="17"/>
  <c r="CJ20" i="17"/>
  <c r="FD27" i="19"/>
  <c r="GN15" i="19"/>
  <c r="CJ18" i="21"/>
  <c r="AZ14" i="22"/>
  <c r="HX76" i="18"/>
  <c r="AZ25" i="17"/>
  <c r="DT66" i="18"/>
  <c r="GN21" i="19"/>
  <c r="CJ52" i="18"/>
  <c r="DT99" i="18"/>
  <c r="HX32" i="19"/>
  <c r="AZ20" i="18"/>
  <c r="CJ30" i="20"/>
  <c r="DT11" i="17"/>
  <c r="AZ24" i="19"/>
  <c r="FD9" i="21"/>
  <c r="CJ34" i="20"/>
  <c r="DT15" i="21"/>
  <c r="CJ56" i="18"/>
  <c r="DT34" i="19"/>
  <c r="DT25" i="19"/>
  <c r="DT19" i="19"/>
  <c r="GN13" i="17"/>
  <c r="GN93" i="18"/>
  <c r="CJ15" i="20"/>
  <c r="HX30" i="18"/>
  <c r="AZ12" i="21"/>
  <c r="DT16" i="17"/>
  <c r="FD29" i="19"/>
  <c r="FD13" i="20"/>
  <c r="DT13" i="22"/>
  <c r="HX28" i="19"/>
  <c r="HX51" i="18"/>
  <c r="GN19" i="19"/>
  <c r="GN5" i="20"/>
  <c r="HX19" i="21"/>
  <c r="DT21" i="19"/>
  <c r="AZ11" i="17"/>
  <c r="AZ18" i="19"/>
  <c r="AZ100" i="18"/>
  <c r="DT14" i="21"/>
  <c r="FD6" i="20"/>
  <c r="CJ10" i="17"/>
  <c r="AZ5" i="19"/>
  <c r="AZ20" i="17"/>
  <c r="FD21" i="21"/>
  <c r="HX9" i="17"/>
  <c r="FD16" i="21"/>
  <c r="CJ90" i="18"/>
  <c r="DT83" i="18"/>
  <c r="CJ9" i="18"/>
  <c r="HX95" i="18"/>
  <c r="HX75" i="18"/>
  <c r="DT12" i="19"/>
  <c r="CJ17" i="17"/>
  <c r="GN50" i="18"/>
  <c r="DT52" i="18"/>
  <c r="GN7" i="18"/>
  <c r="FD28" i="20"/>
  <c r="AZ18" i="21"/>
  <c r="AZ28" i="20"/>
  <c r="CJ62" i="18"/>
  <c r="DT39" i="18"/>
  <c r="CJ87" i="18"/>
  <c r="HX94" i="18"/>
  <c r="DT25" i="17"/>
  <c r="GN6" i="21"/>
  <c r="HX10" i="18"/>
  <c r="AZ20" i="20"/>
  <c r="AZ81" i="18"/>
  <c r="AZ22" i="19"/>
  <c r="AZ25" i="20"/>
  <c r="GN23" i="21"/>
  <c r="AZ23" i="21"/>
  <c r="FD101" i="18"/>
  <c r="FD34" i="19"/>
  <c r="AZ14" i="21"/>
  <c r="GN104" i="18"/>
  <c r="DT27" i="18"/>
  <c r="HX8" i="21"/>
  <c r="DT32" i="19"/>
  <c r="AZ22" i="21"/>
  <c r="AZ32" i="20"/>
  <c r="AZ33" i="18"/>
  <c r="AZ101" i="18"/>
  <c r="FD10" i="21"/>
  <c r="CJ79" i="18"/>
  <c r="AZ23" i="22"/>
  <c r="AZ23" i="19"/>
  <c r="HX54" i="18"/>
  <c r="AZ54" i="18"/>
  <c r="AZ5" i="22"/>
  <c r="DT32" i="18"/>
  <c r="GN6" i="17"/>
  <c r="HX49" i="18"/>
  <c r="FD10" i="22"/>
  <c r="CJ11" i="21"/>
  <c r="GN65" i="18"/>
  <c r="CJ29" i="18"/>
  <c r="AZ63" i="18"/>
  <c r="HX35" i="20"/>
  <c r="CJ81" i="18"/>
  <c r="FD34" i="20"/>
  <c r="HX12" i="20"/>
  <c r="GN12" i="22"/>
  <c r="DT103" i="18"/>
  <c r="AZ10" i="22"/>
  <c r="DT41" i="18"/>
  <c r="HX69" i="18"/>
  <c r="HX36" i="18"/>
  <c r="GN17" i="22"/>
  <c r="HX102" i="18"/>
  <c r="AZ84" i="18"/>
  <c r="FD5" i="19"/>
  <c r="DT11" i="20"/>
  <c r="FD37" i="18"/>
  <c r="AZ13" i="19"/>
  <c r="CJ18" i="20"/>
  <c r="DT34" i="20"/>
  <c r="FD6" i="18"/>
  <c r="FD6" i="17"/>
  <c r="FD23" i="21"/>
  <c r="FD14" i="17"/>
  <c r="FD33" i="20"/>
  <c r="GN24" i="21"/>
  <c r="GN26" i="17"/>
  <c r="GN29" i="17"/>
  <c r="AZ14" i="19"/>
  <c r="GN30" i="19"/>
  <c r="GN8" i="17"/>
  <c r="FD26" i="20"/>
  <c r="FD46" i="18"/>
  <c r="DT43" i="18"/>
  <c r="FD22" i="20"/>
  <c r="FD13" i="19"/>
  <c r="DT68" i="18"/>
  <c r="DT5" i="21"/>
  <c r="AZ17" i="18"/>
  <c r="DT27" i="19"/>
  <c r="HX20" i="17"/>
  <c r="HX43" i="18"/>
  <c r="HX47" i="18"/>
  <c r="AZ17" i="20"/>
  <c r="CJ51" i="18"/>
  <c r="DT9" i="20"/>
  <c r="AZ20" i="22"/>
  <c r="CJ18" i="17"/>
  <c r="GN16" i="18"/>
  <c r="HX33" i="19"/>
  <c r="AZ12" i="18"/>
  <c r="FD20" i="18"/>
  <c r="DT34" i="18"/>
  <c r="DT29" i="18"/>
  <c r="FD27" i="17"/>
  <c r="HX10" i="20"/>
  <c r="FD34" i="18"/>
  <c r="AZ18" i="20"/>
  <c r="CJ43" i="18"/>
  <c r="DT7" i="18"/>
  <c r="CJ6" i="21"/>
  <c r="DT17" i="20"/>
  <c r="FD10" i="18"/>
  <c r="HX40" i="18"/>
  <c r="AZ18" i="22"/>
  <c r="GN35" i="20"/>
  <c r="DT20" i="20"/>
  <c r="DT6" i="18"/>
  <c r="DT9" i="22"/>
  <c r="HX17" i="17"/>
  <c r="HX18" i="20"/>
  <c r="HX34" i="19"/>
  <c r="GN68" i="18"/>
  <c r="HX28" i="17"/>
  <c r="AZ11" i="22"/>
  <c r="GN10" i="18"/>
  <c r="GN69" i="18"/>
  <c r="HX45" i="18"/>
  <c r="AZ43" i="18"/>
  <c r="FD5" i="21"/>
  <c r="GN11" i="21"/>
  <c r="FD19" i="18"/>
  <c r="HX22" i="18"/>
  <c r="CJ42" i="18"/>
  <c r="DT23" i="21"/>
  <c r="HX31" i="19"/>
  <c r="FD14" i="21"/>
  <c r="CJ101" i="18"/>
  <c r="CJ22" i="19"/>
  <c r="CJ38" i="18"/>
  <c r="HX8" i="18"/>
  <c r="CJ103" i="18"/>
  <c r="CJ13" i="21"/>
  <c r="HX12" i="19"/>
  <c r="CJ73" i="18"/>
  <c r="FD7" i="19"/>
  <c r="AZ6" i="20"/>
  <c r="CJ12" i="18"/>
  <c r="DT8" i="22"/>
  <c r="DT76" i="18"/>
  <c r="GN15" i="21"/>
  <c r="FD28" i="19"/>
  <c r="GN87" i="18"/>
  <c r="CJ14" i="20"/>
  <c r="AZ6" i="22"/>
  <c r="AZ21" i="19"/>
  <c r="GN40" i="18"/>
  <c r="HX22" i="17"/>
  <c r="DT5" i="17"/>
  <c r="GN94" i="18"/>
  <c r="FD8" i="17"/>
  <c r="DT15" i="17"/>
  <c r="AZ20" i="19"/>
  <c r="FD8" i="20"/>
  <c r="GN23" i="18"/>
  <c r="HX92" i="18"/>
  <c r="AZ102" i="18"/>
  <c r="GN24" i="20"/>
  <c r="CJ16" i="20"/>
  <c r="GN11" i="20"/>
  <c r="HX68" i="18"/>
  <c r="HX9" i="22"/>
  <c r="HX87" i="18"/>
  <c r="CJ21" i="17"/>
  <c r="DT40" i="18"/>
  <c r="DT16" i="19"/>
  <c r="AZ67" i="18"/>
  <c r="FD11" i="18"/>
  <c r="HX18" i="21"/>
  <c r="CJ29" i="17"/>
  <c r="GN42" i="18"/>
  <c r="CJ66" i="18"/>
  <c r="GN67" i="18"/>
  <c r="HX27" i="19"/>
  <c r="FD30" i="18"/>
  <c r="FD18" i="19"/>
  <c r="GN28" i="17"/>
  <c r="GN10" i="19"/>
  <c r="FD21" i="18"/>
  <c r="AZ89" i="18"/>
  <c r="DT94" i="18"/>
  <c r="CJ60" i="18"/>
  <c r="GN27" i="20"/>
  <c r="DT80" i="18"/>
  <c r="CJ18" i="18"/>
  <c r="GN33" i="18"/>
  <c r="GN76" i="18"/>
  <c r="GN43" i="18"/>
  <c r="AZ11" i="18"/>
  <c r="GN12" i="21"/>
  <c r="FD23" i="22"/>
  <c r="DT42" i="18"/>
  <c r="DT5" i="20"/>
  <c r="HX29" i="19"/>
  <c r="DT72" i="18"/>
  <c r="FD23" i="20"/>
  <c r="AZ31" i="18"/>
  <c r="DT102" i="18"/>
  <c r="GN17" i="18"/>
  <c r="GN20" i="20"/>
  <c r="GN66" i="18"/>
  <c r="HX35" i="18"/>
  <c r="GN26" i="18"/>
  <c r="DT20" i="22"/>
  <c r="HX27" i="18"/>
  <c r="HX5" i="19"/>
  <c r="HX48" i="18"/>
  <c r="CJ96" i="18"/>
  <c r="DT26" i="19"/>
  <c r="DT63" i="18"/>
  <c r="CJ7" i="18"/>
  <c r="GN29" i="19"/>
  <c r="GN80" i="18"/>
  <c r="GN34" i="19"/>
  <c r="GN28" i="20"/>
  <c r="FD27" i="18"/>
  <c r="GN96" i="18"/>
  <c r="FD11" i="19"/>
  <c r="DT79" i="18"/>
  <c r="HX81" i="18"/>
  <c r="HX29" i="20"/>
  <c r="GN6" i="18"/>
  <c r="GN11" i="22"/>
  <c r="GN54" i="18"/>
  <c r="GN85" i="18"/>
  <c r="GN61" i="18"/>
  <c r="HX84" i="18"/>
  <c r="HX21" i="22"/>
  <c r="FD19" i="17"/>
  <c r="FD35" i="20"/>
  <c r="GN20" i="22"/>
  <c r="GN24" i="22"/>
  <c r="GN82" i="18"/>
  <c r="GN22" i="22"/>
  <c r="CJ7" i="20"/>
  <c r="HX26" i="19"/>
  <c r="HX7" i="20"/>
  <c r="FD29" i="17"/>
  <c r="FD25" i="18"/>
  <c r="DT33" i="18"/>
  <c r="GN45" i="18"/>
  <c r="GN30" i="20"/>
  <c r="FD14" i="20"/>
  <c r="HX58" i="18"/>
  <c r="AZ79" i="18"/>
  <c r="GN78" i="18"/>
  <c r="CJ49" i="18"/>
  <c r="DT13" i="21"/>
  <c r="DT9" i="21"/>
  <c r="FD16" i="20"/>
  <c r="FD14" i="18"/>
  <c r="AZ42" i="18"/>
  <c r="HX39" i="18"/>
  <c r="DT25" i="18"/>
  <c r="DT11" i="18"/>
  <c r="GN28" i="19"/>
  <c r="AZ97" i="18"/>
  <c r="HX23" i="18"/>
  <c r="AZ13" i="18"/>
  <c r="CJ34" i="18"/>
  <c r="FD56" i="18"/>
  <c r="DT18" i="20"/>
  <c r="FD18" i="17"/>
  <c r="GN11" i="19"/>
  <c r="CJ20" i="18"/>
  <c r="GN49" i="18"/>
  <c r="AZ66" i="18"/>
  <c r="HX42" i="18"/>
  <c r="DT64" i="18"/>
  <c r="AZ31" i="19"/>
  <c r="FD33" i="18"/>
  <c r="HX21" i="21"/>
  <c r="AZ70" i="18"/>
  <c r="GN21" i="21"/>
  <c r="GN7" i="21"/>
  <c r="DT37" i="18"/>
  <c r="DT71" i="18"/>
  <c r="DT96" i="18"/>
  <c r="GN7" i="17"/>
  <c r="GN8" i="22"/>
  <c r="CJ7" i="21"/>
  <c r="HX89" i="18"/>
  <c r="HX73" i="18"/>
  <c r="CJ6" i="20"/>
  <c r="CJ25" i="17"/>
  <c r="DT6" i="19"/>
  <c r="DT22" i="19"/>
  <c r="HX101" i="18"/>
  <c r="DT59" i="18"/>
  <c r="HX22" i="22"/>
  <c r="GN5" i="19"/>
  <c r="AZ34" i="18"/>
  <c r="DT51" i="18"/>
  <c r="GN18" i="18"/>
  <c r="CJ29" i="19"/>
  <c r="CJ28" i="18"/>
  <c r="FD25" i="19"/>
  <c r="FD90" i="18"/>
  <c r="CJ72" i="18"/>
  <c r="FD76" i="18"/>
  <c r="HX52" i="18"/>
  <c r="HX5" i="18"/>
  <c r="CJ28" i="17"/>
  <c r="DT22" i="22"/>
  <c r="GN39" i="18"/>
  <c r="FD5" i="18"/>
  <c r="CJ12" i="20"/>
  <c r="GN72" i="18"/>
  <c r="HX23" i="19"/>
  <c r="HX50" i="18"/>
  <c r="CJ26" i="20"/>
  <c r="FD92" i="18"/>
  <c r="CJ19" i="20"/>
  <c r="CJ35" i="20"/>
  <c r="GN12" i="19"/>
  <c r="DT17" i="22"/>
  <c r="CJ24" i="21"/>
  <c r="CJ13" i="19"/>
  <c r="DT13" i="17"/>
  <c r="GN100" i="18"/>
  <c r="DT17" i="21"/>
  <c r="CJ10" i="19"/>
  <c r="FD8" i="18"/>
  <c r="HX17" i="19"/>
  <c r="GN55" i="18"/>
  <c r="FD7" i="22"/>
  <c r="DT35" i="18"/>
  <c r="HX13" i="18"/>
  <c r="FD33" i="19"/>
  <c r="HX97" i="18"/>
  <c r="HX16" i="22"/>
  <c r="DT7" i="22"/>
  <c r="HX104" i="18"/>
  <c r="DT58" i="18"/>
  <c r="DT8" i="21"/>
  <c r="HX17" i="18"/>
  <c r="GN13" i="20"/>
  <c r="FD17" i="19"/>
  <c r="HX60" i="18"/>
  <c r="AZ78" i="18"/>
  <c r="HX77" i="18"/>
  <c r="FD98" i="18"/>
  <c r="GN25" i="19"/>
  <c r="FD59" i="18"/>
  <c r="FD15" i="18"/>
  <c r="GN19" i="20"/>
  <c r="AZ26" i="18"/>
  <c r="CJ8" i="21"/>
  <c r="DT45" i="18"/>
  <c r="GN9" i="18"/>
  <c r="CJ45" i="18"/>
  <c r="HX82" i="18"/>
  <c r="FD15" i="20"/>
  <c r="HX13" i="17"/>
  <c r="DT29" i="19"/>
  <c r="CJ7" i="19"/>
  <c r="FD13" i="22"/>
  <c r="GN21" i="20"/>
  <c r="FD5" i="20"/>
  <c r="AZ61" i="18"/>
  <c r="AZ76" i="18"/>
  <c r="FD32" i="20"/>
  <c r="DT14" i="22"/>
  <c r="AZ14" i="18"/>
  <c r="DT29" i="20"/>
  <c r="GN12" i="18"/>
  <c r="HX35" i="19"/>
  <c r="CJ22" i="20"/>
  <c r="HX30" i="19"/>
  <c r="FD15" i="22"/>
  <c r="GN6" i="20"/>
  <c r="HX23" i="21"/>
  <c r="DT50" i="18"/>
  <c r="CJ23" i="18"/>
  <c r="HX28" i="20"/>
  <c r="GN29" i="20"/>
  <c r="GN31" i="18"/>
  <c r="FD18" i="18"/>
  <c r="DT24" i="20"/>
  <c r="FD20" i="20"/>
  <c r="DT18" i="22"/>
  <c r="FD32" i="19"/>
  <c r="GN58" i="18"/>
  <c r="AZ10" i="18"/>
  <c r="AZ19" i="20"/>
  <c r="DT17" i="18"/>
  <c r="AZ38" i="18"/>
  <c r="GN30" i="18"/>
  <c r="DT5" i="19"/>
  <c r="HX17" i="22"/>
  <c r="DT73" i="18"/>
  <c r="CJ40" i="18"/>
  <c r="FD62" i="18"/>
  <c r="FD13" i="18"/>
  <c r="AZ27" i="19"/>
  <c r="DT26" i="18"/>
  <c r="CJ61" i="18"/>
  <c r="DT13" i="18"/>
  <c r="GN26" i="20"/>
  <c r="HX12" i="21"/>
  <c r="FD26" i="18"/>
  <c r="CJ26" i="18"/>
  <c r="HX21" i="18"/>
  <c r="AZ35" i="20"/>
  <c r="HX8" i="19"/>
  <c r="HX16" i="17"/>
  <c r="FD9" i="22"/>
  <c r="FD31" i="20"/>
  <c r="HX44" i="18"/>
  <c r="FD15" i="19"/>
  <c r="GN41" i="18"/>
  <c r="AZ49" i="18"/>
  <c r="DT24" i="21"/>
  <c r="HX61" i="18"/>
  <c r="GN11" i="18"/>
  <c r="DT8" i="18"/>
  <c r="HX27" i="17"/>
  <c r="CJ59" i="18"/>
  <c r="FD85" i="18"/>
  <c r="FD16" i="17"/>
  <c r="DT19" i="20"/>
  <c r="FD27" i="20"/>
  <c r="DT11" i="22"/>
  <c r="AZ52" i="18"/>
  <c r="FD7" i="20"/>
  <c r="DT48" i="18"/>
  <c r="GN28" i="18"/>
  <c r="CJ95" i="18"/>
  <c r="GN56" i="18"/>
  <c r="DT6" i="20"/>
  <c r="HX62" i="18"/>
  <c r="HX6" i="19"/>
  <c r="GN9" i="22"/>
  <c r="FD17" i="22"/>
  <c r="HX8" i="22"/>
  <c r="AZ21" i="21"/>
  <c r="DT38" i="18"/>
  <c r="FD77" i="18"/>
  <c r="HX20" i="22"/>
  <c r="HX34" i="20"/>
  <c r="GN98" i="18"/>
  <c r="DT70" i="18"/>
  <c r="HX7" i="19"/>
  <c r="AZ13" i="20"/>
  <c r="HX13" i="21"/>
  <c r="AZ7" i="22"/>
  <c r="AZ90" i="18"/>
  <c r="CJ21" i="19"/>
  <c r="GN13" i="18"/>
  <c r="GN16" i="21"/>
  <c r="DT29" i="17"/>
  <c r="CJ22" i="21"/>
  <c r="GN7" i="20"/>
  <c r="FD19" i="20"/>
  <c r="HX15" i="21"/>
  <c r="DT10" i="18"/>
  <c r="AZ19" i="21"/>
  <c r="GN90" i="18"/>
  <c r="FD102" i="18"/>
  <c r="GN10" i="17"/>
  <c r="HX11" i="17"/>
  <c r="AZ15" i="22"/>
  <c r="HX6" i="17"/>
  <c r="HX31" i="18"/>
  <c r="FD31" i="19"/>
  <c r="FD88" i="18"/>
  <c r="FD18" i="21"/>
  <c r="CJ23" i="19"/>
  <c r="GN75" i="18"/>
  <c r="HX32" i="18"/>
  <c r="FD104" i="18"/>
  <c r="HX12" i="22"/>
  <c r="DT20" i="18"/>
  <c r="HX11" i="22"/>
  <c r="DT77" i="18"/>
  <c r="AZ68" i="18"/>
  <c r="HX16" i="20"/>
  <c r="FD10" i="20"/>
  <c r="FD39" i="18"/>
  <c r="HX29" i="18"/>
  <c r="HX5" i="17"/>
  <c r="FD68" i="18"/>
  <c r="CJ16" i="18"/>
  <c r="GN17" i="21"/>
  <c r="CJ70" i="18"/>
  <c r="HX14" i="18"/>
  <c r="HX98" i="18"/>
  <c r="HX6" i="18"/>
  <c r="FD48" i="18"/>
  <c r="FD60" i="18"/>
  <c r="DT18" i="17"/>
  <c r="HX21" i="20"/>
  <c r="FD8" i="21"/>
  <c r="CJ17" i="20"/>
  <c r="FD64" i="18"/>
  <c r="HX5" i="22"/>
  <c r="GN22" i="20"/>
  <c r="HX30" i="20"/>
  <c r="FD22" i="22"/>
  <c r="CJ69" i="18"/>
  <c r="AZ10" i="21"/>
  <c r="CJ24" i="17"/>
  <c r="HX23" i="20"/>
  <c r="AZ19" i="18"/>
  <c r="CJ32" i="18"/>
  <c r="AZ9" i="19"/>
  <c r="GN23" i="22"/>
  <c r="GN11" i="17"/>
  <c r="DT27" i="20"/>
  <c r="FD44" i="18"/>
  <c r="DT21" i="21"/>
  <c r="GN18" i="19"/>
  <c r="CJ88" i="18"/>
  <c r="FD6" i="19"/>
  <c r="HX100" i="18"/>
  <c r="AZ15" i="21"/>
  <c r="AZ45" i="18"/>
  <c r="DT12" i="22"/>
  <c r="AZ51" i="18"/>
  <c r="GN81" i="18"/>
  <c r="AZ47" i="18"/>
  <c r="HX19" i="19"/>
  <c r="HX93" i="18"/>
  <c r="FD93" i="18"/>
  <c r="FD30" i="20"/>
  <c r="GN10" i="22"/>
  <c r="DT33" i="20"/>
  <c r="HX25" i="18"/>
  <c r="GN23" i="19"/>
  <c r="GN34" i="18"/>
  <c r="FD75" i="18"/>
  <c r="CJ5" i="20"/>
  <c r="HX24" i="17"/>
  <c r="GN19" i="18"/>
  <c r="DT15" i="20"/>
  <c r="FD84" i="18"/>
  <c r="CJ8" i="19"/>
  <c r="AZ64" i="18"/>
  <c r="AZ13" i="21"/>
  <c r="GN38" i="18"/>
  <c r="FD45" i="18"/>
  <c r="HX13" i="22"/>
  <c r="HX19" i="18"/>
  <c r="HX33" i="20"/>
  <c r="DT22" i="21"/>
  <c r="AZ23" i="18"/>
  <c r="AZ29" i="19"/>
  <c r="HX67" i="18"/>
  <c r="FD65" i="18"/>
  <c r="GN33" i="20"/>
  <c r="GN25" i="17"/>
  <c r="FD86" i="18"/>
  <c r="AZ73" i="18"/>
  <c r="AZ24" i="20"/>
  <c r="GN77" i="18"/>
  <c r="HX63" i="18"/>
  <c r="AZ9" i="21"/>
  <c r="GN35" i="18"/>
  <c r="GN16" i="19"/>
  <c r="HX15" i="17"/>
  <c r="CJ29" i="20"/>
  <c r="HX18" i="18"/>
  <c r="DT31" i="19"/>
  <c r="FD80" i="18"/>
  <c r="GN84" i="18"/>
  <c r="AZ12" i="22"/>
  <c r="DT28" i="18"/>
  <c r="DT22" i="20"/>
  <c r="GN21" i="18"/>
  <c r="DT36" i="18"/>
  <c r="CJ9" i="20"/>
  <c r="DT90" i="18"/>
  <c r="FD16" i="22"/>
  <c r="AZ53" i="18"/>
  <c r="GN14" i="20"/>
  <c r="CJ15" i="21"/>
  <c r="DT46" i="18"/>
  <c r="HX8" i="17"/>
  <c r="AZ8" i="22"/>
  <c r="FD79" i="18"/>
  <c r="HX37" i="18"/>
  <c r="GN74" i="18"/>
  <c r="DT92" i="18"/>
  <c r="HX14" i="19"/>
  <c r="CJ25" i="20"/>
  <c r="DT85" i="18"/>
  <c r="FD9" i="20"/>
  <c r="DT53" i="18"/>
  <c r="HX59" i="18"/>
  <c r="GN13" i="22"/>
  <c r="FD21" i="22"/>
  <c r="DT28" i="17"/>
  <c r="CJ82" i="18"/>
  <c r="CJ47" i="18"/>
  <c r="HX85" i="18"/>
  <c r="DT44" i="18"/>
  <c r="GN89" i="18"/>
  <c r="GN8" i="20"/>
  <c r="HX19" i="17"/>
  <c r="FD78" i="18"/>
  <c r="DT18" i="19"/>
  <c r="FD8" i="22"/>
  <c r="HX15" i="22"/>
  <c r="HX46" i="18"/>
  <c r="CJ25" i="18"/>
  <c r="HX25" i="19"/>
  <c r="HX65" i="18"/>
  <c r="FD7" i="18"/>
  <c r="FD18" i="22"/>
  <c r="HX70" i="18"/>
  <c r="FD91" i="18"/>
  <c r="GN99" i="18"/>
  <c r="FD15" i="21"/>
  <c r="DT19" i="18"/>
  <c r="DT15" i="18"/>
  <c r="GN18" i="20"/>
  <c r="HX78" i="18"/>
  <c r="FD41" i="18"/>
  <c r="AZ71" i="18"/>
  <c r="HX7" i="18"/>
  <c r="CJ12" i="19"/>
  <c r="HX11" i="19"/>
  <c r="HX9" i="18"/>
  <c r="GN60" i="18"/>
  <c r="DT87" i="18"/>
  <c r="HX23" i="17"/>
  <c r="FD67"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<sst xmlns="http://schemas.openxmlformats.org/spreadsheetml/2006/main" count="4027" uniqueCount="457">
  <si>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</si>
  <si>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</si>
  <si>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</si>
  <si>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</si>
  <si>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</si>
  <si>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</si>
  <si>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</si>
  <si>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</si>
  <si>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</si>
  <si>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</si>
  <si>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</si>
  <si>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</si>
  <si>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</si>
  <si>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</si>
  <si>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</si>
  <si>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</si>
  <si>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</si>
  <si>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</si>
  <si>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</si>
  <si>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</si>
  <si>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</si>
  <si>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</si>
  <si>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</si>
  <si>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</si>
  <si>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</si>
  <si>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</si>
  <si>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</si>
  <si>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</si>
  <si>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</si>
  <si>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</si>
  <si>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</si>
  <si>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</si>
  <si>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</si>
  <si>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</si>
  <si>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</si>
  <si>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</si>
  <si>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</si>
  <si>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</si>
  <si>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</si>
  <si>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</si>
  <si>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</si>
  <si>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</si>
  <si>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</si>
  <si>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</si>
  <si>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</si>
  <si>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</si>
  <si>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</si>
  <si>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</si>
  <si>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</si>
  <si>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</si>
  <si>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</si>
  <si>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</si>
  <si>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</si>
  <si>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</si>
  <si>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</si>
  <si>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</si>
  <si>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</si>
  <si>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</si>
  <si>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</si>
  <si>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</si>
  <si>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</si>
  <si>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</si>
  <si>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</si>
  <si>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</si>
  <si>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</si>
  <si>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</si>
  <si>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</si>
  <si>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</si>
  <si>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</si>
  <si>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</si>
  <si>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</si>
  <si>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</si>
  <si>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</si>
  <si>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</si>
  <si>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</si>
  <si>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</si>
  <si>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</si>
  <si>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</si>
  <si>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</si>
  <si>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</si>
  <si>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</si>
  <si>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</si>
  <si>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</si>
  <si>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</si>
  <si>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</si>
  <si>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</si>
  <si>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</si>
  <si>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</si>
  <si>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</si>
  <si>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</si>
  <si>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</si>
  <si>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</si>
  <si>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</si>
  <si>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</si>
  <si>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</si>
  <si>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</si>
  <si>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</si>
  <si>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</si>
  <si>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</si>
  <si>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</si>
  <si>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</si>
  <si>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</si>
  <si>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</si>
  <si>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</si>
  <si>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</si>
  <si>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</si>
  <si>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</si>
  <si>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</si>
  <si>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</si>
  <si>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</si>
  <si>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</si>
  <si>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</si>
  <si>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</si>
  <si>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</si>
  <si>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</si>
  <si>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</si>
  <si>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</si>
  <si>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</si>
  <si>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</si>
  <si>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</si>
  <si>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</si>
  <si>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</si>
  <si>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</si>
  <si>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</si>
  <si>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</si>
  <si>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</si>
  <si>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</si>
  <si>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</si>
  <si>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</si>
  <si>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</si>
  <si>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</si>
  <si>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</si>
  <si>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</si>
  <si>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</si>
  <si>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</si>
  <si>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</si>
  <si>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</si>
  <si>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</si>
  <si>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</si>
  <si>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</si>
  <si>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</si>
  <si>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</si>
  <si>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</si>
  <si>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</si>
  <si>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</si>
  <si>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</si>
  <si>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</si>
  <si>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</si>
  <si>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</si>
  <si>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</si>
  <si>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</si>
  <si>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</si>
  <si>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</si>
  <si>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</si>
  <si>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</si>
  <si>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</si>
  <si>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</si>
  <si>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</si>
  <si>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</si>
  <si>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</si>
  <si>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</si>
  <si>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</si>
  <si>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</si>
  <si>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</si>
  <si>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</si>
  <si>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</si>
  <si>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</si>
  <si>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</si>
  <si>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</si>
  <si>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</si>
  <si>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</si>
  <si>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</si>
  <si>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</si>
  <si>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</si>
  <si>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</si>
  <si>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</si>
  <si>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</si>
  <si>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</si>
  <si>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</si>
  <si>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</si>
  <si>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</si>
  <si>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</si>
  <si>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</si>
  <si>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</si>
  <si>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</si>
  <si>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</si>
  <si>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</si>
  <si>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</si>
  <si>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</si>
  <si>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</si>
  <si>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</si>
  <si>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</si>
  <si>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</si>
  <si>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</si>
  <si>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</si>
  <si>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</si>
  <si>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</si>
  <si>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</si>
  <si>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</si>
  <si>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</si>
  <si>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</si>
  <si>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</si>
  <si>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</si>
  <si>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</si>
  <si>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</si>
  <si>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</si>
  <si>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</si>
  <si>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PAUSE</t>
  </si>
  <si>
    <t>CYCLE COMPLETE</t>
  </si>
  <si>
    <t>FILLING FEED TANK TO SET POINT LEVEL</t>
  </si>
  <si>
    <t>STARTING PUMPS</t>
  </si>
  <si>
    <t>RINSING STAGES</t>
  </si>
  <si>
    <t>ADDING CHEMICALS</t>
  </si>
  <si>
    <t>PUMPING DOWN FEED TANK</t>
  </si>
  <si>
    <t>DRAINING FEED TANK</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</si>
  <si>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</si>
  <si>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</si>
  <si>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</si>
  <si>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</si>
  <si>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</si>
  <si>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</si>
  <si>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</si>
  <si>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</si>
  <si>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</si>
  <si>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</si>
  <si>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</si>
  <si>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</si>
  <si>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</si>
  <si>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</si>
  <si>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</si>
  <si>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</si>
  <si>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</si>
  <si>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</si>
  <si>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</si>
  <si>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</si>
  <si>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</si>
  <si>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</si>
  <si>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</si>
  <si>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</si>
  <si>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</si>
  <si>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</si>
  <si>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</si>
  <si>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</si>
  <si>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</si>
  <si>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</si>
  <si>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</si>
  <si>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</si>
  <si>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</si>
  <si>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</si>
  <si>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</si>
  <si>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</si>
  <si>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</si>
  <si>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</si>
  <si>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</si>
  <si>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</si>
  <si>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</si>
  <si>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</si>
  <si>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</si>
  <si>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</si>
  <si>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</si>
  <si>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</si>
  <si>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</si>
  <si>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</si>
  <si>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</si>
  <si>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</si>
  <si>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</si>
  <si>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</si>
  <si>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</si>
  <si>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</si>
  <si>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</si>
  <si>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</si>
  <si>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</si>
  <si>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</si>
  <si>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</si>
  <si>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</si>
  <si>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</si>
  <si>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</si>
  <si>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</si>
  <si>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</si>
  <si>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</si>
  <si>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</si>
  <si>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</si>
  <si>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</si>
  <si>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</si>
  <si>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</si>
  <si>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</si>
  <si>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</si>
  <si>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</si>
  <si>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</si>
  <si>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</si>
  <si>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</si>
  <si>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</si>
  <si>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</si>
  <si>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</si>
  <si>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</si>
  <si>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</si>
  <si>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</si>
  <si>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</si>
  <si>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</si>
  <si>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</si>
  <si>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</si>
  <si>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</si>
  <si>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</si>
  <si>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</si>
  <si>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</si>
  <si>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</si>
  <si>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</si>
  <si>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</si>
  <si>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</si>
  <si>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</si>
  <si>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</si>
  <si>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</si>
  <si>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</si>
  <si>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</si>
  <si>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</si>
  <si>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</si>
  <si>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</si>
  <si>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</si>
  <si>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</si>
  <si>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</si>
  <si>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</si>
  <si>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</si>
  <si>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</si>
  <si>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</si>
  <si>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</si>
  <si>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</si>
  <si>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</si>
  <si>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</si>
  <si>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</si>
  <si>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</si>
  <si>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</si>
  <si>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</si>
  <si>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</si>
  <si>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</si>
  <si>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</si>
  <si>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</si>
  <si>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</si>
  <si>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</si>
  <si>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</si>
  <si>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</si>
  <si>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</si>
  <si>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</si>
  <si>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</si>
  <si>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</si>
  <si>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</si>
  <si>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</si>
  <si>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</si>
  <si>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</si>
  <si>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</si>
  <si>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</si>
  <si>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</si>
  <si>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</si>
  <si>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</si>
  <si>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</si>
  <si>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</si>
  <si>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</si>
  <si>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</si>
  <si>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</si>
  <si>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</si>
  <si>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</si>
  <si>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</si>
  <si>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</si>
  <si>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</si>
  <si>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</si>
  <si>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</si>
  <si>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</si>
  <si>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</si>
  <si>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</si>
  <si>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</si>
  <si>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</si>
  <si>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</si>
  <si>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</si>
  <si>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</si>
  <si>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</si>
  <si>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</si>
  <si>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</si>
  <si>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</si>
  <si>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</si>
  <si>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</si>
  <si>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</si>
  <si>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</si>
  <si>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</si>
  <si>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</si>
  <si>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</si>
  <si>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</si>
  <si>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</si>
  <si>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</si>
  <si>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</si>
  <si>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</si>
  <si>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</si>
  <si>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</si>
  <si>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</si>
  <si>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</si>
  <si>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</si>
  <si>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</si>
  <si>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</si>
  <si>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</si>
  <si>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</si>
  <si>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</si>
  <si>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</si>
  <si>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</si>
  <si>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</si>
  <si>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</si>
  <si>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</si>
  <si>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Upload / Download Individual or a group of sheets</t>
  </si>
  <si>
    <t>Sheet List: Separated by a comma</t>
  </si>
  <si>
    <t>PINCHART-PROC, PINCHART-CIP</t>
  </si>
  <si>
    <t>PC5 Sheet List: Separated by a comma</t>
  </si>
  <si>
    <t>C:\Program Files (x86)\Python39-32\python.exe</t>
  </si>
  <si>
    <t>C:\CCS\MTPyPinchart\main.py</t>
  </si>
  <si>
    <t>IP Address</t>
  </si>
  <si>
    <t>Slot</t>
  </si>
  <si>
    <t>192.168.59.211</t>
  </si>
  <si>
    <t>Python Path</t>
  </si>
  <si>
    <t>Acknowledge pH Correct?</t>
  </si>
  <si>
    <t>CIP RECIPE 4 (WASH 4)</t>
  </si>
  <si>
    <t>CIP RECIPE 3 (WASH 3)</t>
  </si>
  <si>
    <t>CIP RECIPE 2 (WASH 2)</t>
  </si>
  <si>
    <t>CIP RECIPE 1 (WASH 1)</t>
  </si>
  <si>
    <t>RECIPE 14 (SOAK BOOST)</t>
  </si>
  <si>
    <t>RECIPE 8 (ACID BOOST)</t>
  </si>
  <si>
    <t>RECIPE 7 (ENZYME BOOST)</t>
  </si>
  <si>
    <t>RECIPE 6 (SURFACTANT BOOST)</t>
  </si>
  <si>
    <t>RECIPE 5 (CAUSTIC BOOST BOOST)</t>
  </si>
  <si>
    <t>CIP RECIPE 9 (SHORT CIP WASH)</t>
  </si>
  <si>
    <t>RECIPE 10 (SANITIZE WASH)</t>
  </si>
  <si>
    <t>RECIPE 11 (SANITIZE BOOST)</t>
  </si>
  <si>
    <t>RECIPE 12 ( ACID SOAK WASH)</t>
  </si>
  <si>
    <t>RECIPE 13 ( ENZY,ME SOAK WASH)</t>
  </si>
  <si>
    <t>HEATING TO TEMPERATURE (WASH 1)</t>
  </si>
  <si>
    <t>WASH 1</t>
  </si>
  <si>
    <t>HEATING TO TEMPERATURE (WASH 2)</t>
  </si>
  <si>
    <t>WASH 2</t>
  </si>
  <si>
    <t>HEATING TO TEMPERATURE (WASH 3)</t>
  </si>
  <si>
    <t>WASH 3</t>
  </si>
  <si>
    <t>HEATING TO TEMPERATURE (WASH 4)</t>
  </si>
  <si>
    <t>WASH 4</t>
  </si>
  <si>
    <t>PREPARING FOR FLUX CHECK</t>
  </si>
  <si>
    <t>FLUX CHECK</t>
  </si>
  <si>
    <t>RECORD FLUX CHECK  - HOLD FOR ACKNOWLEDGE</t>
  </si>
  <si>
    <t>EXTRA WASH ?  YES / NO 40</t>
  </si>
  <si>
    <t>PUMP DOWN FEED TANK? YES / NO 62</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</si>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</sst>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8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29" xfId="0" applyBorder="1"/>
    <xf numFmtId="0" fontId="0" fillId="0" borderId="27" xfId="0" applyBorder="1"/>
    <xf numFmtId="0" fontId="0" fillId="0" borderId="28" xfId="0" applyBorder="1"/>
    <xf numFmtId="0" fontId="4" fillId="0" borderId="29" xfId="0" applyFont="1"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11" xfId="0" applyBorder="1" applyAlignment="1">
      <alignment wrapText="1"/>
    </xf>
    <xf numFmtId="0" fontId="0" fillId="0" borderId="11" xfId="0" applyBorder="1"/>
    <xf numFmtId="0" fontId="0" fillId="0" borderId="30" xfId="0" applyBorder="1" applyAlignment="1">
      <alignment wrapText="1"/>
    </xf>
    <xf numFmtId="0" fontId="0" fillId="0" borderId="29" xfId="0" applyBorder="1" applyAlignment="1">
      <alignment wrapText="1"/>
    </xf>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16" xfId="0" applyBorder="1"/>
    <xf numFmtId="0" fontId="0" fillId="0" borderId="31" xfId="0" applyBorder="1" applyAlignment="1" applyProtection="1">
      <alignment horizontal="center" textRotation="90"/>
      <protection locked="0"/>
    </xf>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12"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tabSelected="1" zoomScale="85" zoomScaleNormal="85" workbookViewId="0">
      <selection activeCell="C19" sqref="C19"/>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140"/>
      <c r="B1" s="140"/>
    </row>
    <row r="2" spans="1:18" ht="15.75" customHeight="1" thickBot="1" x14ac:dyDescent="0.3">
      <c r="B2" t="s">
        <v>0</v>
      </c>
    </row>
    <row r="3" spans="1:18" ht="14.25" customHeight="1" thickBot="1" x14ac:dyDescent="0.3">
      <c r="B3" s="146" t="s">
        <v>1</v>
      </c>
      <c r="C3" s="147"/>
      <c r="D3" s="147"/>
      <c r="E3" s="147"/>
      <c r="F3" s="147"/>
      <c r="G3" s="147"/>
      <c r="H3" s="147"/>
      <c r="I3" s="147"/>
      <c r="J3" s="147"/>
      <c r="K3" s="148"/>
      <c r="L3" t="s">
        <v>2</v>
      </c>
    </row>
    <row r="4" spans="1:18" ht="14.25" customHeight="1" thickBot="1" x14ac:dyDescent="0.3">
      <c r="B4" s="143"/>
      <c r="C4" s="142"/>
      <c r="D4" s="142"/>
      <c r="E4" s="142"/>
      <c r="F4" s="142"/>
      <c r="G4" s="142"/>
      <c r="H4" s="142"/>
      <c r="I4" s="142"/>
      <c r="J4" s="142"/>
      <c r="K4" s="149"/>
      <c r="L4">
        <v>1</v>
      </c>
      <c r="M4" t="s">
        <v>3</v>
      </c>
    </row>
    <row r="5" spans="1:18" ht="14.25" customHeight="1" thickBot="1" x14ac:dyDescent="0.3">
      <c r="B5" s="143"/>
      <c r="C5" s="142"/>
      <c r="D5" s="142"/>
      <c r="E5" s="142"/>
      <c r="F5" s="142"/>
      <c r="G5" s="142"/>
      <c r="H5" s="142"/>
      <c r="I5" s="142"/>
      <c r="J5" s="142"/>
      <c r="K5" s="149"/>
      <c r="L5">
        <v>2</v>
      </c>
      <c r="M5" t="s">
        <v>4</v>
      </c>
    </row>
    <row r="6" spans="1:18" ht="14.25" customHeight="1" thickBot="1" x14ac:dyDescent="0.3">
      <c r="B6" s="144"/>
      <c r="C6" s="145"/>
      <c r="D6" s="145"/>
      <c r="E6" s="145"/>
      <c r="F6" s="145"/>
      <c r="G6" s="145"/>
      <c r="H6" s="145"/>
      <c r="I6" s="145"/>
      <c r="J6" s="145"/>
      <c r="K6" s="150"/>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410</v>
      </c>
      <c r="C9" s="105" t="s">
        <v>412</v>
      </c>
      <c r="D9" s="29" t="s">
        <v>7</v>
      </c>
      <c r="E9" s="29"/>
      <c r="F9" s="29"/>
      <c r="G9" s="29"/>
      <c r="H9" s="29"/>
      <c r="I9" s="29"/>
      <c r="J9" s="29"/>
      <c r="K9" s="30"/>
      <c r="M9" s="156" t="s">
        <v>404</v>
      </c>
      <c r="N9" s="160"/>
      <c r="O9" s="160"/>
      <c r="P9" s="160"/>
      <c r="Q9" s="160"/>
      <c r="R9" s="161"/>
    </row>
    <row r="10" spans="1:18" s="102" customFormat="1" x14ac:dyDescent="0.25">
      <c r="B10" s="103" t="s">
        <v>411</v>
      </c>
      <c r="C10" s="106">
        <v>0</v>
      </c>
      <c r="D10" s="107" t="s">
        <v>7</v>
      </c>
      <c r="E10" s="86"/>
      <c r="F10" s="86"/>
      <c r="G10" s="86"/>
      <c r="H10" s="86"/>
      <c r="I10" s="86"/>
      <c r="J10" s="86"/>
      <c r="K10" s="104"/>
      <c r="M10" s="157"/>
      <c r="N10" s="158"/>
      <c r="O10" s="158"/>
      <c r="P10" s="158"/>
      <c r="Q10" s="158"/>
      <c r="R10" s="159"/>
    </row>
    <row r="11" spans="1:18" x14ac:dyDescent="0.25">
      <c r="B11" s="26" t="s">
        <v>413</v>
      </c>
      <c r="C11" t="s">
        <v>408</v>
      </c>
      <c r="D11" t="s">
        <v>7</v>
      </c>
      <c r="K11" s="31"/>
      <c r="M11" s="157"/>
      <c r="N11" s="158" t="s">
        <v>405</v>
      </c>
      <c r="O11" s="158"/>
      <c r="P11" s="158"/>
      <c r="Q11" s="158"/>
      <c r="R11" s="159"/>
    </row>
    <row r="12" spans="1:18" x14ac:dyDescent="0.25">
      <c r="B12" s="26" t="s">
        <v>8</v>
      </c>
      <c r="C12" t="s">
        <v>409</v>
      </c>
      <c r="D12" t="s">
        <v>7</v>
      </c>
      <c r="K12" s="31"/>
      <c r="M12" s="91"/>
      <c r="N12" s="152" t="s">
        <v>406</v>
      </c>
      <c r="O12" s="152"/>
      <c r="P12" s="152"/>
      <c r="Q12" s="152"/>
      <c r="R12" s="153"/>
    </row>
    <row r="13" spans="1:18" ht="15.75" customHeight="1" thickBot="1" x14ac:dyDescent="0.3">
      <c r="B13" s="141" t="s">
        <v>9</v>
      </c>
      <c r="C13" s="142"/>
      <c r="D13" s="142"/>
      <c r="E13" s="142"/>
      <c r="F13" s="142"/>
      <c r="G13" s="142"/>
      <c r="H13" s="142"/>
      <c r="I13" s="151"/>
      <c r="J13" s="142"/>
      <c r="K13" s="149"/>
      <c r="M13" s="91"/>
      <c r="N13" s="152"/>
      <c r="O13" s="152"/>
      <c r="P13" s="152"/>
      <c r="Q13" s="152"/>
      <c r="R13" s="153"/>
    </row>
    <row r="14" spans="1:18" x14ac:dyDescent="0.25">
      <c r="B14" s="143"/>
      <c r="C14" s="142"/>
      <c r="D14" s="142"/>
      <c r="E14" s="142"/>
      <c r="F14" s="142"/>
      <c r="G14" s="142"/>
      <c r="H14" s="142"/>
      <c r="I14" s="142"/>
      <c r="J14" s="142"/>
      <c r="K14" s="149"/>
      <c r="M14" s="91"/>
      <c r="N14" s="152"/>
      <c r="O14" s="152"/>
      <c r="P14" s="152"/>
      <c r="Q14" s="152"/>
      <c r="R14" s="153"/>
    </row>
    <row r="15" spans="1:18" x14ac:dyDescent="0.25">
      <c r="B15" s="143"/>
      <c r="C15" s="142"/>
      <c r="D15" s="142"/>
      <c r="E15" s="142"/>
      <c r="F15" s="142"/>
      <c r="G15" s="142"/>
      <c r="H15" s="142"/>
      <c r="I15" s="142"/>
      <c r="J15" s="142"/>
      <c r="K15" s="149"/>
      <c r="M15" s="91"/>
      <c r="N15" s="152"/>
      <c r="O15" s="152"/>
      <c r="P15" s="152"/>
      <c r="Q15" s="152"/>
      <c r="R15" s="153"/>
    </row>
    <row r="16" spans="1:18" x14ac:dyDescent="0.25">
      <c r="B16" s="143"/>
      <c r="C16" s="142"/>
      <c r="D16" s="142"/>
      <c r="E16" s="142"/>
      <c r="F16" s="142"/>
      <c r="G16" s="142"/>
      <c r="H16" s="142"/>
      <c r="I16" s="142"/>
      <c r="J16" s="142"/>
      <c r="K16" s="149"/>
      <c r="M16" s="91"/>
      <c r="N16" s="152"/>
      <c r="O16" s="152"/>
      <c r="P16" s="152"/>
      <c r="Q16" s="152"/>
      <c r="R16" s="153"/>
    </row>
    <row r="17" spans="2:18" x14ac:dyDescent="0.25">
      <c r="B17" s="143"/>
      <c r="C17" s="142"/>
      <c r="D17" s="142"/>
      <c r="E17" s="142"/>
      <c r="F17" s="142"/>
      <c r="G17" s="142"/>
      <c r="H17" s="142"/>
      <c r="I17" s="142"/>
      <c r="J17" s="142"/>
      <c r="K17" s="149"/>
      <c r="M17" s="91"/>
      <c r="N17" s="152"/>
      <c r="O17" s="152"/>
      <c r="P17" s="152"/>
      <c r="Q17" s="152"/>
      <c r="R17" s="153"/>
    </row>
    <row r="18" spans="2:18" ht="15.75" customHeight="1" thickBot="1" x14ac:dyDescent="0.3">
      <c r="B18" s="144"/>
      <c r="C18" s="145"/>
      <c r="D18" s="145"/>
      <c r="E18" s="145"/>
      <c r="F18" s="145"/>
      <c r="G18" s="145"/>
      <c r="H18" s="145"/>
      <c r="I18" s="145"/>
      <c r="J18" s="145"/>
      <c r="K18" s="150"/>
      <c r="M18" s="92"/>
      <c r="N18" s="154"/>
      <c r="O18" s="154"/>
      <c r="P18" s="154"/>
      <c r="Q18" s="154"/>
      <c r="R18" s="155"/>
    </row>
    <row r="20" spans="2:18" ht="15.75" customHeight="1" thickBot="1" x14ac:dyDescent="0.3">
      <c r="B20" t="s">
        <v>10</v>
      </c>
    </row>
    <row r="21" spans="2:18" ht="15" customHeight="1" x14ac:dyDescent="0.25">
      <c r="B21" s="11" t="s">
        <v>11</v>
      </c>
      <c r="C21" s="93" t="s">
        <v>12</v>
      </c>
      <c r="D21" s="93" t="s">
        <v>7</v>
      </c>
      <c r="E21" s="93"/>
      <c r="F21" s="93"/>
      <c r="G21" s="93"/>
      <c r="H21" s="93"/>
      <c r="I21" s="93"/>
      <c r="J21" s="93"/>
      <c r="K21" s="94"/>
      <c r="M21" s="156" t="s">
        <v>404</v>
      </c>
      <c r="N21" s="160"/>
      <c r="O21" s="160"/>
      <c r="P21" s="160"/>
      <c r="Q21" s="160"/>
      <c r="R21" s="161"/>
    </row>
    <row r="22" spans="2:18" ht="15" customHeight="1" x14ac:dyDescent="0.25">
      <c r="B22" s="101" t="s">
        <v>23</v>
      </c>
      <c r="C22" s="100"/>
      <c r="D22" s="100"/>
      <c r="E22" s="100"/>
      <c r="F22" s="100"/>
      <c r="G22" s="100"/>
      <c r="H22" s="100"/>
      <c r="I22" s="100"/>
      <c r="J22" s="100"/>
      <c r="K22" s="99"/>
      <c r="M22" s="157"/>
      <c r="N22" s="158" t="s">
        <v>407</v>
      </c>
      <c r="O22" s="158"/>
      <c r="P22" s="158"/>
      <c r="Q22" s="158"/>
      <c r="R22" s="159"/>
    </row>
    <row r="23" spans="2:18" x14ac:dyDescent="0.25">
      <c r="B23" s="95"/>
      <c r="C23" s="100"/>
      <c r="D23" s="100"/>
      <c r="E23" s="100"/>
      <c r="F23" s="100"/>
      <c r="G23" s="100"/>
      <c r="H23" s="100"/>
      <c r="I23" s="100"/>
      <c r="J23" s="100"/>
      <c r="K23" s="99"/>
      <c r="M23" s="91"/>
      <c r="N23" s="152"/>
      <c r="O23" s="152"/>
      <c r="P23" s="152"/>
      <c r="Q23" s="152"/>
      <c r="R23" s="153"/>
    </row>
    <row r="24" spans="2:18" x14ac:dyDescent="0.25">
      <c r="B24" s="95"/>
      <c r="C24" s="100"/>
      <c r="D24" s="100"/>
      <c r="E24" s="100"/>
      <c r="F24" s="100"/>
      <c r="G24" s="100"/>
      <c r="H24" s="100"/>
      <c r="I24" s="100"/>
      <c r="J24" s="100"/>
      <c r="K24" s="99"/>
      <c r="M24" s="91"/>
      <c r="N24" s="152"/>
      <c r="O24" s="152"/>
      <c r="P24" s="152"/>
      <c r="Q24" s="152"/>
      <c r="R24" s="153"/>
    </row>
    <row r="25" spans="2:18" x14ac:dyDescent="0.25">
      <c r="B25" s="95"/>
      <c r="C25" s="100"/>
      <c r="D25" s="100"/>
      <c r="E25" s="100"/>
      <c r="F25" s="100"/>
      <c r="G25" s="100"/>
      <c r="H25" s="100"/>
      <c r="I25" s="100"/>
      <c r="J25" s="100"/>
      <c r="K25" s="99"/>
      <c r="M25" s="91"/>
      <c r="N25" s="152"/>
      <c r="O25" s="152"/>
      <c r="P25" s="152"/>
      <c r="Q25" s="152"/>
      <c r="R25" s="153"/>
    </row>
    <row r="26" spans="2:18" x14ac:dyDescent="0.25">
      <c r="B26" s="95"/>
      <c r="C26" s="100"/>
      <c r="D26" s="100"/>
      <c r="E26" s="100"/>
      <c r="F26" s="100"/>
      <c r="G26" s="100"/>
      <c r="H26" s="100"/>
      <c r="I26" s="100"/>
      <c r="J26" s="100"/>
      <c r="K26" s="99"/>
      <c r="M26" s="91"/>
      <c r="N26" s="152"/>
      <c r="O26" s="152"/>
      <c r="P26" s="152"/>
      <c r="Q26" s="152"/>
      <c r="R26" s="153"/>
    </row>
    <row r="27" spans="2:18" s="90" customFormat="1" x14ac:dyDescent="0.25">
      <c r="B27" s="95"/>
      <c r="C27" s="100"/>
      <c r="D27" s="100"/>
      <c r="E27" s="100"/>
      <c r="F27" s="100"/>
      <c r="G27" s="100"/>
      <c r="H27" s="100"/>
      <c r="I27" s="100"/>
      <c r="J27" s="100"/>
      <c r="K27" s="99"/>
      <c r="M27" s="91"/>
      <c r="N27" s="152"/>
      <c r="O27" s="152"/>
      <c r="P27" s="152"/>
      <c r="Q27" s="152"/>
      <c r="R27" s="153"/>
    </row>
    <row r="28" spans="2:18" s="90" customFormat="1" x14ac:dyDescent="0.25">
      <c r="B28" s="95"/>
      <c r="C28" s="100"/>
      <c r="D28" s="100"/>
      <c r="E28" s="100"/>
      <c r="F28" s="100"/>
      <c r="G28" s="100"/>
      <c r="H28" s="100"/>
      <c r="I28" s="100"/>
      <c r="J28" s="100"/>
      <c r="K28" s="99"/>
      <c r="M28" s="91"/>
      <c r="N28" s="152"/>
      <c r="O28" s="152"/>
      <c r="P28" s="152"/>
      <c r="Q28" s="152"/>
      <c r="R28" s="153"/>
    </row>
    <row r="29" spans="2:18" ht="15.75" customHeight="1" thickBot="1" x14ac:dyDescent="0.3">
      <c r="B29" s="96"/>
      <c r="C29" s="97"/>
      <c r="D29" s="97"/>
      <c r="E29" s="97"/>
      <c r="F29" s="97"/>
      <c r="G29" s="97"/>
      <c r="H29" s="97"/>
      <c r="I29" s="97"/>
      <c r="J29" s="97"/>
      <c r="K29" s="98"/>
      <c r="M29" s="92"/>
      <c r="N29" s="154"/>
      <c r="O29" s="154"/>
      <c r="P29" s="154"/>
      <c r="Q29" s="154"/>
      <c r="R29" s="155"/>
    </row>
    <row r="31" spans="2:18" ht="15.75" customHeight="1" thickBot="1" x14ac:dyDescent="0.3"/>
    <row r="32" spans="2:18" x14ac:dyDescent="0.25">
      <c r="B32" s="11" t="s">
        <v>13</v>
      </c>
      <c r="C32" s="29"/>
      <c r="D32" s="29" t="s">
        <v>14</v>
      </c>
      <c r="E32" s="29"/>
      <c r="F32" s="29"/>
      <c r="G32" s="29"/>
      <c r="H32" s="29"/>
      <c r="I32" s="29"/>
      <c r="J32" s="29"/>
      <c r="K32" s="30"/>
    </row>
    <row r="33" spans="2:11" x14ac:dyDescent="0.25">
      <c r="B33" s="26" t="s">
        <v>395</v>
      </c>
      <c r="D33" s="25" t="s">
        <v>397</v>
      </c>
      <c r="K33" s="31"/>
    </row>
    <row r="34" spans="2:11" x14ac:dyDescent="0.25">
      <c r="B34" s="26" t="s">
        <v>15</v>
      </c>
      <c r="K34" s="31"/>
    </row>
    <row r="35" spans="2:11" s="87" customFormat="1" x14ac:dyDescent="0.25">
      <c r="B35" s="88" t="s">
        <v>396</v>
      </c>
      <c r="D35" s="87" t="s">
        <v>397</v>
      </c>
      <c r="K35" s="89"/>
    </row>
    <row r="36" spans="2:11" s="87" customFormat="1" x14ac:dyDescent="0.25">
      <c r="B36" s="88" t="s">
        <v>16</v>
      </c>
      <c r="K36" s="89"/>
    </row>
    <row r="37" spans="2:11" ht="15.75" customHeight="1" thickBot="1" x14ac:dyDescent="0.3">
      <c r="B37" s="27" t="s">
        <v>17</v>
      </c>
      <c r="C37" s="28"/>
      <c r="D37" s="28"/>
      <c r="E37" s="28"/>
      <c r="F37" s="28"/>
      <c r="G37" s="28"/>
      <c r="H37" s="28"/>
      <c r="I37" s="28"/>
      <c r="J37" s="28"/>
      <c r="K37" s="32"/>
    </row>
    <row r="38" spans="2:11" ht="15.75" thickBot="1" x14ac:dyDescent="0.3"/>
    <row r="39" spans="2:11" x14ac:dyDescent="0.25">
      <c r="B39" s="85" t="s">
        <v>388</v>
      </c>
      <c r="C39" s="80" t="s">
        <v>389</v>
      </c>
      <c r="D39" s="80" t="s">
        <v>390</v>
      </c>
      <c r="E39" s="80" t="s">
        <v>399</v>
      </c>
      <c r="F39" s="80"/>
      <c r="G39" s="80"/>
      <c r="H39" s="80"/>
      <c r="I39" s="80"/>
      <c r="J39" s="80"/>
      <c r="K39" s="81"/>
    </row>
    <row r="40" spans="2:11" x14ac:dyDescent="0.25">
      <c r="B40" s="77"/>
      <c r="C40" s="86" t="s">
        <v>391</v>
      </c>
      <c r="D40" s="86">
        <v>1</v>
      </c>
      <c r="E40" s="86" t="s">
        <v>400</v>
      </c>
      <c r="F40" s="86"/>
      <c r="G40" s="86"/>
      <c r="H40" s="86"/>
      <c r="I40" s="86"/>
      <c r="J40" s="86"/>
      <c r="K40" s="82"/>
    </row>
    <row r="41" spans="2:11" x14ac:dyDescent="0.25">
      <c r="B41" s="77"/>
      <c r="C41" s="86" t="s">
        <v>392</v>
      </c>
      <c r="D41" s="86">
        <v>2</v>
      </c>
      <c r="E41" s="86" t="s">
        <v>401</v>
      </c>
      <c r="F41" s="86"/>
      <c r="G41" s="86"/>
      <c r="H41" s="86"/>
      <c r="I41" s="86"/>
      <c r="J41" s="86"/>
      <c r="K41" s="82"/>
    </row>
    <row r="42" spans="2:11" x14ac:dyDescent="0.25">
      <c r="B42" s="77"/>
      <c r="C42" s="84" t="s">
        <v>393</v>
      </c>
      <c r="D42" s="86">
        <v>-32</v>
      </c>
      <c r="E42" s="84" t="s">
        <v>402</v>
      </c>
      <c r="F42" s="86"/>
      <c r="G42" s="86"/>
      <c r="H42" s="86"/>
      <c r="I42" s="86"/>
      <c r="J42" s="86"/>
      <c r="K42" s="82"/>
    </row>
    <row r="43" spans="2:11" x14ac:dyDescent="0.25">
      <c r="B43" s="77"/>
      <c r="C43" s="84" t="s">
        <v>394</v>
      </c>
      <c r="D43" s="84">
        <v>-16</v>
      </c>
      <c r="E43" s="84" t="s">
        <v>402</v>
      </c>
      <c r="F43" s="86"/>
      <c r="G43" s="86"/>
      <c r="H43" s="86"/>
      <c r="I43" s="86"/>
      <c r="J43" s="86"/>
      <c r="K43" s="82"/>
    </row>
    <row r="44" spans="2:11" x14ac:dyDescent="0.25">
      <c r="B44" s="77"/>
      <c r="C44" s="84" t="s">
        <v>398</v>
      </c>
      <c r="D44" s="84">
        <v>-1</v>
      </c>
      <c r="E44" s="84" t="s">
        <v>403</v>
      </c>
      <c r="F44" s="86"/>
      <c r="G44" s="86"/>
      <c r="H44" s="86"/>
      <c r="I44" s="86"/>
      <c r="J44" s="86"/>
      <c r="K44" s="82"/>
    </row>
    <row r="45" spans="2:11" x14ac:dyDescent="0.25">
      <c r="B45" s="77"/>
      <c r="C45" s="86"/>
      <c r="D45" s="86"/>
      <c r="E45" s="86"/>
      <c r="F45" s="86"/>
      <c r="G45" s="86"/>
      <c r="H45" s="86"/>
      <c r="I45" s="86"/>
      <c r="J45" s="86"/>
      <c r="K45" s="82"/>
    </row>
    <row r="46" spans="2:11" x14ac:dyDescent="0.25">
      <c r="B46" s="77"/>
      <c r="C46" s="86"/>
      <c r="D46" s="86"/>
      <c r="E46" s="86"/>
      <c r="F46" s="86"/>
      <c r="G46" s="86"/>
      <c r="H46" s="86"/>
      <c r="I46" s="86"/>
      <c r="J46" s="86"/>
      <c r="K46" s="82"/>
    </row>
    <row r="47" spans="2:11" x14ac:dyDescent="0.25">
      <c r="B47" s="77"/>
      <c r="C47" s="86"/>
      <c r="D47" s="86"/>
      <c r="E47" s="86"/>
      <c r="F47" s="86"/>
      <c r="G47" s="86"/>
      <c r="H47" s="86"/>
      <c r="I47" s="86"/>
      <c r="J47" s="86"/>
      <c r="K47" s="82"/>
    </row>
    <row r="48" spans="2:11" x14ac:dyDescent="0.25">
      <c r="B48" s="77"/>
      <c r="C48" s="86"/>
      <c r="D48" s="86"/>
      <c r="E48" s="86"/>
      <c r="F48" s="86"/>
      <c r="G48" s="86"/>
      <c r="H48" s="86"/>
      <c r="I48" s="86"/>
      <c r="J48" s="86"/>
      <c r="K48" s="82"/>
    </row>
    <row r="49" spans="2:11" ht="15.75" thickBot="1" x14ac:dyDescent="0.3">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H16" sqref="AH16"/>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3.140625" style="108" customWidth="1"/>
    <col min="6" max="6" width="1.85546875" style="109" customWidth="1"/>
    <col min="7" max="7" width="12.42578125" style="109" customWidth="1"/>
    <col min="8" max="8" width="17.140625" style="109" customWidth="1"/>
    <col min="9" max="9" width="3" style="108" customWidth="1"/>
    <col min="10" max="10" width="1.7109375" style="109" customWidth="1"/>
    <col min="11" max="11" width="12.42578125" style="109" customWidth="1"/>
    <col min="12" max="12" width="16.42578125" style="109" customWidth="1"/>
    <col min="13" max="13" width="3" style="108" customWidth="1"/>
    <col min="14" max="14" width="1.7109375" style="109" customWidth="1"/>
    <col min="15" max="15" width="12.5703125" style="109" customWidth="1"/>
    <col min="16" max="16" width="22.140625" style="109" customWidth="1"/>
    <col min="17" max="17" width="3" style="108" customWidth="1"/>
    <col min="18" max="18" width="1.7109375" style="109" customWidth="1"/>
    <col min="19" max="19" width="3.5703125" style="109" customWidth="1"/>
    <col min="20" max="51" width="3" style="108" customWidth="1"/>
    <col min="52" max="52" width="12.7109375" style="109" bestFit="1" customWidth="1"/>
    <col min="53" max="53" width="20.140625" style="109" bestFit="1" customWidth="1"/>
    <col min="54" max="54" width="3.1406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3.1406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3.1406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3.1406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3.1406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3.140625" style="108" bestFit="1" customWidth="1"/>
    <col min="235" max="235" width="1.85546875" style="109" bestFit="1" customWidth="1"/>
    <col min="236" max="236" width="33" style="109" customWidth="1"/>
    <col min="237" max="237" width="23.140625" style="109" bestFit="1" customWidth="1"/>
    <col min="238" max="238" width="3.1406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68"/>
      <c r="G2" s="67" t="s">
        <v>107</v>
      </c>
      <c r="H2" s="170"/>
      <c r="I2" s="147"/>
      <c r="J2" s="148"/>
      <c r="K2" s="67" t="s">
        <v>110</v>
      </c>
      <c r="L2" s="170"/>
      <c r="M2" s="147"/>
      <c r="N2" s="148"/>
      <c r="O2" s="4" t="s">
        <v>106</v>
      </c>
      <c r="P2" s="171"/>
      <c r="Q2" s="147"/>
      <c r="R2" s="148"/>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314</v>
      </c>
      <c r="FI2" s="33" t="s">
        <v>315</v>
      </c>
      <c r="FJ2" s="33" t="s">
        <v>316</v>
      </c>
      <c r="FK2" s="33" t="s">
        <v>317</v>
      </c>
      <c r="FL2" s="33" t="s">
        <v>318</v>
      </c>
      <c r="FM2" s="33"/>
      <c r="FN2" s="33"/>
      <c r="FO2" s="33"/>
      <c r="FP2" s="33"/>
      <c r="FQ2" s="33"/>
      <c r="FR2" s="33"/>
      <c r="FS2" s="33"/>
      <c r="FT2" s="33"/>
      <c r="FU2" s="33"/>
      <c r="FV2" s="33"/>
      <c r="FW2" s="33"/>
      <c r="FX2" s="33"/>
      <c r="FY2" s="33"/>
      <c r="FZ2" s="33"/>
      <c r="GA2" s="33"/>
      <c r="GB2" s="33"/>
      <c r="GC2" s="33"/>
      <c r="GD2" s="33"/>
      <c r="GE2" s="33" t="s">
        <v>319</v>
      </c>
      <c r="GF2" s="33" t="s">
        <v>320</v>
      </c>
      <c r="GG2" s="33" t="s">
        <v>321</v>
      </c>
      <c r="GH2" s="33" t="s">
        <v>322</v>
      </c>
      <c r="GI2" s="33" t="s">
        <v>323</v>
      </c>
      <c r="GJ2" s="33" t="s">
        <v>324</v>
      </c>
      <c r="GK2" s="33" t="s">
        <v>325</v>
      </c>
      <c r="GL2" s="33" t="s">
        <v>326</v>
      </c>
      <c r="GM2" s="34" t="s">
        <v>327</v>
      </c>
      <c r="GN2" s="2"/>
      <c r="GO2" s="166"/>
      <c r="GP2" s="167"/>
      <c r="GQ2" s="168"/>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8"/>
      <c r="IB2" s="4" t="s">
        <v>18</v>
      </c>
      <c r="IC2" s="169"/>
      <c r="ID2" s="167"/>
      <c r="IE2" s="168"/>
    </row>
    <row r="3" spans="1:239" ht="15.75" customHeight="1" thickBot="1" x14ac:dyDescent="0.3">
      <c r="A3" s="113" t="s">
        <v>19</v>
      </c>
      <c r="B3" s="113"/>
      <c r="C3" s="113" t="s">
        <v>17</v>
      </c>
      <c r="D3" s="162" t="s">
        <v>20</v>
      </c>
      <c r="E3" s="163"/>
      <c r="F3" s="164"/>
      <c r="G3" s="114" t="s">
        <v>15</v>
      </c>
      <c r="H3" s="173" t="s">
        <v>20</v>
      </c>
      <c r="I3" s="163"/>
      <c r="J3" s="164"/>
      <c r="K3" s="119" t="s">
        <v>15</v>
      </c>
      <c r="L3" s="173" t="s">
        <v>20</v>
      </c>
      <c r="M3" s="163"/>
      <c r="N3" s="164"/>
      <c r="O3" s="119" t="s">
        <v>15</v>
      </c>
      <c r="P3" s="162" t="s">
        <v>20</v>
      </c>
      <c r="Q3" s="163"/>
      <c r="R3" s="164"/>
      <c r="S3" s="68"/>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75"/>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75"/>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75"/>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8"/>
      <c r="D4" s="176"/>
      <c r="E4" s="177"/>
      <c r="F4" s="178"/>
      <c r="G4" s="7"/>
      <c r="H4" s="176"/>
      <c r="I4" s="177"/>
      <c r="J4" s="178"/>
      <c r="K4" s="7"/>
      <c r="L4" s="176"/>
      <c r="M4" s="177"/>
      <c r="N4" s="178"/>
      <c r="O4" s="5"/>
      <c r="P4" s="176"/>
      <c r="Q4" s="177"/>
      <c r="R4" s="178"/>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8"/>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8"/>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8"/>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8"/>
      <c r="IB4" s="8"/>
      <c r="IC4" s="176"/>
      <c r="ID4" s="177"/>
      <c r="IE4" s="178"/>
    </row>
    <row r="5" spans="1:239" x14ac:dyDescent="0.25">
      <c r="A5" s="8">
        <v>0</v>
      </c>
      <c r="B5" s="8" t="str">
        <f t="shared" ref="B5:B29" si="0">IF($IB5&lt;&gt;"", $IB5, "")</f>
        <v>HOME</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t="s">
        <v>206</v>
      </c>
      <c r="IC5" s="22" t="s">
        <v>122</v>
      </c>
      <c r="ID5" s="23">
        <v>0</v>
      </c>
      <c r="IE5" s="112" t="s">
        <v>22</v>
      </c>
    </row>
    <row r="6" spans="1:239" x14ac:dyDescent="0.25">
      <c r="A6" s="8">
        <v>1</v>
      </c>
      <c r="B6" s="8" t="str">
        <f t="shared" si="0"/>
        <v>FILLING FEED TANK TO SETPOINT</v>
      </c>
      <c r="C6" s="10"/>
      <c r="D6" s="6" t="str">
        <f t="shared" ref="D6:D29" si="1">D$5</f>
        <v>RO_Data[1].ACK_DESC[</v>
      </c>
      <c r="E6" s="23">
        <f>E5+1</f>
        <v>1</v>
      </c>
      <c r="F6" s="112" t="s">
        <v>22</v>
      </c>
      <c r="G6" s="129">
        <v>0</v>
      </c>
      <c r="H6" s="6" t="str">
        <f t="shared" ref="H6:H29" si="2">H$5</f>
        <v>RO_Data[1].MIN[</v>
      </c>
      <c r="I6" s="23">
        <f>I5+1</f>
        <v>1</v>
      </c>
      <c r="J6" s="112" t="s">
        <v>22</v>
      </c>
      <c r="K6" s="129">
        <v>1</v>
      </c>
      <c r="L6" s="6" t="str">
        <f t="shared" ref="L6:L29" si="3">L$5</f>
        <v>RO_Data[1].SEC[</v>
      </c>
      <c r="M6" s="23">
        <f>M5+1</f>
        <v>1</v>
      </c>
      <c r="N6" s="112" t="s">
        <v>22</v>
      </c>
      <c r="O6" s="132">
        <v>0</v>
      </c>
      <c r="P6" s="6" t="str">
        <f t="shared" ref="P6:P29" si="4">P$5</f>
        <v>RO_Data[1].SETPOINT[</v>
      </c>
      <c r="Q6" s="23">
        <f>Q5+1</f>
        <v>1</v>
      </c>
      <c r="R6" s="112" t="s">
        <v>22</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RO_Data[1].COND1[</v>
      </c>
      <c r="BB6" s="23">
        <f>BB5+1</f>
        <v>1</v>
      </c>
      <c r="BC6" s="112"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t="s">
        <v>442</v>
      </c>
      <c r="IC6" s="6" t="str">
        <f t="shared" ref="IC6:IC29" si="12">IC$5</f>
        <v>RO_Data[1].STEP_DESC[</v>
      </c>
      <c r="ID6" s="23">
        <f>ID5+1</f>
        <v>1</v>
      </c>
      <c r="IE6" s="112" t="s">
        <v>22</v>
      </c>
    </row>
    <row r="7" spans="1:239" x14ac:dyDescent="0.25">
      <c r="A7" s="8">
        <v>2</v>
      </c>
      <c r="B7" s="8" t="str">
        <f t="shared" si="0"/>
        <v>STARTING FEED AND PRESSURE PUMPS</v>
      </c>
      <c r="C7" s="10"/>
      <c r="D7" s="6" t="str">
        <f t="shared" si="1"/>
        <v>RO_Data[1].ACK_DESC[</v>
      </c>
      <c r="E7" s="23">
        <f t="shared" ref="E7:E29" si="13">E6+1</f>
        <v>2</v>
      </c>
      <c r="F7" s="112" t="s">
        <v>22</v>
      </c>
      <c r="G7" s="129">
        <v>0</v>
      </c>
      <c r="H7" s="6" t="str">
        <f t="shared" si="2"/>
        <v>RO_Data[1].MIN[</v>
      </c>
      <c r="I7" s="23">
        <f t="shared" ref="I7:I29" si="14">I6+1</f>
        <v>2</v>
      </c>
      <c r="J7" s="112" t="s">
        <v>22</v>
      </c>
      <c r="K7" s="129">
        <v>5</v>
      </c>
      <c r="L7" s="6" t="str">
        <f t="shared" si="3"/>
        <v>RO_Data[1].SEC[</v>
      </c>
      <c r="M7" s="23">
        <f t="shared" ref="M7:M29" si="15">M6+1</f>
        <v>2</v>
      </c>
      <c r="N7" s="112" t="s">
        <v>22</v>
      </c>
      <c r="O7" s="132">
        <v>0</v>
      </c>
      <c r="P7" s="6" t="str">
        <f t="shared" si="4"/>
        <v>RO_Data[1].SETPOINT[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RO_Data[1].COND1[</v>
      </c>
      <c r="BB7" s="23">
        <f t="shared" ref="BB7:BB29" si="17">BB6+1</f>
        <v>2</v>
      </c>
      <c r="BC7" s="112" t="s">
        <v>22</v>
      </c>
      <c r="BD7" s="18"/>
      <c r="BE7" s="19"/>
      <c r="BF7" s="19"/>
      <c r="BG7" s="19"/>
      <c r="BH7" s="19">
        <v>1</v>
      </c>
      <c r="BI7" s="19">
        <v>1</v>
      </c>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201326592</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c r="GJ7" s="19"/>
      <c r="GK7" s="19"/>
      <c r="GL7" s="19"/>
      <c r="GM7" s="20"/>
      <c r="GN7" s="8" cm="1">
        <f t="array" ref="GN7">Bin2DecRange($FH7:$GM7)</f>
        <v>480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t="s">
        <v>443</v>
      </c>
      <c r="IC7" s="6" t="str">
        <f t="shared" si="12"/>
        <v>RO_Data[1].STEP_DESC[</v>
      </c>
      <c r="ID7" s="23">
        <f t="shared" ref="ID7:ID29" si="23">ID6+1</f>
        <v>2</v>
      </c>
      <c r="IE7" s="112" t="s">
        <v>22</v>
      </c>
    </row>
    <row r="8" spans="1:239" x14ac:dyDescent="0.25">
      <c r="A8" s="8">
        <v>3</v>
      </c>
      <c r="B8" s="8" t="str">
        <f t="shared" si="0"/>
        <v>STARTING RECIRC PUMP STAGE 1</v>
      </c>
      <c r="C8" s="10"/>
      <c r="D8" s="6" t="str">
        <f t="shared" si="1"/>
        <v>RO_Data[1].ACK_DESC[</v>
      </c>
      <c r="E8" s="23">
        <f t="shared" si="13"/>
        <v>3</v>
      </c>
      <c r="F8" s="112" t="s">
        <v>22</v>
      </c>
      <c r="G8" s="129">
        <v>0</v>
      </c>
      <c r="H8" s="6" t="str">
        <f t="shared" si="2"/>
        <v>RO_Data[1].MIN[</v>
      </c>
      <c r="I8" s="23">
        <f t="shared" si="14"/>
        <v>3</v>
      </c>
      <c r="J8" s="112" t="s">
        <v>22</v>
      </c>
      <c r="K8" s="129">
        <v>5</v>
      </c>
      <c r="L8" s="6" t="str">
        <f t="shared" si="3"/>
        <v>RO_Data[1].SEC[</v>
      </c>
      <c r="M8" s="23">
        <f t="shared" si="15"/>
        <v>3</v>
      </c>
      <c r="N8" s="112" t="s">
        <v>22</v>
      </c>
      <c r="O8" s="132">
        <v>0</v>
      </c>
      <c r="P8" s="6" t="str">
        <f t="shared" si="4"/>
        <v>RO_Data[1].SETPOINT[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RO_Data[1].COND1[</v>
      </c>
      <c r="BB8" s="23">
        <f t="shared" si="17"/>
        <v>3</v>
      </c>
      <c r="BC8" s="112" t="s">
        <v>22</v>
      </c>
      <c r="BD8" s="18"/>
      <c r="BE8" s="19"/>
      <c r="BF8" s="19"/>
      <c r="BG8" s="19"/>
      <c r="BH8" s="19">
        <v>1</v>
      </c>
      <c r="BI8" s="19">
        <v>1</v>
      </c>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201326592</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v>1</v>
      </c>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268435456</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c r="GK8" s="19"/>
      <c r="GL8" s="19"/>
      <c r="GM8" s="20"/>
      <c r="GN8" s="8" cm="1">
        <f t="array" ref="GN8">Bin2DecRange($FH8:$GM8)</f>
        <v>496</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t="s">
        <v>444</v>
      </c>
      <c r="IC8" s="6" t="str">
        <f t="shared" si="12"/>
        <v>RO_Data[1].STEP_DESC[</v>
      </c>
      <c r="ID8" s="23">
        <f t="shared" si="23"/>
        <v>3</v>
      </c>
      <c r="IE8" s="112" t="s">
        <v>22</v>
      </c>
    </row>
    <row r="9" spans="1:239" x14ac:dyDescent="0.25">
      <c r="A9" s="8">
        <v>4</v>
      </c>
      <c r="B9" s="8" t="str">
        <f t="shared" si="0"/>
        <v>STARTING RECIRC PUMP STAGE 2</v>
      </c>
      <c r="C9" s="10"/>
      <c r="D9" s="6" t="str">
        <f t="shared" si="1"/>
        <v>RO_Data[1].ACK_DESC[</v>
      </c>
      <c r="E9" s="23">
        <f t="shared" si="13"/>
        <v>4</v>
      </c>
      <c r="F9" s="112" t="s">
        <v>22</v>
      </c>
      <c r="G9" s="129">
        <v>0</v>
      </c>
      <c r="H9" s="6" t="str">
        <f t="shared" si="2"/>
        <v>RO_Data[1].MIN[</v>
      </c>
      <c r="I9" s="23">
        <f t="shared" si="14"/>
        <v>4</v>
      </c>
      <c r="J9" s="112" t="s">
        <v>22</v>
      </c>
      <c r="K9" s="129">
        <v>5</v>
      </c>
      <c r="L9" s="6" t="str">
        <f t="shared" si="3"/>
        <v>RO_Data[1].SEC[</v>
      </c>
      <c r="M9" s="23">
        <f t="shared" si="15"/>
        <v>4</v>
      </c>
      <c r="N9" s="112" t="s">
        <v>22</v>
      </c>
      <c r="O9" s="132">
        <v>0</v>
      </c>
      <c r="P9" s="6" t="str">
        <f t="shared" si="4"/>
        <v>RO_Data[1].SETPOINT[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RO_Data[1].COND1[</v>
      </c>
      <c r="BB9" s="23">
        <f t="shared" si="17"/>
        <v>4</v>
      </c>
      <c r="BC9" s="112"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t="s">
        <v>445</v>
      </c>
      <c r="IC9" s="6" t="str">
        <f t="shared" si="12"/>
        <v>RO_Data[1].STEP_DESC[</v>
      </c>
      <c r="ID9" s="23">
        <f t="shared" si="23"/>
        <v>4</v>
      </c>
      <c r="IE9" s="112" t="s">
        <v>22</v>
      </c>
    </row>
    <row r="10" spans="1:239" x14ac:dyDescent="0.25">
      <c r="A10" s="8">
        <v>5</v>
      </c>
      <c r="B10" s="8" t="str">
        <f t="shared" si="0"/>
        <v>STARTING RECIRC PUMP STAGE 3</v>
      </c>
      <c r="C10" s="10"/>
      <c r="D10" s="6" t="str">
        <f t="shared" si="1"/>
        <v>RO_Data[1].ACK_DESC[</v>
      </c>
      <c r="E10" s="23">
        <f t="shared" si="13"/>
        <v>5</v>
      </c>
      <c r="F10" s="112" t="s">
        <v>22</v>
      </c>
      <c r="G10" s="129">
        <v>0</v>
      </c>
      <c r="H10" s="6" t="str">
        <f t="shared" si="2"/>
        <v>RO_Data[1].MIN[</v>
      </c>
      <c r="I10" s="23">
        <f t="shared" si="14"/>
        <v>5</v>
      </c>
      <c r="J10" s="112" t="s">
        <v>22</v>
      </c>
      <c r="K10" s="129">
        <v>5</v>
      </c>
      <c r="L10" s="6" t="str">
        <f t="shared" si="3"/>
        <v>RO_Data[1].SEC[</v>
      </c>
      <c r="M10" s="23">
        <f t="shared" si="15"/>
        <v>5</v>
      </c>
      <c r="N10" s="112" t="s">
        <v>22</v>
      </c>
      <c r="O10" s="132">
        <v>0</v>
      </c>
      <c r="P10" s="6" t="str">
        <f t="shared" si="4"/>
        <v>RO_Data[1].SETPOINT[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RO_Data[1].COND1[</v>
      </c>
      <c r="BB10" s="23">
        <f t="shared" si="17"/>
        <v>5</v>
      </c>
      <c r="BC10" s="112"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t="s">
        <v>446</v>
      </c>
      <c r="IC10" s="6" t="str">
        <f t="shared" si="12"/>
        <v>RO_Data[1].STEP_DESC[</v>
      </c>
      <c r="ID10" s="23">
        <f t="shared" si="23"/>
        <v>5</v>
      </c>
      <c r="IE10" s="112" t="s">
        <v>22</v>
      </c>
    </row>
    <row r="11" spans="1:239" x14ac:dyDescent="0.25">
      <c r="A11" s="8">
        <v>6</v>
      </c>
      <c r="B11" s="8" t="str">
        <f t="shared" si="0"/>
        <v>STARTING RECIRC PUMP STAGE 4</v>
      </c>
      <c r="C11" s="10"/>
      <c r="D11" s="6" t="str">
        <f t="shared" si="1"/>
        <v>RO_Data[1].ACK_DESC[</v>
      </c>
      <c r="E11" s="23">
        <f t="shared" si="13"/>
        <v>6</v>
      </c>
      <c r="F11" s="112" t="s">
        <v>22</v>
      </c>
      <c r="G11" s="129">
        <v>0</v>
      </c>
      <c r="H11" s="6" t="str">
        <f t="shared" si="2"/>
        <v>RO_Data[1].MIN[</v>
      </c>
      <c r="I11" s="23">
        <f t="shared" si="14"/>
        <v>6</v>
      </c>
      <c r="J11" s="112" t="s">
        <v>22</v>
      </c>
      <c r="K11" s="129">
        <v>5</v>
      </c>
      <c r="L11" s="6" t="str">
        <f t="shared" si="3"/>
        <v>RO_Data[1].SEC[</v>
      </c>
      <c r="M11" s="23">
        <f t="shared" si="15"/>
        <v>6</v>
      </c>
      <c r="N11" s="112" t="s">
        <v>22</v>
      </c>
      <c r="O11" s="132">
        <v>0</v>
      </c>
      <c r="P11" s="6" t="str">
        <f t="shared" si="4"/>
        <v>RO_Data[1].SETPOINT[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RO_Data[1].COND1[</v>
      </c>
      <c r="BB11" s="23">
        <f t="shared" si="17"/>
        <v>6</v>
      </c>
      <c r="BC11" s="112"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t="s">
        <v>447</v>
      </c>
      <c r="IC11" s="6" t="str">
        <f t="shared" si="12"/>
        <v>RO_Data[1].STEP_DESC[</v>
      </c>
      <c r="ID11" s="23">
        <f t="shared" si="23"/>
        <v>6</v>
      </c>
      <c r="IE11" s="112" t="s">
        <v>22</v>
      </c>
    </row>
    <row r="12" spans="1:239" x14ac:dyDescent="0.25">
      <c r="A12" s="8">
        <v>7</v>
      </c>
      <c r="B12" s="8" t="str">
        <f t="shared" si="0"/>
        <v>STARTING RECIRC PUMP STAGE 5</v>
      </c>
      <c r="C12" s="10"/>
      <c r="D12" s="6" t="str">
        <f t="shared" si="1"/>
        <v>RO_Data[1].ACK_DESC[</v>
      </c>
      <c r="E12" s="23">
        <f t="shared" si="13"/>
        <v>7</v>
      </c>
      <c r="F12" s="112" t="s">
        <v>22</v>
      </c>
      <c r="G12" s="129">
        <v>0</v>
      </c>
      <c r="H12" s="6" t="str">
        <f t="shared" si="2"/>
        <v>RO_Data[1].MIN[</v>
      </c>
      <c r="I12" s="23">
        <f t="shared" si="14"/>
        <v>7</v>
      </c>
      <c r="J12" s="112" t="s">
        <v>22</v>
      </c>
      <c r="K12" s="129">
        <v>5</v>
      </c>
      <c r="L12" s="6" t="str">
        <f t="shared" si="3"/>
        <v>RO_Data[1].SEC[</v>
      </c>
      <c r="M12" s="23">
        <f t="shared" si="15"/>
        <v>7</v>
      </c>
      <c r="N12" s="112" t="s">
        <v>22</v>
      </c>
      <c r="O12" s="132">
        <v>0</v>
      </c>
      <c r="P12" s="6" t="str">
        <f t="shared" si="4"/>
        <v>RO_Data[1].SETPOINT[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RO_Data[1].COND1[</v>
      </c>
      <c r="BB12" s="23">
        <f t="shared" si="17"/>
        <v>7</v>
      </c>
      <c r="BC12" s="112"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t="s">
        <v>448</v>
      </c>
      <c r="IC12" s="6" t="str">
        <f t="shared" si="12"/>
        <v>RO_Data[1].STEP_DESC[</v>
      </c>
      <c r="ID12" s="23">
        <f t="shared" si="23"/>
        <v>7</v>
      </c>
      <c r="IE12" s="112" t="s">
        <v>22</v>
      </c>
    </row>
    <row r="13" spans="1:239" x14ac:dyDescent="0.25">
      <c r="A13" s="8">
        <v>8</v>
      </c>
      <c r="B13" s="8" t="str">
        <f t="shared" si="0"/>
        <v>BUILD SOLIDS</v>
      </c>
      <c r="C13" s="10"/>
      <c r="D13" s="6" t="str">
        <f t="shared" si="1"/>
        <v>RO_Data[1].ACK_DESC[</v>
      </c>
      <c r="E13" s="23">
        <f t="shared" si="13"/>
        <v>8</v>
      </c>
      <c r="F13" s="112" t="s">
        <v>22</v>
      </c>
      <c r="G13" s="129">
        <v>0</v>
      </c>
      <c r="H13" s="6" t="str">
        <f t="shared" si="2"/>
        <v>RO_Data[1].MIN[</v>
      </c>
      <c r="I13" s="23">
        <f t="shared" si="14"/>
        <v>8</v>
      </c>
      <c r="J13" s="112" t="s">
        <v>22</v>
      </c>
      <c r="K13" s="129">
        <v>1</v>
      </c>
      <c r="L13" s="6" t="str">
        <f t="shared" si="3"/>
        <v>RO_Data[1].SEC[</v>
      </c>
      <c r="M13" s="23">
        <f t="shared" si="15"/>
        <v>8</v>
      </c>
      <c r="N13" s="112" t="s">
        <v>22</v>
      </c>
      <c r="O13" s="132">
        <v>0</v>
      </c>
      <c r="P13" s="6" t="str">
        <f t="shared" si="4"/>
        <v>RO_Data[1].SETPOINT[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v>1</v>
      </c>
      <c r="AK13" s="19"/>
      <c r="AL13" s="19"/>
      <c r="AM13" s="19"/>
      <c r="AN13" s="19"/>
      <c r="AO13" s="19"/>
      <c r="AP13" s="19">
        <v>1</v>
      </c>
      <c r="AQ13" s="19"/>
      <c r="AR13" s="19"/>
      <c r="AS13" s="19"/>
      <c r="AT13" s="19"/>
      <c r="AU13" s="19"/>
      <c r="AV13" s="19"/>
      <c r="AW13" s="19"/>
      <c r="AX13" s="19"/>
      <c r="AY13" s="20"/>
      <c r="AZ13" s="8">
        <f t="array" ref="AZ13">Bin2DecRange($T13:$AY13)</f>
        <v>33280</v>
      </c>
      <c r="BA13" s="6" t="str">
        <f t="shared" si="6"/>
        <v>RO_Data[1].COND1[</v>
      </c>
      <c r="BB13" s="23">
        <f t="shared" si="17"/>
        <v>8</v>
      </c>
      <c r="BC13" s="112" t="s">
        <v>22</v>
      </c>
      <c r="BD13" s="18"/>
      <c r="BE13" s="19"/>
      <c r="BF13" s="19"/>
      <c r="BG13" s="19"/>
      <c r="BH13" s="19">
        <v>1</v>
      </c>
      <c r="BI13" s="19">
        <v>1</v>
      </c>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201326592</v>
      </c>
      <c r="CK13" s="6" t="str">
        <f t="shared" si="7"/>
        <v>RO_Data[1].COND2[</v>
      </c>
      <c r="CL13" s="23">
        <f t="shared" si="18"/>
        <v>8</v>
      </c>
      <c r="CM13" s="112" t="s">
        <v>22</v>
      </c>
      <c r="CN13" s="18"/>
      <c r="CO13" s="19"/>
      <c r="CP13" s="19"/>
      <c r="CQ13" s="19"/>
      <c r="CR13" s="19"/>
      <c r="CS13" s="19"/>
      <c r="CT13" s="19">
        <v>1</v>
      </c>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33554432</v>
      </c>
      <c r="DU13" s="6" t="str">
        <f t="shared" si="8"/>
        <v>RO_Data[1].COND3[</v>
      </c>
      <c r="DV13" s="23">
        <f t="shared" si="19"/>
        <v>8</v>
      </c>
      <c r="DW13" s="112" t="s">
        <v>22</v>
      </c>
      <c r="DX13" s="21"/>
      <c r="DY13" s="19"/>
      <c r="DZ13" s="19"/>
      <c r="EA13" s="19">
        <v>1</v>
      </c>
      <c r="EB13" s="19"/>
      <c r="EC13" s="19"/>
      <c r="ED13" s="19"/>
      <c r="EE13" s="19"/>
      <c r="EF13" s="19"/>
      <c r="EG13" s="19"/>
      <c r="EH13" s="19"/>
      <c r="EI13" s="19"/>
      <c r="EJ13" s="19"/>
      <c r="EK13" s="19"/>
      <c r="EL13" s="19"/>
      <c r="EM13" s="19"/>
      <c r="EN13" s="19"/>
      <c r="EO13" s="19"/>
      <c r="EP13" s="19">
        <v>1</v>
      </c>
      <c r="EQ13" s="19"/>
      <c r="ER13" s="19"/>
      <c r="ES13" s="19"/>
      <c r="ET13" s="19"/>
      <c r="EU13" s="19"/>
      <c r="EV13" s="19"/>
      <c r="EW13" s="19"/>
      <c r="EX13" s="19"/>
      <c r="EY13" s="19"/>
      <c r="EZ13" s="19"/>
      <c r="FA13" s="19"/>
      <c r="FB13" s="19"/>
      <c r="FC13" s="20"/>
      <c r="FD13" s="8">
        <f t="array" ref="FD13">Bin2DecRange($DX13:$FC13)</f>
        <v>268443648</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t="s">
        <v>449</v>
      </c>
      <c r="IC13" s="6" t="str">
        <f t="shared" si="12"/>
        <v>RO_Data[1].STEP_DESC[</v>
      </c>
      <c r="ID13" s="23">
        <f t="shared" si="23"/>
        <v>8</v>
      </c>
      <c r="IE13" s="112" t="s">
        <v>22</v>
      </c>
    </row>
    <row r="14" spans="1:239" s="128" customFormat="1" x14ac:dyDescent="0.25">
      <c r="A14" s="120">
        <v>9</v>
      </c>
      <c r="B14" s="120" t="str">
        <f t="shared" si="0"/>
        <v>PROCESSING</v>
      </c>
      <c r="C14" s="121" t="s">
        <v>108</v>
      </c>
      <c r="D14" s="6" t="str">
        <f t="shared" si="1"/>
        <v>RO_Data[1].ACK_DESC[</v>
      </c>
      <c r="E14" s="122">
        <f t="shared" si="13"/>
        <v>9</v>
      </c>
      <c r="F14" s="123" t="s">
        <v>22</v>
      </c>
      <c r="G14" s="130">
        <v>0</v>
      </c>
      <c r="H14" s="6" t="str">
        <f t="shared" si="2"/>
        <v>RO_Data[1].MIN[</v>
      </c>
      <c r="I14" s="122">
        <f t="shared" si="14"/>
        <v>9</v>
      </c>
      <c r="J14" s="123" t="s">
        <v>22</v>
      </c>
      <c r="K14" s="130">
        <v>1</v>
      </c>
      <c r="L14" s="6" t="str">
        <f t="shared" si="3"/>
        <v>RO_Data[1].SEC[</v>
      </c>
      <c r="M14" s="122">
        <f t="shared" si="15"/>
        <v>9</v>
      </c>
      <c r="N14" s="123" t="s">
        <v>22</v>
      </c>
      <c r="O14" s="133">
        <v>0</v>
      </c>
      <c r="P14" s="6" t="str">
        <f t="shared" si="4"/>
        <v>RO_Data[1].SETPOINT[</v>
      </c>
      <c r="Q14" s="122">
        <f t="shared" si="16"/>
        <v>9</v>
      </c>
      <c r="R14" s="123" t="s">
        <v>22</v>
      </c>
      <c r="S14" s="9" t="str">
        <f t="shared" si="5"/>
        <v>P</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v>1</v>
      </c>
      <c r="AQ14" s="125">
        <v>1</v>
      </c>
      <c r="AR14" s="125"/>
      <c r="AS14" s="125"/>
      <c r="AT14" s="125"/>
      <c r="AU14" s="125"/>
      <c r="AV14" s="125"/>
      <c r="AW14" s="125"/>
      <c r="AX14" s="125"/>
      <c r="AY14" s="126"/>
      <c r="AZ14" s="120">
        <f t="array" ref="AZ14">Bin2DecRange($T14:$AY14)</f>
        <v>768</v>
      </c>
      <c r="BA14" s="6" t="str">
        <f t="shared" si="6"/>
        <v>RO_Data[1].COND1[</v>
      </c>
      <c r="BB14" s="122">
        <f t="shared" si="17"/>
        <v>9</v>
      </c>
      <c r="BC14" s="123" t="s">
        <v>22</v>
      </c>
      <c r="BD14" s="124"/>
      <c r="BE14" s="125"/>
      <c r="BF14" s="125"/>
      <c r="BG14" s="125"/>
      <c r="BH14" s="125"/>
      <c r="BI14" s="125">
        <v>1</v>
      </c>
      <c r="BJ14" s="125"/>
      <c r="BK14" s="125">
        <v>1</v>
      </c>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83886080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v>1</v>
      </c>
      <c r="EB14" s="125"/>
      <c r="EC14" s="125"/>
      <c r="ED14" s="125"/>
      <c r="EE14" s="125"/>
      <c r="EF14" s="125"/>
      <c r="EG14" s="125"/>
      <c r="EH14" s="125"/>
      <c r="EI14" s="125"/>
      <c r="EJ14" s="125"/>
      <c r="EK14" s="125"/>
      <c r="EL14" s="125"/>
      <c r="EM14" s="125"/>
      <c r="EN14" s="125"/>
      <c r="EO14" s="125">
        <v>1</v>
      </c>
      <c r="EP14" s="125">
        <v>1</v>
      </c>
      <c r="EQ14" s="125"/>
      <c r="ER14" s="125"/>
      <c r="ES14" s="125"/>
      <c r="ET14" s="125"/>
      <c r="EU14" s="125"/>
      <c r="EV14" s="125"/>
      <c r="EW14" s="125"/>
      <c r="EX14" s="125"/>
      <c r="EY14" s="125"/>
      <c r="EZ14" s="125"/>
      <c r="FA14" s="125"/>
      <c r="FB14" s="125"/>
      <c r="FC14" s="126"/>
      <c r="FD14" s="120">
        <f t="array" ref="FD14">Bin2DecRange($DX14:$FC14)</f>
        <v>268460032</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v>1</v>
      </c>
      <c r="GF14" s="125">
        <v>1</v>
      </c>
      <c r="GG14" s="125">
        <v>1</v>
      </c>
      <c r="GH14" s="125">
        <v>1</v>
      </c>
      <c r="GI14" s="125">
        <v>1</v>
      </c>
      <c r="GJ14" s="125">
        <v>1</v>
      </c>
      <c r="GK14" s="125">
        <v>1</v>
      </c>
      <c r="GL14" s="125">
        <v>1</v>
      </c>
      <c r="GM14" s="126">
        <v>1</v>
      </c>
      <c r="GN14" s="120" cm="1">
        <f t="array" ref="GN14">Bin2DecRange($FH14:$GM14)</f>
        <v>511</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t="s">
        <v>450</v>
      </c>
      <c r="IC14" s="6" t="str">
        <f t="shared" si="12"/>
        <v>RO_Data[1].STEP_DESC[</v>
      </c>
      <c r="ID14" s="122">
        <f t="shared" si="23"/>
        <v>9</v>
      </c>
      <c r="IE14" s="123" t="s">
        <v>22</v>
      </c>
    </row>
    <row r="15" spans="1:239" x14ac:dyDescent="0.25">
      <c r="A15" s="8">
        <v>10</v>
      </c>
      <c r="B15" s="8" t="str">
        <f t="shared" si="0"/>
        <v>PUMPING FEED TANK TO LOW LEVEL</v>
      </c>
      <c r="C15" s="10"/>
      <c r="D15" s="6" t="str">
        <f t="shared" si="1"/>
        <v>RO_Data[1].ACK_DESC[</v>
      </c>
      <c r="E15" s="23">
        <f t="shared" si="13"/>
        <v>10</v>
      </c>
      <c r="F15" s="112" t="s">
        <v>22</v>
      </c>
      <c r="G15" s="129">
        <v>0</v>
      </c>
      <c r="H15" s="6" t="str">
        <f t="shared" si="2"/>
        <v>RO_Data[1].MIN[</v>
      </c>
      <c r="I15" s="23">
        <f t="shared" si="14"/>
        <v>10</v>
      </c>
      <c r="J15" s="112" t="s">
        <v>22</v>
      </c>
      <c r="K15" s="129">
        <v>1</v>
      </c>
      <c r="L15" s="6" t="str">
        <f t="shared" si="3"/>
        <v>RO_Data[1].SEC[</v>
      </c>
      <c r="M15" s="23">
        <f t="shared" si="15"/>
        <v>10</v>
      </c>
      <c r="N15" s="112" t="s">
        <v>22</v>
      </c>
      <c r="O15" s="132">
        <v>0</v>
      </c>
      <c r="P15" s="6" t="str">
        <f t="shared" si="4"/>
        <v>RO_Data[1].SETPOINT[</v>
      </c>
      <c r="Q15" s="23">
        <f t="shared" si="16"/>
        <v>10</v>
      </c>
      <c r="R15" s="112" t="s">
        <v>22</v>
      </c>
      <c r="S15" s="9" t="str">
        <f t="shared" si="5"/>
        <v>P</v>
      </c>
      <c r="T15" s="18"/>
      <c r="U15" s="19"/>
      <c r="V15" s="19"/>
      <c r="W15" s="19"/>
      <c r="X15" s="19"/>
      <c r="Y15" s="19"/>
      <c r="Z15" s="19"/>
      <c r="AA15" s="19"/>
      <c r="AB15" s="19"/>
      <c r="AC15" s="19"/>
      <c r="AD15" s="19"/>
      <c r="AE15" s="19"/>
      <c r="AF15" s="19"/>
      <c r="AG15" s="19">
        <v>1</v>
      </c>
      <c r="AH15" s="19"/>
      <c r="AI15" s="19"/>
      <c r="AJ15" s="19"/>
      <c r="AK15" s="19"/>
      <c r="AL15" s="19"/>
      <c r="AM15" s="19"/>
      <c r="AN15" s="19"/>
      <c r="AO15" s="19"/>
      <c r="AP15" s="19">
        <v>1</v>
      </c>
      <c r="AQ15" s="19"/>
      <c r="AR15" s="19"/>
      <c r="AS15" s="19"/>
      <c r="AT15" s="19"/>
      <c r="AU15" s="19"/>
      <c r="AV15" s="19"/>
      <c r="AW15" s="19"/>
      <c r="AX15" s="19"/>
      <c r="AY15" s="20"/>
      <c r="AZ15" s="8">
        <f t="array" ref="AZ15">Bin2DecRange($T15:$AY15)</f>
        <v>262656</v>
      </c>
      <c r="BA15" s="6" t="str">
        <f t="shared" si="6"/>
        <v>RO_Data[1].COND1[</v>
      </c>
      <c r="BB15" s="23">
        <f t="shared" si="17"/>
        <v>10</v>
      </c>
      <c r="BC15" s="112" t="s">
        <v>22</v>
      </c>
      <c r="BD15" s="18"/>
      <c r="BE15" s="19"/>
      <c r="BF15" s="19"/>
      <c r="BG15" s="19"/>
      <c r="BH15" s="19"/>
      <c r="BI15" s="19"/>
      <c r="BJ15" s="19"/>
      <c r="BK15" s="19"/>
      <c r="BL15" s="19"/>
      <c r="BM15" s="19">
        <v>1</v>
      </c>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4194304</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v>1</v>
      </c>
      <c r="DE15" s="19"/>
      <c r="DF15" s="19"/>
      <c r="DG15" s="19"/>
      <c r="DH15" s="19"/>
      <c r="DI15" s="19"/>
      <c r="DJ15" s="19"/>
      <c r="DK15" s="19"/>
      <c r="DL15" s="19"/>
      <c r="DM15" s="19"/>
      <c r="DN15" s="19"/>
      <c r="DO15" s="19"/>
      <c r="DP15" s="19"/>
      <c r="DQ15" s="19"/>
      <c r="DR15" s="19"/>
      <c r="DS15" s="20"/>
      <c r="DT15" s="8" cm="1">
        <f t="array" ref="DT15">Bin2DecRange($CN15:$DS15)</f>
        <v>32768</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v>1</v>
      </c>
      <c r="EP15" s="19">
        <v>1</v>
      </c>
      <c r="EQ15" s="19"/>
      <c r="ER15" s="19"/>
      <c r="ES15" s="19"/>
      <c r="ET15" s="19"/>
      <c r="EU15" s="19"/>
      <c r="EV15" s="19"/>
      <c r="EW15" s="19"/>
      <c r="EX15" s="19"/>
      <c r="EY15" s="19"/>
      <c r="EZ15" s="19"/>
      <c r="FA15" s="19"/>
      <c r="FB15" s="19"/>
      <c r="FC15" s="20"/>
      <c r="FD15" s="8">
        <f t="array" ref="FD15">Bin2DecRange($DX15:$FC15)</f>
        <v>24576</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t="s">
        <v>451</v>
      </c>
      <c r="IC15" s="6" t="str">
        <f t="shared" si="12"/>
        <v>RO_Data[1].STEP_DESC[</v>
      </c>
      <c r="ID15" s="23">
        <f t="shared" si="23"/>
        <v>10</v>
      </c>
      <c r="IE15" s="112" t="s">
        <v>22</v>
      </c>
    </row>
    <row r="16" spans="1:239" x14ac:dyDescent="0.25">
      <c r="A16" s="8">
        <v>11</v>
      </c>
      <c r="B16" s="8" t="str">
        <f t="shared" si="0"/>
        <v>FLUSHING STAGES 1-5</v>
      </c>
      <c r="C16" s="10"/>
      <c r="D16" s="6" t="str">
        <f t="shared" si="1"/>
        <v>RO_Data[1].ACK_DESC[</v>
      </c>
      <c r="E16" s="23">
        <f t="shared" si="13"/>
        <v>11</v>
      </c>
      <c r="F16" s="112" t="s">
        <v>22</v>
      </c>
      <c r="G16" s="129">
        <v>0</v>
      </c>
      <c r="H16" s="6" t="str">
        <f t="shared" si="2"/>
        <v>RO_Data[1].MIN[</v>
      </c>
      <c r="I16" s="23">
        <f t="shared" si="14"/>
        <v>11</v>
      </c>
      <c r="J16" s="112" t="s">
        <v>22</v>
      </c>
      <c r="K16" s="129">
        <v>1</v>
      </c>
      <c r="L16" s="6" t="str">
        <f t="shared" si="3"/>
        <v>RO_Data[1].SEC[</v>
      </c>
      <c r="M16" s="23">
        <f t="shared" si="15"/>
        <v>11</v>
      </c>
      <c r="N16" s="112" t="s">
        <v>22</v>
      </c>
      <c r="O16" s="132">
        <v>0</v>
      </c>
      <c r="P16" s="6" t="str">
        <f t="shared" si="4"/>
        <v>RO_Data[1].SETPOINT[</v>
      </c>
      <c r="Q16" s="23">
        <f t="shared" si="16"/>
        <v>11</v>
      </c>
      <c r="R16" s="112" t="s">
        <v>22</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RO_Data[1].COND1[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t="s">
        <v>452</v>
      </c>
      <c r="IC16" s="6" t="str">
        <f t="shared" si="12"/>
        <v>RO_Data[1].STEP_DESC[</v>
      </c>
      <c r="ID16" s="23">
        <f t="shared" si="23"/>
        <v>11</v>
      </c>
      <c r="IE16" s="112" t="s">
        <v>22</v>
      </c>
    </row>
    <row r="17" spans="1:239" x14ac:dyDescent="0.25">
      <c r="A17" s="8">
        <v>12</v>
      </c>
      <c r="B17" s="8" t="str">
        <f t="shared" si="0"/>
        <v>FLUSHING STAGES 2-5</v>
      </c>
      <c r="C17" s="10"/>
      <c r="D17" s="6" t="str">
        <f t="shared" si="1"/>
        <v>RO_Data[1].ACK_DESC[</v>
      </c>
      <c r="E17" s="23">
        <f t="shared" si="13"/>
        <v>12</v>
      </c>
      <c r="F17" s="112" t="s">
        <v>22</v>
      </c>
      <c r="G17" s="129">
        <v>0</v>
      </c>
      <c r="H17" s="6" t="str">
        <f t="shared" si="2"/>
        <v>RO_Data[1].MIN[</v>
      </c>
      <c r="I17" s="23">
        <f t="shared" si="14"/>
        <v>12</v>
      </c>
      <c r="J17" s="112" t="s">
        <v>22</v>
      </c>
      <c r="K17" s="129">
        <v>1</v>
      </c>
      <c r="L17" s="6" t="str">
        <f t="shared" si="3"/>
        <v>RO_Data[1].SEC[</v>
      </c>
      <c r="M17" s="23">
        <f t="shared" si="15"/>
        <v>12</v>
      </c>
      <c r="N17" s="112" t="s">
        <v>22</v>
      </c>
      <c r="O17" s="132">
        <v>0</v>
      </c>
      <c r="P17" s="6" t="str">
        <f t="shared" si="4"/>
        <v>RO_Data[1].SETPOINT[</v>
      </c>
      <c r="Q17" s="23">
        <f t="shared" si="16"/>
        <v>12</v>
      </c>
      <c r="R17" s="112" t="s">
        <v>22</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RO_Data[1].COND1[</v>
      </c>
      <c r="BB17" s="23">
        <f t="shared" si="17"/>
        <v>12</v>
      </c>
      <c r="BC17" s="112"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 t="str">
        <f t="shared" si="9"/>
        <v>RO_Data[1].ACT1[</v>
      </c>
      <c r="FF17" s="23">
        <f t="shared" si="20"/>
        <v>12</v>
      </c>
      <c r="FG17" s="112"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t="s">
        <v>453</v>
      </c>
      <c r="IC17" s="6" t="str">
        <f t="shared" si="12"/>
        <v>RO_Data[1].STEP_DESC[</v>
      </c>
      <c r="ID17" s="23">
        <f t="shared" si="23"/>
        <v>12</v>
      </c>
      <c r="IE17" s="112" t="s">
        <v>22</v>
      </c>
    </row>
    <row r="18" spans="1:239" x14ac:dyDescent="0.25">
      <c r="A18" s="8">
        <v>13</v>
      </c>
      <c r="B18" s="8" t="str">
        <f t="shared" si="0"/>
        <v>FLUSHING STAGES 3-5</v>
      </c>
      <c r="C18" s="10"/>
      <c r="D18" s="6" t="str">
        <f t="shared" si="1"/>
        <v>RO_Data[1].ACK_DESC[</v>
      </c>
      <c r="E18" s="23">
        <f t="shared" si="13"/>
        <v>13</v>
      </c>
      <c r="F18" s="112" t="s">
        <v>22</v>
      </c>
      <c r="G18" s="129">
        <v>0</v>
      </c>
      <c r="H18" s="6" t="str">
        <f t="shared" si="2"/>
        <v>RO_Data[1].MIN[</v>
      </c>
      <c r="I18" s="23">
        <f t="shared" si="14"/>
        <v>13</v>
      </c>
      <c r="J18" s="112" t="s">
        <v>22</v>
      </c>
      <c r="K18" s="129">
        <v>1</v>
      </c>
      <c r="L18" s="6" t="str">
        <f t="shared" si="3"/>
        <v>RO_Data[1].SEC[</v>
      </c>
      <c r="M18" s="23">
        <f t="shared" si="15"/>
        <v>13</v>
      </c>
      <c r="N18" s="112" t="s">
        <v>22</v>
      </c>
      <c r="O18" s="132">
        <v>0</v>
      </c>
      <c r="P18" s="6" t="str">
        <f t="shared" si="4"/>
        <v>RO_Data[1].SETPOINT[</v>
      </c>
      <c r="Q18" s="23">
        <f t="shared" si="16"/>
        <v>13</v>
      </c>
      <c r="R18" s="112" t="s">
        <v>22</v>
      </c>
      <c r="S18" s="9" t="str">
        <f t="shared" si="5"/>
        <v>P</v>
      </c>
      <c r="T18" s="18"/>
      <c r="U18" s="19"/>
      <c r="V18" s="19"/>
      <c r="W18" s="19"/>
      <c r="X18" s="19">
        <v>1</v>
      </c>
      <c r="Y18" s="19"/>
      <c r="Z18" s="19"/>
      <c r="AA18" s="19"/>
      <c r="AB18" s="19"/>
      <c r="AC18" s="19"/>
      <c r="AD18" s="19"/>
      <c r="AE18" s="19"/>
      <c r="AF18" s="19"/>
      <c r="AG18" s="19"/>
      <c r="AH18" s="19"/>
      <c r="AI18" s="19"/>
      <c r="AJ18" s="19"/>
      <c r="AK18" s="19"/>
      <c r="AL18" s="19">
        <v>1</v>
      </c>
      <c r="AM18" s="19"/>
      <c r="AN18" s="19"/>
      <c r="AO18" s="19"/>
      <c r="AP18" s="19">
        <v>1</v>
      </c>
      <c r="AQ18" s="19"/>
      <c r="AR18" s="19"/>
      <c r="AS18" s="19"/>
      <c r="AT18" s="19"/>
      <c r="AU18" s="19"/>
      <c r="AV18" s="19"/>
      <c r="AW18" s="19"/>
      <c r="AX18" s="19"/>
      <c r="AY18" s="20"/>
      <c r="AZ18" s="8">
        <f t="array" ref="AZ18">Bin2DecRange($T18:$AY18)</f>
        <v>134226432</v>
      </c>
      <c r="BA18" s="6" t="str">
        <f t="shared" si="6"/>
        <v>RO_Data[1].COND1[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 t="str">
        <f t="shared" si="9"/>
        <v>RO_Data[1].ACT1[</v>
      </c>
      <c r="FF18" s="23">
        <f t="shared" si="20"/>
        <v>13</v>
      </c>
      <c r="FG18" s="112"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t="s">
        <v>454</v>
      </c>
      <c r="IC18" s="6" t="str">
        <f t="shared" si="12"/>
        <v>RO_Data[1].STEP_DESC[</v>
      </c>
      <c r="ID18" s="23">
        <f t="shared" si="23"/>
        <v>13</v>
      </c>
      <c r="IE18" s="112" t="s">
        <v>22</v>
      </c>
    </row>
    <row r="19" spans="1:239" x14ac:dyDescent="0.25">
      <c r="A19" s="8">
        <v>14</v>
      </c>
      <c r="B19" s="8" t="str">
        <f t="shared" si="0"/>
        <v>FLUSHING STAGES 4-5</v>
      </c>
      <c r="C19" s="10"/>
      <c r="D19" s="6" t="str">
        <f t="shared" si="1"/>
        <v>RO_Data[1].ACK_DESC[</v>
      </c>
      <c r="E19" s="23">
        <f t="shared" si="13"/>
        <v>14</v>
      </c>
      <c r="F19" s="112" t="s">
        <v>22</v>
      </c>
      <c r="G19" s="129">
        <v>0</v>
      </c>
      <c r="H19" s="6" t="str">
        <f t="shared" si="2"/>
        <v>RO_Data[1].MIN[</v>
      </c>
      <c r="I19" s="23">
        <f t="shared" si="14"/>
        <v>14</v>
      </c>
      <c r="J19" s="112" t="s">
        <v>22</v>
      </c>
      <c r="K19" s="129">
        <v>1</v>
      </c>
      <c r="L19" s="6" t="str">
        <f t="shared" si="3"/>
        <v>RO_Data[1].SEC[</v>
      </c>
      <c r="M19" s="23">
        <f t="shared" si="15"/>
        <v>14</v>
      </c>
      <c r="N19" s="112" t="s">
        <v>22</v>
      </c>
      <c r="O19" s="132">
        <v>0</v>
      </c>
      <c r="P19" s="6" t="str">
        <f t="shared" si="4"/>
        <v>RO_Data[1].SETPOINT[</v>
      </c>
      <c r="Q19" s="23">
        <f t="shared" si="16"/>
        <v>14</v>
      </c>
      <c r="R19" s="112" t="s">
        <v>22</v>
      </c>
      <c r="S19" s="9" t="str">
        <f t="shared" si="5"/>
        <v>P</v>
      </c>
      <c r="T19" s="18"/>
      <c r="U19" s="19"/>
      <c r="V19" s="19"/>
      <c r="W19" s="19"/>
      <c r="X19" s="19">
        <v>1</v>
      </c>
      <c r="Y19" s="19"/>
      <c r="Z19" s="19"/>
      <c r="AA19" s="19"/>
      <c r="AB19" s="19"/>
      <c r="AC19" s="19"/>
      <c r="AD19" s="19"/>
      <c r="AE19" s="19"/>
      <c r="AF19" s="19"/>
      <c r="AG19" s="19"/>
      <c r="AH19" s="19"/>
      <c r="AI19" s="19"/>
      <c r="AJ19" s="19"/>
      <c r="AK19" s="19"/>
      <c r="AL19" s="19">
        <v>1</v>
      </c>
      <c r="AM19" s="19"/>
      <c r="AN19" s="19"/>
      <c r="AO19" s="19"/>
      <c r="AP19" s="19">
        <v>1</v>
      </c>
      <c r="AQ19" s="19"/>
      <c r="AR19" s="19"/>
      <c r="AS19" s="19"/>
      <c r="AT19" s="19"/>
      <c r="AU19" s="19"/>
      <c r="AV19" s="19"/>
      <c r="AW19" s="19"/>
      <c r="AX19" s="19"/>
      <c r="AY19" s="20"/>
      <c r="AZ19" s="8">
        <f t="array" ref="AZ19">Bin2DecRange($T19:$AY19)</f>
        <v>134226432</v>
      </c>
      <c r="BA19" s="6" t="str">
        <f t="shared" si="6"/>
        <v>RO_Data[1].COND1[</v>
      </c>
      <c r="BB19" s="23">
        <f t="shared" si="17"/>
        <v>14</v>
      </c>
      <c r="BC19" s="112"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 t="str">
        <f t="shared" si="9"/>
        <v>RO_Data[1].ACT1[</v>
      </c>
      <c r="FF19" s="23">
        <f t="shared" si="20"/>
        <v>14</v>
      </c>
      <c r="FG19" s="112"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t="s">
        <v>455</v>
      </c>
      <c r="IC19" s="6" t="str">
        <f t="shared" si="12"/>
        <v>RO_Data[1].STEP_DESC[</v>
      </c>
      <c r="ID19" s="23">
        <f t="shared" si="23"/>
        <v>14</v>
      </c>
      <c r="IE19" s="112" t="s">
        <v>22</v>
      </c>
    </row>
    <row r="20" spans="1:239" x14ac:dyDescent="0.25">
      <c r="A20" s="8">
        <v>15</v>
      </c>
      <c r="B20" s="8" t="str">
        <f t="shared" si="0"/>
        <v>FLUSHING STAGES 5</v>
      </c>
      <c r="C20" s="10"/>
      <c r="D20" s="6" t="str">
        <f t="shared" si="1"/>
        <v>RO_Data[1].ACK_DESC[</v>
      </c>
      <c r="E20" s="23">
        <f t="shared" si="13"/>
        <v>15</v>
      </c>
      <c r="F20" s="112" t="s">
        <v>22</v>
      </c>
      <c r="G20" s="129">
        <v>0</v>
      </c>
      <c r="H20" s="6" t="str">
        <f t="shared" si="2"/>
        <v>RO_Data[1].MIN[</v>
      </c>
      <c r="I20" s="23">
        <f t="shared" si="14"/>
        <v>15</v>
      </c>
      <c r="J20" s="112" t="s">
        <v>22</v>
      </c>
      <c r="K20" s="129">
        <v>1</v>
      </c>
      <c r="L20" s="6" t="str">
        <f t="shared" si="3"/>
        <v>RO_Data[1].SEC[</v>
      </c>
      <c r="M20" s="23">
        <f t="shared" si="15"/>
        <v>15</v>
      </c>
      <c r="N20" s="112" t="s">
        <v>22</v>
      </c>
      <c r="O20" s="132">
        <v>0</v>
      </c>
      <c r="P20" s="6" t="str">
        <f t="shared" si="4"/>
        <v>RO_Data[1].SETPOINT[</v>
      </c>
      <c r="Q20" s="23">
        <f t="shared" si="16"/>
        <v>15</v>
      </c>
      <c r="R20" s="112" t="s">
        <v>22</v>
      </c>
      <c r="S20" s="9" t="str">
        <f t="shared" si="5"/>
        <v>P</v>
      </c>
      <c r="T20" s="18"/>
      <c r="U20" s="19"/>
      <c r="V20" s="19"/>
      <c r="W20" s="19"/>
      <c r="X20" s="19">
        <v>1</v>
      </c>
      <c r="Y20" s="19"/>
      <c r="Z20" s="19"/>
      <c r="AA20" s="19"/>
      <c r="AB20" s="19"/>
      <c r="AC20" s="19"/>
      <c r="AD20" s="19"/>
      <c r="AE20" s="19"/>
      <c r="AF20" s="19"/>
      <c r="AG20" s="19"/>
      <c r="AH20" s="19"/>
      <c r="AI20" s="19"/>
      <c r="AJ20" s="19"/>
      <c r="AK20" s="19"/>
      <c r="AL20" s="19">
        <v>1</v>
      </c>
      <c r="AM20" s="19"/>
      <c r="AN20" s="19"/>
      <c r="AO20" s="19"/>
      <c r="AP20" s="19">
        <v>1</v>
      </c>
      <c r="AQ20" s="19"/>
      <c r="AR20" s="19"/>
      <c r="AS20" s="19"/>
      <c r="AT20" s="19"/>
      <c r="AU20" s="19"/>
      <c r="AV20" s="19"/>
      <c r="AW20" s="19"/>
      <c r="AX20" s="19"/>
      <c r="AY20" s="20"/>
      <c r="AZ20" s="8">
        <f t="array" ref="AZ20">Bin2DecRange($T20:$AY20)</f>
        <v>134226432</v>
      </c>
      <c r="BA20" s="6" t="str">
        <f t="shared" si="6"/>
        <v>RO_Data[1].COND1[</v>
      </c>
      <c r="BB20" s="23">
        <f t="shared" si="17"/>
        <v>15</v>
      </c>
      <c r="BC20" s="112"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 t="str">
        <f t="shared" si="9"/>
        <v>RO_Data[1].ACT1[</v>
      </c>
      <c r="FF20" s="23">
        <f t="shared" si="20"/>
        <v>15</v>
      </c>
      <c r="FG20" s="112"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t="s">
        <v>456</v>
      </c>
      <c r="IC20" s="6" t="str">
        <f t="shared" si="12"/>
        <v>RO_Data[1].STEP_DESC[</v>
      </c>
      <c r="ID20" s="23">
        <f t="shared" si="23"/>
        <v>15</v>
      </c>
      <c r="IE20" s="112" t="s">
        <v>22</v>
      </c>
    </row>
    <row r="21" spans="1:239" x14ac:dyDescent="0.25">
      <c r="A21" s="8">
        <v>16</v>
      </c>
      <c r="B21" s="8" t="str">
        <f t="shared" si="0"/>
        <v>PAUSE</v>
      </c>
      <c r="C21" s="10"/>
      <c r="D21" s="6" t="str">
        <f t="shared" si="1"/>
        <v>RO_Data[1].ACK_DESC[</v>
      </c>
      <c r="E21" s="23">
        <f t="shared" si="13"/>
        <v>16</v>
      </c>
      <c r="F21" s="112" t="s">
        <v>22</v>
      </c>
      <c r="G21" s="129">
        <v>0</v>
      </c>
      <c r="H21" s="6" t="str">
        <f t="shared" si="2"/>
        <v>RO_Data[1].MIN[</v>
      </c>
      <c r="I21" s="23">
        <f t="shared" si="14"/>
        <v>16</v>
      </c>
      <c r="J21" s="112" t="s">
        <v>22</v>
      </c>
      <c r="K21" s="129">
        <v>10</v>
      </c>
      <c r="L21" s="6" t="str">
        <f t="shared" si="3"/>
        <v>RO_Data[1].SEC[</v>
      </c>
      <c r="M21" s="23">
        <f t="shared" si="15"/>
        <v>16</v>
      </c>
      <c r="N21" s="112" t="s">
        <v>22</v>
      </c>
      <c r="O21" s="132">
        <v>0</v>
      </c>
      <c r="P21" s="6" t="str">
        <f t="shared" si="4"/>
        <v>RO_Data[1].SETPOINT[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t="s">
        <v>207</v>
      </c>
      <c r="IC21" s="6" t="str">
        <f t="shared" si="12"/>
        <v>RO_Data[1].STEP_DESC[</v>
      </c>
      <c r="ID21" s="23">
        <f t="shared" si="23"/>
        <v>16</v>
      </c>
      <c r="IE21" s="112" t="s">
        <v>22</v>
      </c>
    </row>
    <row r="22" spans="1:239" x14ac:dyDescent="0.25">
      <c r="A22" s="8">
        <v>17</v>
      </c>
      <c r="B22" s="8" t="str">
        <f t="shared" si="0"/>
        <v>CYCLE COMPLETE</v>
      </c>
      <c r="C22" s="10"/>
      <c r="D22" s="6" t="str">
        <f t="shared" si="1"/>
        <v>RO_Data[1].ACK_DESC[</v>
      </c>
      <c r="E22" s="23">
        <f t="shared" si="13"/>
        <v>17</v>
      </c>
      <c r="F22" s="112" t="s">
        <v>22</v>
      </c>
      <c r="G22" s="129">
        <v>0</v>
      </c>
      <c r="H22" s="6" t="str">
        <f t="shared" si="2"/>
        <v>RO_Data[1].MIN[</v>
      </c>
      <c r="I22" s="23">
        <f t="shared" si="14"/>
        <v>17</v>
      </c>
      <c r="J22" s="112" t="s">
        <v>22</v>
      </c>
      <c r="K22" s="129">
        <v>1</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v>1</v>
      </c>
      <c r="AZ22" s="8">
        <f t="array" ref="AZ22">Bin2DecRange($T22:$AY22)</f>
        <v>1</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t="s">
        <v>208</v>
      </c>
      <c r="IC22" s="6" t="str">
        <f t="shared" si="12"/>
        <v>RO_Data[1].STEP_DESC[</v>
      </c>
      <c r="ID22" s="23">
        <f t="shared" si="23"/>
        <v>17</v>
      </c>
      <c r="IE22" s="112" t="s">
        <v>22</v>
      </c>
    </row>
    <row r="23" spans="1:239" x14ac:dyDescent="0.2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2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2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2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2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2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3">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zoomScale="80" zoomScaleNormal="80" workbookViewId="0">
      <pane xSplit="2" ySplit="4" topLeftCell="I56" activePane="bottomRight" state="frozen"/>
      <selection activeCell="ED4" sqref="ED4"/>
      <selection pane="topRight" activeCell="ED4" sqref="ED4"/>
      <selection pane="bottomLeft" activeCell="ED4" sqref="ED4"/>
      <selection pane="bottomRight" activeCell="AL15" sqref="AL15"/>
    </sheetView>
  </sheetViews>
  <sheetFormatPr defaultColWidth="9.140625" defaultRowHeight="15" x14ac:dyDescent="0.25"/>
  <cols>
    <col min="1" max="1" width="6.7109375" style="109" bestFit="1" customWidth="1"/>
    <col min="2" max="2" width="46.85546875" style="109" customWidth="1"/>
    <col min="3" max="3" width="26.710937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55.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68"/>
      <c r="G2" s="67" t="s">
        <v>107</v>
      </c>
      <c r="H2" s="170"/>
      <c r="I2" s="147"/>
      <c r="J2" s="148"/>
      <c r="K2" s="67" t="s">
        <v>110</v>
      </c>
      <c r="L2" s="170"/>
      <c r="M2" s="147"/>
      <c r="N2" s="180"/>
      <c r="O2" s="4" t="s">
        <v>106</v>
      </c>
      <c r="P2" s="171"/>
      <c r="Q2" s="147"/>
      <c r="R2" s="148"/>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8"/>
      <c r="GR2" s="33" t="s">
        <v>425</v>
      </c>
      <c r="GS2" s="33" t="s">
        <v>428</v>
      </c>
      <c r="GT2" s="33" t="s">
        <v>427</v>
      </c>
      <c r="GU2" s="33" t="s">
        <v>424</v>
      </c>
      <c r="GV2" s="33" t="s">
        <v>415</v>
      </c>
      <c r="GW2" s="33" t="s">
        <v>416</v>
      </c>
      <c r="GX2" s="33" t="s">
        <v>417</v>
      </c>
      <c r="GY2" s="33" t="s">
        <v>418</v>
      </c>
      <c r="GZ2" s="33"/>
      <c r="HA2" s="33"/>
      <c r="HB2" s="33"/>
      <c r="HC2" s="33"/>
      <c r="HD2" s="33"/>
      <c r="HE2" s="33"/>
      <c r="HF2" s="33"/>
      <c r="HG2" s="33"/>
      <c r="HH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68"/>
    </row>
    <row r="3" spans="1:239" ht="15.75" customHeight="1" thickBot="1" x14ac:dyDescent="0.3">
      <c r="A3" s="113" t="s">
        <v>19</v>
      </c>
      <c r="B3" s="113"/>
      <c r="C3" s="113" t="s">
        <v>17</v>
      </c>
      <c r="D3" s="162" t="s">
        <v>20</v>
      </c>
      <c r="E3" s="163"/>
      <c r="F3" s="164"/>
      <c r="G3" s="114" t="s">
        <v>15</v>
      </c>
      <c r="H3" s="173" t="s">
        <v>20</v>
      </c>
      <c r="I3" s="163"/>
      <c r="J3" s="164"/>
      <c r="K3" s="119" t="s">
        <v>15</v>
      </c>
      <c r="L3" s="173" t="s">
        <v>20</v>
      </c>
      <c r="M3" s="163"/>
      <c r="N3" s="164"/>
      <c r="O3" s="119" t="s">
        <v>15</v>
      </c>
      <c r="P3" s="162" t="s">
        <v>20</v>
      </c>
      <c r="Q3" s="163"/>
      <c r="R3" s="164"/>
      <c r="S3" s="68"/>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3" t="s">
        <v>396</v>
      </c>
      <c r="FE3" s="173" t="s">
        <v>20</v>
      </c>
      <c r="FF3" s="163"/>
      <c r="FG3" s="164"/>
      <c r="FH3" s="175"/>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3" t="s">
        <v>396</v>
      </c>
      <c r="GO3" s="173" t="s">
        <v>20</v>
      </c>
      <c r="GP3" s="163"/>
      <c r="GQ3" s="164"/>
      <c r="GR3" s="175"/>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3" t="s">
        <v>396</v>
      </c>
      <c r="HY3" s="173" t="s">
        <v>20</v>
      </c>
      <c r="HZ3" s="163"/>
      <c r="IA3" s="164"/>
      <c r="IB3" s="113" t="s">
        <v>17</v>
      </c>
      <c r="IC3" s="162" t="s">
        <v>20</v>
      </c>
      <c r="ID3" s="163"/>
      <c r="IE3" s="164"/>
    </row>
    <row r="4" spans="1:239" x14ac:dyDescent="0.25">
      <c r="A4" s="73" t="s">
        <v>21</v>
      </c>
      <c r="B4" s="73" t="s">
        <v>18</v>
      </c>
      <c r="C4" s="117"/>
      <c r="D4" s="182"/>
      <c r="E4" s="183"/>
      <c r="F4" s="185"/>
      <c r="G4" s="74"/>
      <c r="H4" s="182"/>
      <c r="I4" s="183"/>
      <c r="J4" s="185"/>
      <c r="K4" s="74"/>
      <c r="L4" s="182"/>
      <c r="M4" s="183"/>
      <c r="N4" s="184"/>
      <c r="O4" s="75"/>
      <c r="P4" s="182"/>
      <c r="Q4" s="183"/>
      <c r="R4" s="185"/>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82"/>
      <c r="BB4" s="183"/>
      <c r="BC4" s="184"/>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82"/>
      <c r="CL4" s="183"/>
      <c r="CM4" s="184"/>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82"/>
      <c r="DV4" s="183"/>
      <c r="DW4" s="18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82"/>
      <c r="FF4" s="183"/>
      <c r="FG4" s="185"/>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82"/>
      <c r="GP4" s="183"/>
      <c r="GQ4" s="185"/>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82"/>
      <c r="HZ4" s="183"/>
      <c r="IA4" s="184"/>
      <c r="IB4" s="73"/>
      <c r="IC4" s="182"/>
      <c r="ID4" s="183"/>
      <c r="IE4" s="185"/>
    </row>
    <row r="5" spans="1:239" x14ac:dyDescent="0.25">
      <c r="A5" s="8">
        <v>0</v>
      </c>
      <c r="B5" s="8" t="str">
        <f t="shared" ref="B5:B68" si="0">IF($IB5&lt;&gt;"", $IB5, "")</f>
        <v>HOME</v>
      </c>
      <c r="C5" s="47"/>
      <c r="D5" s="22" t="s">
        <v>333</v>
      </c>
      <c r="E5" s="23">
        <v>0</v>
      </c>
      <c r="F5" s="112" t="s">
        <v>22</v>
      </c>
      <c r="G5" s="129">
        <v>0</v>
      </c>
      <c r="H5" s="22" t="s">
        <v>334</v>
      </c>
      <c r="I5" s="23">
        <v>0</v>
      </c>
      <c r="J5" s="112" t="s">
        <v>22</v>
      </c>
      <c r="K5" s="129">
        <v>0</v>
      </c>
      <c r="L5" s="22" t="s">
        <v>335</v>
      </c>
      <c r="M5" s="23">
        <v>0</v>
      </c>
      <c r="N5" s="112" t="s">
        <v>22</v>
      </c>
      <c r="O5" s="132">
        <v>0</v>
      </c>
      <c r="P5" s="22" t="s">
        <v>336</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337</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338</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339</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340</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341</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342</v>
      </c>
      <c r="HZ5" s="23">
        <v>0</v>
      </c>
      <c r="IA5" s="112" t="s">
        <v>22</v>
      </c>
      <c r="IB5" s="10" t="s">
        <v>206</v>
      </c>
      <c r="IC5" s="22" t="s">
        <v>343</v>
      </c>
      <c r="ID5" s="23">
        <v>0</v>
      </c>
      <c r="IE5" s="112" t="s">
        <v>22</v>
      </c>
    </row>
    <row r="6" spans="1:239" x14ac:dyDescent="0.2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209</v>
      </c>
      <c r="IC6" s="6" t="str">
        <f t="shared" ref="IC6:IC69" si="12">IC$5</f>
        <v>RO_Data[2].STEP_DESC[</v>
      </c>
      <c r="ID6" s="23">
        <f>ID5+1</f>
        <v>1</v>
      </c>
      <c r="IE6" s="112" t="s">
        <v>22</v>
      </c>
    </row>
    <row r="7" spans="1:239" x14ac:dyDescent="0.2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210</v>
      </c>
      <c r="IC7" s="6" t="str">
        <f t="shared" si="12"/>
        <v>RO_Data[2].STEP_DESC[</v>
      </c>
      <c r="ID7" s="23">
        <f t="shared" ref="ID7:ID29" si="23">ID6+1</f>
        <v>2</v>
      </c>
      <c r="IE7" s="112" t="s">
        <v>22</v>
      </c>
    </row>
    <row r="8" spans="1:239" x14ac:dyDescent="0.2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211</v>
      </c>
      <c r="IC8" s="6" t="str">
        <f t="shared" si="12"/>
        <v>RO_Data[2].STEP_DESC[</v>
      </c>
      <c r="ID8" s="23">
        <f t="shared" si="23"/>
        <v>3</v>
      </c>
      <c r="IE8" s="112" t="s">
        <v>22</v>
      </c>
    </row>
    <row r="9" spans="1:239" x14ac:dyDescent="0.2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207</v>
      </c>
      <c r="IC9" s="6" t="str">
        <f t="shared" si="12"/>
        <v>RO_Data[2].STEP_DESC[</v>
      </c>
      <c r="ID9" s="23">
        <f t="shared" si="23"/>
        <v>4</v>
      </c>
      <c r="IE9" s="112" t="s">
        <v>22</v>
      </c>
    </row>
    <row r="10" spans="1:239" x14ac:dyDescent="0.2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209</v>
      </c>
      <c r="IC10" s="6" t="str">
        <f t="shared" si="12"/>
        <v>RO_Data[2].STEP_DESC[</v>
      </c>
      <c r="ID10" s="23">
        <f t="shared" si="23"/>
        <v>5</v>
      </c>
      <c r="IE10" s="112" t="s">
        <v>22</v>
      </c>
    </row>
    <row r="11" spans="1:239" x14ac:dyDescent="0.2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210</v>
      </c>
      <c r="IC11" s="6" t="str">
        <f t="shared" si="12"/>
        <v>RO_Data[2].STEP_DESC[</v>
      </c>
      <c r="ID11" s="23">
        <f t="shared" si="23"/>
        <v>6</v>
      </c>
      <c r="IE11" s="112" t="s">
        <v>22</v>
      </c>
    </row>
    <row r="12" spans="1:239" x14ac:dyDescent="0.2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v>1</v>
      </c>
      <c r="HX12" s="8" cm="1">
        <f t="array" ref="HX12">Bin2DecRange($GR12:$HW12)</f>
        <v>16777217</v>
      </c>
      <c r="HY12" s="6" t="str">
        <f t="shared" si="11"/>
        <v>RO_Data[2].ACT6[</v>
      </c>
      <c r="HZ12" s="23">
        <f t="shared" si="22"/>
        <v>7</v>
      </c>
      <c r="IA12" s="112" t="s">
        <v>22</v>
      </c>
      <c r="IB12" s="10" t="s">
        <v>212</v>
      </c>
      <c r="IC12" s="6" t="str">
        <f t="shared" si="12"/>
        <v>RO_Data[2].STEP_DESC[</v>
      </c>
      <c r="ID12" s="23">
        <f t="shared" si="23"/>
        <v>7</v>
      </c>
      <c r="IE12" s="112" t="s">
        <v>22</v>
      </c>
    </row>
    <row r="13" spans="1:239" x14ac:dyDescent="0.2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429</v>
      </c>
      <c r="IC13" s="6" t="str">
        <f t="shared" si="12"/>
        <v>RO_Data[2].STEP_DESC[</v>
      </c>
      <c r="ID13" s="23">
        <f t="shared" si="23"/>
        <v>8</v>
      </c>
      <c r="IE13" s="112" t="s">
        <v>22</v>
      </c>
    </row>
    <row r="14" spans="1:239" x14ac:dyDescent="0.25">
      <c r="A14" s="8">
        <v>9</v>
      </c>
      <c r="B14" s="8" t="str">
        <f t="shared" si="0"/>
        <v>CHECK PH - HOLD FOR ACKNOWLEDGE</v>
      </c>
      <c r="C14" s="47" t="s">
        <v>414</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RO_Data[2].ACT6[</v>
      </c>
      <c r="HZ14" s="23">
        <f t="shared" si="22"/>
        <v>9</v>
      </c>
      <c r="IA14" s="112" t="s">
        <v>22</v>
      </c>
      <c r="IB14" s="10" t="s">
        <v>329</v>
      </c>
      <c r="IC14" s="6" t="str">
        <f t="shared" si="12"/>
        <v>RO_Data[2].STEP_DESC[</v>
      </c>
      <c r="ID14" s="23">
        <f t="shared" si="23"/>
        <v>9</v>
      </c>
      <c r="IE14" s="112" t="s">
        <v>22</v>
      </c>
    </row>
    <row r="15" spans="1:239" x14ac:dyDescent="0.2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RO_Data[2].ACT6[</v>
      </c>
      <c r="HZ15" s="23">
        <f t="shared" si="22"/>
        <v>10</v>
      </c>
      <c r="IA15" s="112" t="s">
        <v>22</v>
      </c>
      <c r="IB15" s="10" t="s">
        <v>430</v>
      </c>
      <c r="IC15" s="6" t="str">
        <f t="shared" si="12"/>
        <v>RO_Data[2].STEP_DESC[</v>
      </c>
      <c r="ID15" s="23">
        <f t="shared" si="23"/>
        <v>10</v>
      </c>
      <c r="IE15" s="112" t="s">
        <v>22</v>
      </c>
    </row>
    <row r="16" spans="1:239" x14ac:dyDescent="0.2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213</v>
      </c>
      <c r="IC16" s="6" t="str">
        <f t="shared" si="12"/>
        <v>RO_Data[2].STEP_DESC[</v>
      </c>
      <c r="ID16" s="23">
        <f t="shared" si="23"/>
        <v>11</v>
      </c>
      <c r="IE16" s="112" t="s">
        <v>22</v>
      </c>
    </row>
    <row r="17" spans="1:239" x14ac:dyDescent="0.2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214</v>
      </c>
      <c r="IC17" s="6" t="str">
        <f t="shared" si="12"/>
        <v>RO_Data[2].STEP_DESC[</v>
      </c>
      <c r="ID17" s="23">
        <f t="shared" si="23"/>
        <v>12</v>
      </c>
      <c r="IE17" s="112" t="s">
        <v>22</v>
      </c>
    </row>
    <row r="18" spans="1:239" x14ac:dyDescent="0.2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P</v>
      </c>
      <c r="T18" s="18"/>
      <c r="U18" s="19"/>
      <c r="V18" s="19"/>
      <c r="W18" s="19"/>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209</v>
      </c>
      <c r="IC18" s="6" t="str">
        <f t="shared" si="12"/>
        <v>RO_Data[2].STEP_DESC[</v>
      </c>
      <c r="ID18" s="23">
        <f t="shared" si="23"/>
        <v>13</v>
      </c>
      <c r="IE18" s="112" t="s">
        <v>22</v>
      </c>
    </row>
    <row r="19" spans="1:239" x14ac:dyDescent="0.2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210</v>
      </c>
      <c r="IC19" s="6" t="str">
        <f t="shared" si="12"/>
        <v>RO_Data[2].STEP_DESC[</v>
      </c>
      <c r="ID19" s="23">
        <f t="shared" si="23"/>
        <v>14</v>
      </c>
      <c r="IE19" s="112" t="s">
        <v>22</v>
      </c>
    </row>
    <row r="20" spans="1:239" x14ac:dyDescent="0.2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P</v>
      </c>
      <c r="T20" s="18"/>
      <c r="U20" s="19"/>
      <c r="V20" s="19"/>
      <c r="W20" s="19"/>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211</v>
      </c>
      <c r="IC20" s="6" t="str">
        <f t="shared" si="12"/>
        <v>RO_Data[2].STEP_DESC[</v>
      </c>
      <c r="ID20" s="23">
        <f t="shared" si="23"/>
        <v>15</v>
      </c>
      <c r="IE20" s="112" t="s">
        <v>22</v>
      </c>
    </row>
    <row r="21" spans="1:239" x14ac:dyDescent="0.2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207</v>
      </c>
      <c r="IC21" s="6" t="str">
        <f t="shared" si="12"/>
        <v>RO_Data[2].STEP_DESC[</v>
      </c>
      <c r="ID21" s="23">
        <f t="shared" si="23"/>
        <v>16</v>
      </c>
      <c r="IE21" s="112" t="s">
        <v>22</v>
      </c>
    </row>
    <row r="22" spans="1:239" x14ac:dyDescent="0.2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209</v>
      </c>
      <c r="IC22" s="6" t="str">
        <f t="shared" si="12"/>
        <v>RO_Data[2].STEP_DESC[</v>
      </c>
      <c r="ID22" s="23">
        <f t="shared" si="23"/>
        <v>17</v>
      </c>
      <c r="IE22" s="112" t="s">
        <v>22</v>
      </c>
    </row>
    <row r="23" spans="1:239" x14ac:dyDescent="0.2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P</v>
      </c>
      <c r="T23" s="18"/>
      <c r="U23" s="19"/>
      <c r="V23" s="19"/>
      <c r="W23" s="19"/>
      <c r="X23" s="19"/>
      <c r="Y23" s="19"/>
      <c r="Z23" s="19"/>
      <c r="AA23" s="19"/>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210</v>
      </c>
      <c r="IC23" s="6" t="str">
        <f t="shared" si="12"/>
        <v>RO_Data[2].STEP_DESC[</v>
      </c>
      <c r="ID23" s="23">
        <f t="shared" si="23"/>
        <v>18</v>
      </c>
      <c r="IE23" s="112" t="s">
        <v>22</v>
      </c>
    </row>
    <row r="24" spans="1:239" x14ac:dyDescent="0.2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P</v>
      </c>
      <c r="T24" s="18"/>
      <c r="U24" s="19"/>
      <c r="V24" s="19"/>
      <c r="W24" s="19"/>
      <c r="X24" s="19"/>
      <c r="Y24" s="19"/>
      <c r="Z24" s="19"/>
      <c r="AA24" s="19"/>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v>1</v>
      </c>
      <c r="HW24" s="20"/>
      <c r="HX24" s="8" cm="1">
        <f t="array" ref="HX24">Bin2DecRange($GR24:$HW24)</f>
        <v>33554434</v>
      </c>
      <c r="HY24" s="6" t="str">
        <f t="shared" si="11"/>
        <v>RO_Data[2].ACT6[</v>
      </c>
      <c r="HZ24" s="23">
        <f t="shared" si="22"/>
        <v>19</v>
      </c>
      <c r="IA24" s="112" t="s">
        <v>22</v>
      </c>
      <c r="IB24" s="10" t="s">
        <v>212</v>
      </c>
      <c r="IC24" s="6" t="str">
        <f t="shared" si="12"/>
        <v>RO_Data[2].STEP_DESC[</v>
      </c>
      <c r="ID24" s="23">
        <f t="shared" si="23"/>
        <v>19</v>
      </c>
      <c r="IE24" s="112" t="s">
        <v>22</v>
      </c>
    </row>
    <row r="25" spans="1:239" x14ac:dyDescent="0.2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P</v>
      </c>
      <c r="T25" s="18"/>
      <c r="U25" s="19"/>
      <c r="V25" s="19"/>
      <c r="W25" s="19"/>
      <c r="X25" s="19"/>
      <c r="Y25" s="19"/>
      <c r="Z25" s="19"/>
      <c r="AA25" s="19"/>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431</v>
      </c>
      <c r="IC25" s="6" t="str">
        <f t="shared" si="12"/>
        <v>RO_Data[2].STEP_DESC[</v>
      </c>
      <c r="ID25" s="23">
        <f t="shared" si="23"/>
        <v>20</v>
      </c>
      <c r="IE25" s="112" t="s">
        <v>22</v>
      </c>
    </row>
    <row r="26" spans="1:239" x14ac:dyDescent="0.25">
      <c r="A26" s="8">
        <v>21</v>
      </c>
      <c r="B26" s="8" t="str">
        <f t="shared" si="0"/>
        <v>CHECK PH - HOLD FOR ACKNOWLEDGE</v>
      </c>
      <c r="C26" s="47" t="s">
        <v>414</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v>1</v>
      </c>
      <c r="HK26" s="19">
        <v>1</v>
      </c>
      <c r="HL26" s="19">
        <v>1</v>
      </c>
      <c r="HM26" s="19">
        <v>1</v>
      </c>
      <c r="HN26" s="19">
        <v>1</v>
      </c>
      <c r="HO26" s="19">
        <v>1</v>
      </c>
      <c r="HP26" s="19"/>
      <c r="HQ26" s="19"/>
      <c r="HR26" s="19"/>
      <c r="HS26" s="19"/>
      <c r="HT26" s="19"/>
      <c r="HU26" s="19"/>
      <c r="HV26" s="19"/>
      <c r="HW26" s="20"/>
      <c r="HX26" s="8" cm="1">
        <f t="array" ref="HX26">Bin2DecRange($GR26:$HW26)</f>
        <v>16128</v>
      </c>
      <c r="HY26" s="6" t="str">
        <f t="shared" si="11"/>
        <v>RO_Data[2].ACT6[</v>
      </c>
      <c r="HZ26" s="23">
        <f t="shared" si="22"/>
        <v>21</v>
      </c>
      <c r="IA26" s="112" t="s">
        <v>22</v>
      </c>
      <c r="IB26" s="10" t="s">
        <v>329</v>
      </c>
      <c r="IC26" s="6" t="str">
        <f t="shared" si="12"/>
        <v>RO_Data[2].STEP_DESC[</v>
      </c>
      <c r="ID26" s="23">
        <f t="shared" si="23"/>
        <v>21</v>
      </c>
      <c r="IE26" s="112" t="s">
        <v>22</v>
      </c>
    </row>
    <row r="27" spans="1:239" x14ac:dyDescent="0.2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P</v>
      </c>
      <c r="T27" s="18"/>
      <c r="U27" s="19"/>
      <c r="V27" s="19"/>
      <c r="W27" s="19"/>
      <c r="X27" s="19"/>
      <c r="Y27" s="19"/>
      <c r="Z27" s="19"/>
      <c r="AA27" s="19"/>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v>1</v>
      </c>
      <c r="HK27" s="19">
        <v>1</v>
      </c>
      <c r="HL27" s="19">
        <v>1</v>
      </c>
      <c r="HM27" s="19">
        <v>1</v>
      </c>
      <c r="HN27" s="19">
        <v>1</v>
      </c>
      <c r="HO27" s="19">
        <v>1</v>
      </c>
      <c r="HP27" s="19"/>
      <c r="HQ27" s="19"/>
      <c r="HR27" s="19"/>
      <c r="HS27" s="19"/>
      <c r="HT27" s="19"/>
      <c r="HU27" s="19"/>
      <c r="HV27" s="19"/>
      <c r="HW27" s="20"/>
      <c r="HX27" s="8" cm="1">
        <f t="array" ref="HX27">Bin2DecRange($GR27:$HW27)</f>
        <v>16128</v>
      </c>
      <c r="HY27" s="6" t="str">
        <f t="shared" si="11"/>
        <v>RO_Data[2].ACT6[</v>
      </c>
      <c r="HZ27" s="23">
        <f t="shared" si="22"/>
        <v>22</v>
      </c>
      <c r="IA27" s="112" t="s">
        <v>22</v>
      </c>
      <c r="IB27" s="10" t="s">
        <v>432</v>
      </c>
      <c r="IC27" s="6" t="str">
        <f t="shared" si="12"/>
        <v>RO_Data[2].STEP_DESC[</v>
      </c>
      <c r="ID27" s="23">
        <f t="shared" si="23"/>
        <v>22</v>
      </c>
      <c r="IE27" s="112" t="s">
        <v>22</v>
      </c>
    </row>
    <row r="28" spans="1:239" x14ac:dyDescent="0.2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P</v>
      </c>
      <c r="T28" s="18"/>
      <c r="U28" s="19"/>
      <c r="V28" s="19"/>
      <c r="W28" s="19"/>
      <c r="X28" s="19"/>
      <c r="Y28" s="19"/>
      <c r="Z28" s="19"/>
      <c r="AA28" s="19"/>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213</v>
      </c>
      <c r="IC28" s="6" t="str">
        <f t="shared" si="12"/>
        <v>RO_Data[2].STEP_DESC[</v>
      </c>
      <c r="ID28" s="23">
        <f t="shared" si="23"/>
        <v>23</v>
      </c>
      <c r="IE28" s="112" t="s">
        <v>22</v>
      </c>
    </row>
    <row r="29" spans="1:239" ht="15.75" customHeight="1" x14ac:dyDescent="0.2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P</v>
      </c>
      <c r="T29" s="19"/>
      <c r="U29" s="19"/>
      <c r="V29" s="19"/>
      <c r="W29" s="19"/>
      <c r="X29" s="19"/>
      <c r="Y29" s="19"/>
      <c r="Z29" s="19"/>
      <c r="AA29" s="19"/>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214</v>
      </c>
      <c r="IC29" s="6" t="str">
        <f t="shared" si="12"/>
        <v>RO_Data[2].STEP_DESC[</v>
      </c>
      <c r="ID29" s="23">
        <f t="shared" si="23"/>
        <v>24</v>
      </c>
      <c r="IE29" s="112" t="s">
        <v>22</v>
      </c>
    </row>
    <row r="30" spans="1:239" x14ac:dyDescent="0.2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P</v>
      </c>
      <c r="T30" s="16"/>
      <c r="U30" s="16"/>
      <c r="V30" s="16"/>
      <c r="W30" s="16"/>
      <c r="X30" s="16"/>
      <c r="Y30" s="16"/>
      <c r="Z30" s="16"/>
      <c r="AA30" s="16"/>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209</v>
      </c>
      <c r="IC30" s="6" t="str">
        <f t="shared" si="12"/>
        <v>RO_Data[2].STEP_DESC[</v>
      </c>
      <c r="ID30" s="23">
        <v>25</v>
      </c>
      <c r="IE30" s="112" t="s">
        <v>22</v>
      </c>
    </row>
    <row r="31" spans="1:239" x14ac:dyDescent="0.2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P</v>
      </c>
      <c r="T31" s="16"/>
      <c r="U31" s="16"/>
      <c r="V31" s="16"/>
      <c r="W31" s="16"/>
      <c r="X31" s="16"/>
      <c r="Y31" s="16"/>
      <c r="Z31" s="16"/>
      <c r="AA31" s="16"/>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210</v>
      </c>
      <c r="IC31" s="6" t="str">
        <f t="shared" si="12"/>
        <v>RO_Data[2].STEP_DESC[</v>
      </c>
      <c r="ID31" s="23">
        <v>26</v>
      </c>
      <c r="IE31" s="112" t="s">
        <v>22</v>
      </c>
    </row>
    <row r="32" spans="1:239" x14ac:dyDescent="0.2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P</v>
      </c>
      <c r="T32" s="16"/>
      <c r="U32" s="16"/>
      <c r="V32" s="16"/>
      <c r="W32" s="16"/>
      <c r="X32" s="16"/>
      <c r="Y32" s="16"/>
      <c r="Z32" s="16"/>
      <c r="AA32" s="16"/>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211</v>
      </c>
      <c r="IC32" s="6" t="str">
        <f t="shared" si="12"/>
        <v>RO_Data[2].STEP_DESC[</v>
      </c>
      <c r="ID32" s="23">
        <v>27</v>
      </c>
      <c r="IE32" s="112" t="s">
        <v>22</v>
      </c>
    </row>
    <row r="33" spans="1:239" x14ac:dyDescent="0.2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P</v>
      </c>
      <c r="T33" s="16"/>
      <c r="U33" s="16"/>
      <c r="V33" s="16"/>
      <c r="W33" s="16"/>
      <c r="X33" s="16"/>
      <c r="Y33" s="16"/>
      <c r="Z33" s="16"/>
      <c r="AA33" s="16"/>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207</v>
      </c>
      <c r="IC33" s="6" t="str">
        <f t="shared" si="12"/>
        <v>RO_Data[2].STEP_DESC[</v>
      </c>
      <c r="ID33" s="23">
        <v>28</v>
      </c>
      <c r="IE33" s="112" t="s">
        <v>22</v>
      </c>
    </row>
    <row r="34" spans="1:239" x14ac:dyDescent="0.2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P</v>
      </c>
      <c r="T34" s="16"/>
      <c r="U34" s="16"/>
      <c r="V34" s="16"/>
      <c r="W34" s="16"/>
      <c r="X34" s="16"/>
      <c r="Y34" s="16"/>
      <c r="Z34" s="16"/>
      <c r="AA34" s="16"/>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209</v>
      </c>
      <c r="IC34" s="6" t="str">
        <f t="shared" si="12"/>
        <v>RO_Data[2].STEP_DESC[</v>
      </c>
      <c r="ID34" s="23">
        <v>29</v>
      </c>
      <c r="IE34" s="112" t="s">
        <v>22</v>
      </c>
    </row>
    <row r="35" spans="1:239" x14ac:dyDescent="0.2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P</v>
      </c>
      <c r="T35" s="16"/>
      <c r="U35" s="16"/>
      <c r="V35" s="16"/>
      <c r="W35" s="16"/>
      <c r="X35" s="16"/>
      <c r="Y35" s="16"/>
      <c r="Z35" s="16"/>
      <c r="AA35" s="16"/>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210</v>
      </c>
      <c r="IC35" s="6" t="str">
        <f t="shared" si="12"/>
        <v>RO_Data[2].STEP_DESC[</v>
      </c>
      <c r="ID35" s="23">
        <v>30</v>
      </c>
      <c r="IE35" s="112" t="s">
        <v>22</v>
      </c>
    </row>
    <row r="36" spans="1:239" x14ac:dyDescent="0.2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P</v>
      </c>
      <c r="T36" s="16"/>
      <c r="U36" s="16"/>
      <c r="V36" s="16"/>
      <c r="W36" s="16"/>
      <c r="X36" s="16"/>
      <c r="Y36" s="16"/>
      <c r="Z36" s="16"/>
      <c r="AA36" s="16"/>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v>1</v>
      </c>
      <c r="HV36" s="16"/>
      <c r="HW36" s="17"/>
      <c r="HX36" s="8" cm="1">
        <f t="array" ref="HX36">Bin2DecRange($GR36:$HW36)</f>
        <v>67108868</v>
      </c>
      <c r="HY36" s="6" t="str">
        <f t="shared" si="11"/>
        <v>RO_Data[2].ACT6[</v>
      </c>
      <c r="HZ36" s="23">
        <v>31</v>
      </c>
      <c r="IA36" s="112" t="s">
        <v>22</v>
      </c>
      <c r="IB36" s="8" t="s">
        <v>212</v>
      </c>
      <c r="IC36" s="6" t="str">
        <f t="shared" si="12"/>
        <v>RO_Data[2].STEP_DESC[</v>
      </c>
      <c r="ID36" s="23">
        <v>31</v>
      </c>
      <c r="IE36" s="112" t="s">
        <v>22</v>
      </c>
    </row>
    <row r="37" spans="1:239" x14ac:dyDescent="0.2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P</v>
      </c>
      <c r="T37" s="16"/>
      <c r="U37" s="16"/>
      <c r="V37" s="16"/>
      <c r="W37" s="16"/>
      <c r="X37" s="16"/>
      <c r="Y37" s="16"/>
      <c r="Z37" s="16"/>
      <c r="AA37" s="16"/>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433</v>
      </c>
      <c r="IC37" s="6" t="str">
        <f t="shared" si="12"/>
        <v>RO_Data[2].STEP_DESC[</v>
      </c>
      <c r="ID37" s="23">
        <v>32</v>
      </c>
      <c r="IE37" s="112" t="s">
        <v>22</v>
      </c>
    </row>
    <row r="38" spans="1:239" x14ac:dyDescent="0.25">
      <c r="A38" s="8">
        <v>33</v>
      </c>
      <c r="B38" s="8" t="str">
        <f t="shared" si="0"/>
        <v>CHECK PH - HOLD FOR ACKNOWLEDGE</v>
      </c>
      <c r="C38" s="47" t="s">
        <v>414</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v>1</v>
      </c>
      <c r="HK38" s="19">
        <v>1</v>
      </c>
      <c r="HL38" s="19">
        <v>1</v>
      </c>
      <c r="HM38" s="19">
        <v>1</v>
      </c>
      <c r="HN38" s="19">
        <v>1</v>
      </c>
      <c r="HO38" s="19">
        <v>1</v>
      </c>
      <c r="HP38" s="16"/>
      <c r="HQ38" s="16"/>
      <c r="HR38" s="16"/>
      <c r="HS38" s="16"/>
      <c r="HT38" s="16"/>
      <c r="HU38" s="16"/>
      <c r="HV38" s="16"/>
      <c r="HW38" s="17"/>
      <c r="HX38" s="8" cm="1">
        <f t="array" ref="HX38">Bin2DecRange($GR38:$HW38)</f>
        <v>16128</v>
      </c>
      <c r="HY38" s="6" t="str">
        <f t="shared" si="11"/>
        <v>RO_Data[2].ACT6[</v>
      </c>
      <c r="HZ38" s="23">
        <v>33</v>
      </c>
      <c r="IA38" s="112" t="s">
        <v>22</v>
      </c>
      <c r="IB38" s="10" t="s">
        <v>329</v>
      </c>
      <c r="IC38" s="6" t="str">
        <f t="shared" si="12"/>
        <v>RO_Data[2].STEP_DESC[</v>
      </c>
      <c r="ID38" s="23">
        <v>33</v>
      </c>
      <c r="IE38" s="112" t="s">
        <v>22</v>
      </c>
    </row>
    <row r="39" spans="1:239" x14ac:dyDescent="0.2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P</v>
      </c>
      <c r="T39" s="16"/>
      <c r="U39" s="16"/>
      <c r="V39" s="16"/>
      <c r="W39" s="16"/>
      <c r="X39" s="16"/>
      <c r="Y39" s="16"/>
      <c r="Z39" s="16"/>
      <c r="AA39" s="16"/>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v>1</v>
      </c>
      <c r="HK39" s="19">
        <v>1</v>
      </c>
      <c r="HL39" s="19">
        <v>1</v>
      </c>
      <c r="HM39" s="19">
        <v>1</v>
      </c>
      <c r="HN39" s="19">
        <v>1</v>
      </c>
      <c r="HO39" s="19">
        <v>1</v>
      </c>
      <c r="HP39" s="16"/>
      <c r="HQ39" s="16"/>
      <c r="HR39" s="16"/>
      <c r="HS39" s="16"/>
      <c r="HT39" s="16"/>
      <c r="HU39" s="16"/>
      <c r="HV39" s="16"/>
      <c r="HW39" s="17"/>
      <c r="HX39" s="8" cm="1">
        <f t="array" ref="HX39">Bin2DecRange($GR39:$HW39)</f>
        <v>16128</v>
      </c>
      <c r="HY39" s="6" t="str">
        <f t="shared" si="11"/>
        <v>RO_Data[2].ACT6[</v>
      </c>
      <c r="HZ39" s="23">
        <v>34</v>
      </c>
      <c r="IA39" s="112" t="s">
        <v>22</v>
      </c>
      <c r="IB39" s="8" t="s">
        <v>434</v>
      </c>
      <c r="IC39" s="6" t="str">
        <f t="shared" si="12"/>
        <v>RO_Data[2].STEP_DESC[</v>
      </c>
      <c r="ID39" s="23">
        <v>34</v>
      </c>
      <c r="IE39" s="112" t="s">
        <v>22</v>
      </c>
    </row>
    <row r="40" spans="1:239" x14ac:dyDescent="0.2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P</v>
      </c>
      <c r="T40" s="16"/>
      <c r="U40" s="16"/>
      <c r="V40" s="16"/>
      <c r="W40" s="16"/>
      <c r="X40" s="16"/>
      <c r="Y40" s="16"/>
      <c r="Z40" s="16"/>
      <c r="AA40" s="16"/>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213</v>
      </c>
      <c r="IC40" s="6" t="str">
        <f t="shared" si="12"/>
        <v>RO_Data[2].STEP_DESC[</v>
      </c>
      <c r="ID40" s="23">
        <v>35</v>
      </c>
      <c r="IE40" s="112" t="s">
        <v>22</v>
      </c>
    </row>
    <row r="41" spans="1:239" x14ac:dyDescent="0.2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P</v>
      </c>
      <c r="T41" s="16"/>
      <c r="U41" s="16"/>
      <c r="V41" s="16"/>
      <c r="W41" s="16"/>
      <c r="X41" s="16"/>
      <c r="Y41" s="16"/>
      <c r="Z41" s="16"/>
      <c r="AA41" s="16"/>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214</v>
      </c>
      <c r="IC41" s="6" t="str">
        <f t="shared" si="12"/>
        <v>RO_Data[2].STEP_DESC[</v>
      </c>
      <c r="ID41" s="23">
        <v>36</v>
      </c>
      <c r="IE41" s="112" t="s">
        <v>22</v>
      </c>
    </row>
    <row r="42" spans="1:239" x14ac:dyDescent="0.2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P</v>
      </c>
      <c r="T42" s="16"/>
      <c r="U42" s="16"/>
      <c r="V42" s="16"/>
      <c r="W42" s="16"/>
      <c r="X42" s="16"/>
      <c r="Y42" s="16"/>
      <c r="Z42" s="16"/>
      <c r="AA42" s="16"/>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209</v>
      </c>
      <c r="IC42" s="6" t="str">
        <f t="shared" si="12"/>
        <v>RO_Data[2].STEP_DESC[</v>
      </c>
      <c r="ID42" s="23">
        <v>37</v>
      </c>
      <c r="IE42" s="112" t="s">
        <v>22</v>
      </c>
    </row>
    <row r="43" spans="1:239" x14ac:dyDescent="0.2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P</v>
      </c>
      <c r="T43" s="16"/>
      <c r="U43" s="16"/>
      <c r="V43" s="16"/>
      <c r="W43" s="16"/>
      <c r="X43" s="16"/>
      <c r="Y43" s="16"/>
      <c r="Z43" s="16"/>
      <c r="AA43" s="16"/>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210</v>
      </c>
      <c r="IC43" s="6" t="str">
        <f t="shared" si="12"/>
        <v>RO_Data[2].STEP_DESC[</v>
      </c>
      <c r="ID43" s="23">
        <v>38</v>
      </c>
      <c r="IE43" s="112" t="s">
        <v>22</v>
      </c>
    </row>
    <row r="44" spans="1:239" x14ac:dyDescent="0.2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P</v>
      </c>
      <c r="T44" s="16"/>
      <c r="U44" s="16"/>
      <c r="V44" s="16"/>
      <c r="W44" s="16"/>
      <c r="X44" s="16"/>
      <c r="Y44" s="16"/>
      <c r="Z44" s="16"/>
      <c r="AA44" s="16"/>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211</v>
      </c>
      <c r="IC44" s="6" t="str">
        <f t="shared" si="12"/>
        <v>RO_Data[2].STEP_DESC[</v>
      </c>
      <c r="ID44" s="23">
        <v>39</v>
      </c>
      <c r="IE44" s="112" t="s">
        <v>22</v>
      </c>
    </row>
    <row r="45" spans="1:239" x14ac:dyDescent="0.2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P</v>
      </c>
      <c r="T45" s="16"/>
      <c r="U45" s="16"/>
      <c r="V45" s="16"/>
      <c r="W45" s="16"/>
      <c r="X45" s="16"/>
      <c r="Y45" s="16"/>
      <c r="Z45" s="16"/>
      <c r="AA45" s="16"/>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207</v>
      </c>
      <c r="IC45" s="6" t="str">
        <f t="shared" si="12"/>
        <v>RO_Data[2].STEP_DESC[</v>
      </c>
      <c r="ID45" s="23">
        <v>40</v>
      </c>
      <c r="IE45" s="112" t="s">
        <v>22</v>
      </c>
    </row>
    <row r="46" spans="1:239" x14ac:dyDescent="0.2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P</v>
      </c>
      <c r="T46" s="16"/>
      <c r="U46" s="16"/>
      <c r="V46" s="16"/>
      <c r="W46" s="16"/>
      <c r="X46" s="16"/>
      <c r="Y46" s="16"/>
      <c r="Z46" s="16"/>
      <c r="AA46" s="16"/>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209</v>
      </c>
      <c r="IC46" s="6" t="str">
        <f t="shared" si="12"/>
        <v>RO_Data[2].STEP_DESC[</v>
      </c>
      <c r="ID46" s="23">
        <v>41</v>
      </c>
      <c r="IE46" s="112" t="s">
        <v>22</v>
      </c>
    </row>
    <row r="47" spans="1:239" x14ac:dyDescent="0.2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P</v>
      </c>
      <c r="T47" s="16"/>
      <c r="U47" s="16"/>
      <c r="V47" s="16"/>
      <c r="W47" s="16"/>
      <c r="X47" s="16"/>
      <c r="Y47" s="16"/>
      <c r="Z47" s="16"/>
      <c r="AA47" s="16"/>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210</v>
      </c>
      <c r="IC47" s="6" t="str">
        <f t="shared" si="12"/>
        <v>RO_Data[2].STEP_DESC[</v>
      </c>
      <c r="ID47" s="23">
        <v>42</v>
      </c>
      <c r="IE47" s="112" t="s">
        <v>22</v>
      </c>
    </row>
    <row r="48" spans="1:239" x14ac:dyDescent="0.2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P</v>
      </c>
      <c r="T48" s="16"/>
      <c r="U48" s="16"/>
      <c r="V48" s="16"/>
      <c r="W48" s="16"/>
      <c r="X48" s="16"/>
      <c r="Y48" s="16"/>
      <c r="Z48" s="16"/>
      <c r="AA48" s="16"/>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v>1</v>
      </c>
      <c r="HU48" s="16"/>
      <c r="HV48" s="16"/>
      <c r="HW48" s="17"/>
      <c r="HX48" s="8" cm="1">
        <f t="array" ref="HX48">Bin2DecRange($GR48:$HW48)</f>
        <v>134217736</v>
      </c>
      <c r="HY48" s="6" t="str">
        <f t="shared" si="11"/>
        <v>RO_Data[2].ACT6[</v>
      </c>
      <c r="HZ48" s="23">
        <v>43</v>
      </c>
      <c r="IA48" s="112" t="s">
        <v>22</v>
      </c>
      <c r="IB48" s="8" t="s">
        <v>212</v>
      </c>
      <c r="IC48" s="6" t="str">
        <f t="shared" si="12"/>
        <v>RO_Data[2].STEP_DESC[</v>
      </c>
      <c r="ID48" s="23">
        <v>43</v>
      </c>
      <c r="IE48" s="112" t="s">
        <v>22</v>
      </c>
    </row>
    <row r="49" spans="1:239" x14ac:dyDescent="0.2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P</v>
      </c>
      <c r="T49" s="16"/>
      <c r="U49" s="16"/>
      <c r="V49" s="16"/>
      <c r="W49" s="16"/>
      <c r="X49" s="16"/>
      <c r="Y49" s="16"/>
      <c r="Z49" s="16"/>
      <c r="AA49" s="16"/>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435</v>
      </c>
      <c r="IC49" s="6" t="str">
        <f t="shared" si="12"/>
        <v>RO_Data[2].STEP_DESC[</v>
      </c>
      <c r="ID49" s="23">
        <v>44</v>
      </c>
      <c r="IE49" s="112" t="s">
        <v>22</v>
      </c>
    </row>
    <row r="50" spans="1:239" x14ac:dyDescent="0.25">
      <c r="A50" s="8">
        <v>45</v>
      </c>
      <c r="B50" s="8" t="str">
        <f t="shared" si="0"/>
        <v>CHECK PH - HOLD FOR ACKNOWLEDGE</v>
      </c>
      <c r="C50" s="47" t="s">
        <v>414</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v>1</v>
      </c>
      <c r="HK50" s="19">
        <v>1</v>
      </c>
      <c r="HL50" s="19">
        <v>1</v>
      </c>
      <c r="HM50" s="19">
        <v>1</v>
      </c>
      <c r="HN50" s="19">
        <v>1</v>
      </c>
      <c r="HO50" s="19">
        <v>1</v>
      </c>
      <c r="HP50" s="16"/>
      <c r="HQ50" s="16"/>
      <c r="HR50" s="16"/>
      <c r="HS50" s="16"/>
      <c r="HT50" s="16"/>
      <c r="HU50" s="16"/>
      <c r="HV50" s="16"/>
      <c r="HW50" s="17"/>
      <c r="HX50" s="8" cm="1">
        <f t="array" ref="HX50">Bin2DecRange($GR50:$HW50)</f>
        <v>16128</v>
      </c>
      <c r="HY50" s="6" t="str">
        <f t="shared" si="11"/>
        <v>RO_Data[2].ACT6[</v>
      </c>
      <c r="HZ50" s="23">
        <v>45</v>
      </c>
      <c r="IA50" s="112" t="s">
        <v>22</v>
      </c>
      <c r="IB50" s="10" t="s">
        <v>329</v>
      </c>
      <c r="IC50" s="6" t="str">
        <f t="shared" si="12"/>
        <v>RO_Data[2].STEP_DESC[</v>
      </c>
      <c r="ID50" s="23">
        <v>45</v>
      </c>
      <c r="IE50" s="112" t="s">
        <v>22</v>
      </c>
    </row>
    <row r="51" spans="1:239" x14ac:dyDescent="0.2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P</v>
      </c>
      <c r="T51" s="16"/>
      <c r="U51" s="16"/>
      <c r="V51" s="16"/>
      <c r="W51" s="16"/>
      <c r="X51" s="16"/>
      <c r="Y51" s="16"/>
      <c r="Z51" s="16"/>
      <c r="AA51" s="16"/>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v>1</v>
      </c>
      <c r="HK51" s="19">
        <v>1</v>
      </c>
      <c r="HL51" s="19">
        <v>1</v>
      </c>
      <c r="HM51" s="19">
        <v>1</v>
      </c>
      <c r="HN51" s="19">
        <v>1</v>
      </c>
      <c r="HO51" s="19">
        <v>1</v>
      </c>
      <c r="HP51" s="16"/>
      <c r="HQ51" s="16"/>
      <c r="HR51" s="16"/>
      <c r="HS51" s="16"/>
      <c r="HT51" s="16"/>
      <c r="HU51" s="16"/>
      <c r="HV51" s="16"/>
      <c r="HW51" s="17"/>
      <c r="HX51" s="8" cm="1">
        <f t="array" ref="HX51">Bin2DecRange($GR51:$HW51)</f>
        <v>16128</v>
      </c>
      <c r="HY51" s="6" t="str">
        <f t="shared" si="11"/>
        <v>RO_Data[2].ACT6[</v>
      </c>
      <c r="HZ51" s="23">
        <v>46</v>
      </c>
      <c r="IA51" s="112" t="s">
        <v>22</v>
      </c>
      <c r="IB51" s="8" t="s">
        <v>436</v>
      </c>
      <c r="IC51" s="6" t="str">
        <f t="shared" si="12"/>
        <v>RO_Data[2].STEP_DESC[</v>
      </c>
      <c r="ID51" s="23">
        <v>46</v>
      </c>
      <c r="IE51" s="112" t="s">
        <v>22</v>
      </c>
    </row>
    <row r="52" spans="1:239" x14ac:dyDescent="0.2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P</v>
      </c>
      <c r="T52" s="16"/>
      <c r="U52" s="16"/>
      <c r="V52" s="16"/>
      <c r="W52" s="16"/>
      <c r="X52" s="16"/>
      <c r="Y52" s="16"/>
      <c r="Z52" s="16"/>
      <c r="AA52" s="16"/>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213</v>
      </c>
      <c r="IC52" s="6" t="str">
        <f t="shared" si="12"/>
        <v>RO_Data[2].STEP_DESC[</v>
      </c>
      <c r="ID52" s="23">
        <v>47</v>
      </c>
      <c r="IE52" s="112" t="s">
        <v>22</v>
      </c>
    </row>
    <row r="53" spans="1:239" x14ac:dyDescent="0.2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P</v>
      </c>
      <c r="T53" s="16"/>
      <c r="U53" s="16"/>
      <c r="V53" s="16"/>
      <c r="W53" s="16"/>
      <c r="X53" s="16"/>
      <c r="Y53" s="16"/>
      <c r="Z53" s="16"/>
      <c r="AA53" s="16"/>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214</v>
      </c>
      <c r="IC53" s="6" t="str">
        <f t="shared" si="12"/>
        <v>RO_Data[2].STEP_DESC[</v>
      </c>
      <c r="ID53" s="23">
        <v>48</v>
      </c>
      <c r="IE53" s="112" t="s">
        <v>22</v>
      </c>
    </row>
    <row r="54" spans="1:239" x14ac:dyDescent="0.2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P</v>
      </c>
      <c r="T54" s="16"/>
      <c r="U54" s="16"/>
      <c r="V54" s="16"/>
      <c r="W54" s="16">
        <v>1</v>
      </c>
      <c r="X54" s="16"/>
      <c r="Y54" s="16"/>
      <c r="Z54" s="16"/>
      <c r="AA54" s="16"/>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209</v>
      </c>
      <c r="IC54" s="6" t="str">
        <f t="shared" si="12"/>
        <v>RO_Data[2].STEP_DESC[</v>
      </c>
      <c r="ID54" s="23">
        <v>49</v>
      </c>
      <c r="IE54" s="112" t="s">
        <v>22</v>
      </c>
    </row>
    <row r="55" spans="1:239" x14ac:dyDescent="0.2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P</v>
      </c>
      <c r="T55" s="16"/>
      <c r="U55" s="16"/>
      <c r="V55" s="16"/>
      <c r="W55" s="16"/>
      <c r="X55" s="16"/>
      <c r="Y55" s="16"/>
      <c r="Z55" s="16"/>
      <c r="AA55" s="16"/>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210</v>
      </c>
      <c r="IC55" s="6" t="str">
        <f t="shared" si="12"/>
        <v>RO_Data[2].STEP_DESC[</v>
      </c>
      <c r="ID55" s="23">
        <v>50</v>
      </c>
      <c r="IE55" s="112" t="s">
        <v>22</v>
      </c>
    </row>
    <row r="56" spans="1:239" x14ac:dyDescent="0.2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P</v>
      </c>
      <c r="T56" s="16"/>
      <c r="U56" s="16"/>
      <c r="V56" s="16"/>
      <c r="W56" s="16">
        <v>1</v>
      </c>
      <c r="X56" s="16"/>
      <c r="Y56" s="16"/>
      <c r="Z56" s="16"/>
      <c r="AA56" s="16"/>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211</v>
      </c>
      <c r="IC56" s="6" t="str">
        <f t="shared" si="12"/>
        <v>RO_Data[2].STEP_DESC[</v>
      </c>
      <c r="ID56" s="23">
        <v>51</v>
      </c>
      <c r="IE56" s="112" t="s">
        <v>22</v>
      </c>
    </row>
    <row r="57" spans="1:239" x14ac:dyDescent="0.2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P</v>
      </c>
      <c r="T57" s="16"/>
      <c r="U57" s="16"/>
      <c r="V57" s="16"/>
      <c r="W57" s="16">
        <v>1</v>
      </c>
      <c r="X57" s="16"/>
      <c r="Y57" s="16"/>
      <c r="Z57" s="16"/>
      <c r="AA57" s="16"/>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207</v>
      </c>
      <c r="IC57" s="6" t="str">
        <f t="shared" si="12"/>
        <v>RO_Data[2].STEP_DESC[</v>
      </c>
      <c r="ID57" s="23">
        <v>52</v>
      </c>
      <c r="IE57" s="112" t="s">
        <v>22</v>
      </c>
    </row>
    <row r="58" spans="1:239" x14ac:dyDescent="0.2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P</v>
      </c>
      <c r="T58" s="16"/>
      <c r="U58" s="16"/>
      <c r="V58" s="16"/>
      <c r="W58" s="16">
        <v>1</v>
      </c>
      <c r="X58" s="16"/>
      <c r="Y58" s="16"/>
      <c r="Z58" s="16"/>
      <c r="AA58" s="16"/>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209</v>
      </c>
      <c r="IC58" s="6" t="str">
        <f t="shared" si="12"/>
        <v>RO_Data[2].STEP_DESC[</v>
      </c>
      <c r="ID58" s="23">
        <v>53</v>
      </c>
      <c r="IE58" s="112" t="s">
        <v>22</v>
      </c>
    </row>
    <row r="59" spans="1:239" x14ac:dyDescent="0.2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P</v>
      </c>
      <c r="T59" s="16"/>
      <c r="U59" s="16"/>
      <c r="V59" s="16"/>
      <c r="W59" s="16">
        <v>1</v>
      </c>
      <c r="X59" s="16"/>
      <c r="Y59" s="16"/>
      <c r="Z59" s="16"/>
      <c r="AA59" s="16"/>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210</v>
      </c>
      <c r="IC59" s="6" t="str">
        <f t="shared" si="12"/>
        <v>RO_Data[2].STEP_DESC[</v>
      </c>
      <c r="ID59" s="23">
        <v>54</v>
      </c>
      <c r="IE59" s="112" t="s">
        <v>22</v>
      </c>
    </row>
    <row r="60" spans="1:239" x14ac:dyDescent="0.2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P</v>
      </c>
      <c r="T60" s="16"/>
      <c r="U60" s="16"/>
      <c r="V60" s="16"/>
      <c r="W60" s="16">
        <v>1</v>
      </c>
      <c r="X60" s="16"/>
      <c r="Y60" s="16"/>
      <c r="Z60" s="16"/>
      <c r="AA60" s="16"/>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437</v>
      </c>
      <c r="IC60" s="6" t="str">
        <f t="shared" si="12"/>
        <v>RO_Data[2].STEP_DESC[</v>
      </c>
      <c r="ID60" s="23">
        <v>55</v>
      </c>
      <c r="IE60" s="112" t="s">
        <v>22</v>
      </c>
    </row>
    <row r="61" spans="1:239" x14ac:dyDescent="0.2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P</v>
      </c>
      <c r="T61" s="16"/>
      <c r="U61" s="16"/>
      <c r="V61" s="16"/>
      <c r="W61" s="16"/>
      <c r="X61" s="16"/>
      <c r="Y61" s="16"/>
      <c r="Z61" s="16"/>
      <c r="AA61" s="16"/>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438</v>
      </c>
      <c r="IC61" s="6" t="str">
        <f t="shared" si="12"/>
        <v>RO_Data[2].STEP_DESC[</v>
      </c>
      <c r="ID61" s="23">
        <v>56</v>
      </c>
      <c r="IE61" s="112" t="s">
        <v>22</v>
      </c>
    </row>
    <row r="62" spans="1:239" x14ac:dyDescent="0.25">
      <c r="A62" s="8">
        <v>57</v>
      </c>
      <c r="B62" s="8" t="str">
        <f t="shared" si="0"/>
        <v>RECORD FLUX CHECK  - HOLD FOR ACKNOWLEDGE</v>
      </c>
      <c r="C62" s="8" t="s">
        <v>330</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439</v>
      </c>
      <c r="IC62" s="6" t="str">
        <f t="shared" si="12"/>
        <v>RO_Data[2].STEP_DESC[</v>
      </c>
      <c r="ID62" s="23">
        <v>57</v>
      </c>
      <c r="IE62" s="112" t="s">
        <v>22</v>
      </c>
    </row>
    <row r="63" spans="1:239" x14ac:dyDescent="0.25">
      <c r="A63" s="8">
        <v>58</v>
      </c>
      <c r="B63" s="8" t="str">
        <f t="shared" si="0"/>
        <v>EXTRA WASH ?  YES / NO 40</v>
      </c>
      <c r="C63" s="8" t="s">
        <v>331</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440</v>
      </c>
      <c r="IC63" s="6" t="str">
        <f t="shared" si="12"/>
        <v>RO_Data[2].STEP_DESC[</v>
      </c>
      <c r="ID63" s="23">
        <v>58</v>
      </c>
      <c r="IE63" s="112" t="s">
        <v>22</v>
      </c>
    </row>
    <row r="64" spans="1:239" x14ac:dyDescent="0.25">
      <c r="A64" s="8">
        <v>59</v>
      </c>
      <c r="B64" s="8" t="str">
        <f t="shared" si="0"/>
        <v>PUMP DOWN FEED TANK? YES / NO 62</v>
      </c>
      <c r="C64" s="8" t="s">
        <v>332</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441</v>
      </c>
      <c r="IC64" s="6" t="str">
        <f t="shared" si="12"/>
        <v>RO_Data[2].STEP_DESC[</v>
      </c>
      <c r="ID64" s="23">
        <v>59</v>
      </c>
      <c r="IE64" s="112" t="s">
        <v>22</v>
      </c>
    </row>
    <row r="65" spans="1:239" x14ac:dyDescent="0.2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P</v>
      </c>
      <c r="T65" s="16"/>
      <c r="U65" s="16"/>
      <c r="V65" s="16"/>
      <c r="W65" s="16"/>
      <c r="X65" s="16"/>
      <c r="Y65" s="16"/>
      <c r="Z65" s="16"/>
      <c r="AA65" s="16"/>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213</v>
      </c>
      <c r="IC65" s="6" t="str">
        <f t="shared" si="12"/>
        <v>RO_Data[2].STEP_DESC[</v>
      </c>
      <c r="ID65" s="23">
        <v>60</v>
      </c>
      <c r="IE65" s="112" t="s">
        <v>22</v>
      </c>
    </row>
    <row r="66" spans="1:239" x14ac:dyDescent="0.2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P</v>
      </c>
      <c r="T66" s="16"/>
      <c r="U66" s="16"/>
      <c r="V66" s="16"/>
      <c r="W66" s="16"/>
      <c r="X66" s="16"/>
      <c r="Y66" s="16"/>
      <c r="Z66" s="16"/>
      <c r="AA66" s="16"/>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214</v>
      </c>
      <c r="IC66" s="6" t="str">
        <f t="shared" si="12"/>
        <v>RO_Data[2].STEP_DESC[</v>
      </c>
      <c r="ID66" s="23">
        <v>61</v>
      </c>
      <c r="IE66" s="112" t="s">
        <v>22</v>
      </c>
    </row>
    <row r="67" spans="1:239" x14ac:dyDescent="0.2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P</v>
      </c>
      <c r="T67" s="16"/>
      <c r="U67" s="16"/>
      <c r="V67" s="16"/>
      <c r="W67" s="16"/>
      <c r="X67" s="16"/>
      <c r="Y67" s="16"/>
      <c r="Z67" s="16"/>
      <c r="AA67" s="16"/>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207</v>
      </c>
      <c r="IC67" s="6" t="str">
        <f t="shared" si="12"/>
        <v>RO_Data[2].STEP_DESC[</v>
      </c>
      <c r="ID67" s="23">
        <v>62</v>
      </c>
      <c r="IE67" s="112" t="s">
        <v>22</v>
      </c>
    </row>
    <row r="68" spans="1:239" x14ac:dyDescent="0.2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208</v>
      </c>
      <c r="IC68" s="6" t="str">
        <f t="shared" si="12"/>
        <v>RO_Data[2].STEP_DESC[</v>
      </c>
      <c r="ID68" s="23">
        <v>63</v>
      </c>
      <c r="IE68" s="112" t="s">
        <v>22</v>
      </c>
    </row>
    <row r="69" spans="1:239" x14ac:dyDescent="0.2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2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2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2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2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2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2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2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2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2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2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2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2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2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2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2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2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2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2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2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2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2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2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2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2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2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2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2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2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2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2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2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2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2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2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5.75" thickBot="1" x14ac:dyDescent="0.3">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D4" activePane="bottomRight" state="frozen"/>
      <selection activeCell="ED4" sqref="ED4"/>
      <selection pane="topRight" activeCell="ED4" sqref="ED4"/>
      <selection pane="bottomLeft" activeCell="ED4" sqref="ED4"/>
      <selection pane="bottomRight" activeCell="AI31" sqref="AI31"/>
    </sheetView>
  </sheetViews>
  <sheetFormatPr defaultColWidth="9.140625" defaultRowHeight="15" x14ac:dyDescent="0.25"/>
  <cols>
    <col min="1" max="1" width="6.7109375" style="109" bestFit="1" customWidth="1"/>
    <col min="2" max="2" width="45" style="109" bestFit="1" customWidth="1"/>
    <col min="3" max="3" width="26.570312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425</v>
      </c>
      <c r="GS2" s="33" t="s">
        <v>428</v>
      </c>
      <c r="GT2" s="33" t="s">
        <v>427</v>
      </c>
      <c r="GU2" s="33" t="s">
        <v>424</v>
      </c>
      <c r="GV2" s="33" t="s">
        <v>415</v>
      </c>
      <c r="GW2" s="33" t="s">
        <v>416</v>
      </c>
      <c r="GX2" s="33" t="s">
        <v>417</v>
      </c>
      <c r="GY2" s="33" t="s">
        <v>418</v>
      </c>
      <c r="GZ2" s="33"/>
      <c r="HA2" s="33"/>
      <c r="HB2" s="33"/>
      <c r="HC2" s="33"/>
      <c r="HD2" s="33"/>
      <c r="HE2" s="33"/>
      <c r="HF2" s="33"/>
      <c r="HG2" s="33"/>
      <c r="HH2" s="33"/>
      <c r="HI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35" si="0">IF($IB5&lt;&gt;"", $IB5, "")</f>
        <v>HOME</v>
      </c>
      <c r="C5" s="47"/>
      <c r="D5" s="22" t="s">
        <v>344</v>
      </c>
      <c r="E5" s="23">
        <v>0</v>
      </c>
      <c r="F5" s="112" t="s">
        <v>22</v>
      </c>
      <c r="G5" s="129">
        <v>0</v>
      </c>
      <c r="H5" s="22" t="s">
        <v>345</v>
      </c>
      <c r="I5" s="23">
        <v>0</v>
      </c>
      <c r="J5" s="112" t="s">
        <v>22</v>
      </c>
      <c r="K5" s="129">
        <v>0</v>
      </c>
      <c r="L5" s="22" t="s">
        <v>346</v>
      </c>
      <c r="M5" s="23">
        <v>0</v>
      </c>
      <c r="N5" s="112" t="s">
        <v>22</v>
      </c>
      <c r="O5" s="132">
        <v>0</v>
      </c>
      <c r="P5" s="22" t="s">
        <v>347</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348</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349</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350</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351</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352</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353</v>
      </c>
      <c r="HZ5" s="23">
        <v>0</v>
      </c>
      <c r="IA5" s="112" t="s">
        <v>22</v>
      </c>
      <c r="IB5" s="10" t="s">
        <v>206</v>
      </c>
      <c r="IC5" s="22" t="s">
        <v>354</v>
      </c>
      <c r="ID5" s="23">
        <v>0</v>
      </c>
      <c r="IE5" s="112" t="s">
        <v>22</v>
      </c>
    </row>
    <row r="6" spans="1:239" x14ac:dyDescent="0.2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209</v>
      </c>
      <c r="IC6" s="6" t="str">
        <f t="shared" ref="IC6:IC35" si="12">IC$5</f>
        <v>RO_Data[3].STEP_DESC[</v>
      </c>
      <c r="ID6" s="23">
        <f>ID5+1</f>
        <v>1</v>
      </c>
      <c r="IE6" s="112" t="s">
        <v>22</v>
      </c>
    </row>
    <row r="7" spans="1:239" x14ac:dyDescent="0.2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210</v>
      </c>
      <c r="IC7" s="6" t="str">
        <f t="shared" si="12"/>
        <v>RO_Data[3].STEP_DESC[</v>
      </c>
      <c r="ID7" s="23">
        <f t="shared" ref="ID7:ID29" si="23">ID6+1</f>
        <v>2</v>
      </c>
      <c r="IE7" s="112" t="s">
        <v>22</v>
      </c>
    </row>
    <row r="8" spans="1:239" x14ac:dyDescent="0.2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211</v>
      </c>
      <c r="IC8" s="6" t="str">
        <f t="shared" si="12"/>
        <v>RO_Data[3].STEP_DESC[</v>
      </c>
      <c r="ID8" s="23">
        <f t="shared" si="23"/>
        <v>3</v>
      </c>
      <c r="IE8" s="112" t="s">
        <v>22</v>
      </c>
    </row>
    <row r="9" spans="1:239" x14ac:dyDescent="0.2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P</v>
      </c>
      <c r="T9" s="18"/>
      <c r="U9" s="19"/>
      <c r="V9" s="19"/>
      <c r="W9" s="19"/>
      <c r="X9" s="19"/>
      <c r="Y9" s="19"/>
      <c r="Z9" s="19">
        <v>1</v>
      </c>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207</v>
      </c>
      <c r="IC9" s="6" t="str">
        <f t="shared" si="12"/>
        <v>RO_Data[3].STEP_DESC[</v>
      </c>
      <c r="ID9" s="23">
        <f t="shared" si="23"/>
        <v>4</v>
      </c>
      <c r="IE9" s="112" t="s">
        <v>22</v>
      </c>
    </row>
    <row r="10" spans="1:239" x14ac:dyDescent="0.2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209</v>
      </c>
      <c r="IC10" s="6" t="str">
        <f t="shared" si="12"/>
        <v>RO_Data[3].STEP_DESC[</v>
      </c>
      <c r="ID10" s="23">
        <f t="shared" si="23"/>
        <v>5</v>
      </c>
      <c r="IE10" s="112" t="s">
        <v>22</v>
      </c>
    </row>
    <row r="11" spans="1:239" x14ac:dyDescent="0.2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P</v>
      </c>
      <c r="T11" s="18"/>
      <c r="U11" s="19"/>
      <c r="V11" s="19"/>
      <c r="W11" s="19"/>
      <c r="X11" s="19"/>
      <c r="Y11" s="19"/>
      <c r="Z11" s="19"/>
      <c r="AA11" s="19">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210</v>
      </c>
      <c r="IC11" s="6" t="str">
        <f t="shared" si="12"/>
        <v>RO_Data[3].STEP_DESC[</v>
      </c>
      <c r="ID11" s="23">
        <f t="shared" si="23"/>
        <v>6</v>
      </c>
      <c r="IE11" s="112" t="s">
        <v>22</v>
      </c>
    </row>
    <row r="12" spans="1:239" x14ac:dyDescent="0.2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212</v>
      </c>
      <c r="IC12" s="6" t="str">
        <f t="shared" si="12"/>
        <v>RO_Data[3].STEP_DESC[</v>
      </c>
      <c r="ID12" s="23">
        <f t="shared" si="23"/>
        <v>7</v>
      </c>
      <c r="IE12" s="112" t="s">
        <v>22</v>
      </c>
    </row>
    <row r="13" spans="1:239" x14ac:dyDescent="0.2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215</v>
      </c>
      <c r="IC13" s="6" t="str">
        <f t="shared" si="12"/>
        <v>RO_Data[3].STEP_DESC[</v>
      </c>
      <c r="ID13" s="23">
        <f t="shared" si="23"/>
        <v>8</v>
      </c>
      <c r="IE13" s="112" t="s">
        <v>22</v>
      </c>
    </row>
    <row r="14" spans="1:239" x14ac:dyDescent="0.25">
      <c r="A14" s="8">
        <v>9</v>
      </c>
      <c r="B14" s="8" t="str">
        <f t="shared" si="0"/>
        <v>CHECK PH - HOLD FOR ACKNOWLEDGE</v>
      </c>
      <c r="C14" s="47" t="s">
        <v>328</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RO_Data[3].ACT6[</v>
      </c>
      <c r="HZ14" s="23">
        <f t="shared" si="22"/>
        <v>9</v>
      </c>
      <c r="IA14" s="112" t="s">
        <v>22</v>
      </c>
      <c r="IB14" s="10" t="s">
        <v>329</v>
      </c>
      <c r="IC14" s="6" t="str">
        <f t="shared" si="12"/>
        <v>RO_Data[3].STEP_DESC[</v>
      </c>
      <c r="ID14" s="23">
        <f t="shared" si="23"/>
        <v>9</v>
      </c>
      <c r="IE14" s="112" t="s">
        <v>22</v>
      </c>
    </row>
    <row r="15" spans="1:239" x14ac:dyDescent="0.2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RO_Data[3].ACT6[</v>
      </c>
      <c r="HZ15" s="23">
        <f t="shared" si="22"/>
        <v>10</v>
      </c>
      <c r="IA15" s="112" t="s">
        <v>22</v>
      </c>
      <c r="IB15" s="10" t="s">
        <v>216</v>
      </c>
      <c r="IC15" s="6" t="str">
        <f t="shared" si="12"/>
        <v>RO_Data[3].STEP_DESC[</v>
      </c>
      <c r="ID15" s="23">
        <f t="shared" si="23"/>
        <v>10</v>
      </c>
      <c r="IE15" s="112" t="s">
        <v>22</v>
      </c>
    </row>
    <row r="16" spans="1:239" x14ac:dyDescent="0.2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213</v>
      </c>
      <c r="IC16" s="6" t="str">
        <f t="shared" si="12"/>
        <v>RO_Data[3].STEP_DESC[</v>
      </c>
      <c r="ID16" s="23">
        <f t="shared" si="23"/>
        <v>11</v>
      </c>
      <c r="IE16" s="112" t="s">
        <v>22</v>
      </c>
    </row>
    <row r="17" spans="1:239" x14ac:dyDescent="0.2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217</v>
      </c>
      <c r="IC17" s="6" t="str">
        <f t="shared" si="12"/>
        <v>RO_Data[3].STEP_DESC[</v>
      </c>
      <c r="ID17" s="23">
        <f t="shared" si="23"/>
        <v>12</v>
      </c>
      <c r="IE17" s="112" t="s">
        <v>22</v>
      </c>
    </row>
    <row r="18" spans="1:239" x14ac:dyDescent="0.2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P</v>
      </c>
      <c r="T18" s="18"/>
      <c r="U18" s="19"/>
      <c r="V18" s="19"/>
      <c r="W18" s="19">
        <v>1</v>
      </c>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209</v>
      </c>
      <c r="IC18" s="6" t="str">
        <f t="shared" si="12"/>
        <v>RO_Data[3].STEP_DESC[</v>
      </c>
      <c r="ID18" s="23">
        <f t="shared" si="23"/>
        <v>13</v>
      </c>
      <c r="IE18" s="112" t="s">
        <v>22</v>
      </c>
    </row>
    <row r="19" spans="1:239" x14ac:dyDescent="0.2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P</v>
      </c>
      <c r="T19" s="18"/>
      <c r="U19" s="19"/>
      <c r="V19" s="19"/>
      <c r="W19" s="19">
        <v>1</v>
      </c>
      <c r="X19" s="19"/>
      <c r="Y19" s="19"/>
      <c r="Z19" s="19"/>
      <c r="AA19" s="19">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210</v>
      </c>
      <c r="IC19" s="6" t="str">
        <f t="shared" si="12"/>
        <v>RO_Data[3].STEP_DESC[</v>
      </c>
      <c r="ID19" s="23">
        <f t="shared" si="23"/>
        <v>14</v>
      </c>
      <c r="IE19" s="112" t="s">
        <v>22</v>
      </c>
    </row>
    <row r="20" spans="1:239" x14ac:dyDescent="0.2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P</v>
      </c>
      <c r="T20" s="18"/>
      <c r="U20" s="19"/>
      <c r="V20" s="19"/>
      <c r="W20" s="19">
        <v>1</v>
      </c>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211</v>
      </c>
      <c r="IC20" s="6" t="str">
        <f t="shared" si="12"/>
        <v>RO_Data[3].STEP_DESC[</v>
      </c>
      <c r="ID20" s="23">
        <f t="shared" si="23"/>
        <v>15</v>
      </c>
      <c r="IE20" s="112" t="s">
        <v>22</v>
      </c>
    </row>
    <row r="21" spans="1:239" x14ac:dyDescent="0.2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P</v>
      </c>
      <c r="T21" s="18"/>
      <c r="U21" s="19"/>
      <c r="V21" s="19"/>
      <c r="W21" s="19"/>
      <c r="X21" s="19"/>
      <c r="Y21" s="19"/>
      <c r="Z21" s="19"/>
      <c r="AA21" s="19"/>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213</v>
      </c>
      <c r="IC21" s="6" t="str">
        <f t="shared" si="12"/>
        <v>RO_Data[3].STEP_DESC[</v>
      </c>
      <c r="ID21" s="23">
        <f t="shared" si="23"/>
        <v>16</v>
      </c>
      <c r="IE21" s="112" t="s">
        <v>22</v>
      </c>
    </row>
    <row r="22" spans="1:239" x14ac:dyDescent="0.2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218</v>
      </c>
      <c r="IC22" s="6" t="str">
        <f t="shared" si="12"/>
        <v>RO_Data[3].STEP_DESC[</v>
      </c>
      <c r="ID22" s="23">
        <f t="shared" si="23"/>
        <v>17</v>
      </c>
      <c r="IE22" s="112" t="s">
        <v>22</v>
      </c>
    </row>
    <row r="23" spans="1:239" x14ac:dyDescent="0.2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208</v>
      </c>
      <c r="IC23" s="6" t="str">
        <f t="shared" si="12"/>
        <v>RO_Data[3].STEP_DESC[</v>
      </c>
      <c r="ID23" s="23">
        <f t="shared" si="23"/>
        <v>18</v>
      </c>
      <c r="IE23" s="112" t="s">
        <v>22</v>
      </c>
    </row>
    <row r="24" spans="1:239" x14ac:dyDescent="0.2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2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2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2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2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2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2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2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2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2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2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5.75" thickBot="1" x14ac:dyDescent="0.3">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zoomScale="80" zoomScaleNormal="80" workbookViewId="0">
      <pane xSplit="2" ySplit="3" topLeftCell="K4" activePane="bottomRight" state="frozen"/>
      <selection activeCell="ED4" sqref="ED4"/>
      <selection pane="topRight" activeCell="ED4" sqref="ED4"/>
      <selection pane="bottomLeft" activeCell="ED4" sqref="ED4"/>
      <selection pane="bottomRight" activeCell="AG11" sqref="AG11"/>
    </sheetView>
  </sheetViews>
  <sheetFormatPr defaultColWidth="9.140625" defaultRowHeight="15" x14ac:dyDescent="0.25"/>
  <cols>
    <col min="1" max="1" width="6.7109375" style="109" bestFit="1" customWidth="1"/>
    <col min="2" max="2" width="45" style="109" bestFit="1" customWidth="1"/>
    <col min="3" max="3" width="29"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425</v>
      </c>
      <c r="GS2" s="33" t="s">
        <v>428</v>
      </c>
      <c r="GT2" s="33" t="s">
        <v>427</v>
      </c>
      <c r="GU2" s="33" t="s">
        <v>424</v>
      </c>
      <c r="GV2" s="33" t="s">
        <v>415</v>
      </c>
      <c r="GW2" s="33" t="s">
        <v>416</v>
      </c>
      <c r="GX2" s="33" t="s">
        <v>417</v>
      </c>
      <c r="GY2" s="33" t="s">
        <v>418</v>
      </c>
      <c r="GZ2" s="33"/>
      <c r="HA2" s="33"/>
      <c r="HB2" s="33"/>
      <c r="HC2" s="33"/>
      <c r="HD2" s="33"/>
      <c r="HE2" s="33"/>
      <c r="HF2" s="33"/>
      <c r="HG2" s="33"/>
      <c r="HH2" s="33"/>
      <c r="HI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35" si="0">IF($IB5&lt;&gt;"", $IB5, "")</f>
        <v>HOME</v>
      </c>
      <c r="C5" s="47"/>
      <c r="D5" s="22" t="s">
        <v>355</v>
      </c>
      <c r="E5" s="23">
        <v>0</v>
      </c>
      <c r="F5" s="112" t="s">
        <v>22</v>
      </c>
      <c r="G5" s="129">
        <v>0</v>
      </c>
      <c r="H5" s="22" t="s">
        <v>356</v>
      </c>
      <c r="I5" s="23">
        <v>0</v>
      </c>
      <c r="J5" s="112" t="s">
        <v>22</v>
      </c>
      <c r="K5" s="129">
        <v>0</v>
      </c>
      <c r="L5" s="22" t="s">
        <v>357</v>
      </c>
      <c r="M5" s="23">
        <v>0</v>
      </c>
      <c r="N5" s="112" t="s">
        <v>22</v>
      </c>
      <c r="O5" s="132">
        <v>0</v>
      </c>
      <c r="P5" s="22" t="s">
        <v>358</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359</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360</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361</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362</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363</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364</v>
      </c>
      <c r="HZ5" s="23">
        <v>0</v>
      </c>
      <c r="IA5" s="112" t="s">
        <v>22</v>
      </c>
      <c r="IB5" s="10" t="s">
        <v>206</v>
      </c>
      <c r="IC5" s="22" t="s">
        <v>365</v>
      </c>
      <c r="ID5" s="23">
        <v>0</v>
      </c>
      <c r="IE5" s="112" t="s">
        <v>22</v>
      </c>
    </row>
    <row r="6" spans="1:239" x14ac:dyDescent="0.2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209</v>
      </c>
      <c r="IC6" s="6" t="str">
        <f t="shared" ref="IC6:IC35" si="12">IC$5</f>
        <v>RO_Data[4].STEP_DESC[</v>
      </c>
      <c r="ID6" s="23">
        <f>ID5+1</f>
        <v>1</v>
      </c>
      <c r="IE6" s="112" t="s">
        <v>22</v>
      </c>
    </row>
    <row r="7" spans="1:239" x14ac:dyDescent="0.2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210</v>
      </c>
      <c r="IC7" s="6" t="str">
        <f t="shared" si="12"/>
        <v>RO_Data[4].STEP_DESC[</v>
      </c>
      <c r="ID7" s="23">
        <f t="shared" ref="ID7:ID29" si="23">ID6+1</f>
        <v>2</v>
      </c>
      <c r="IE7" s="112" t="s">
        <v>22</v>
      </c>
    </row>
    <row r="8" spans="1:239" x14ac:dyDescent="0.2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112" t="s">
        <v>22</v>
      </c>
      <c r="IB8" s="10" t="s">
        <v>212</v>
      </c>
      <c r="IC8" s="6" t="str">
        <f t="shared" si="12"/>
        <v>RO_Data[4].STEP_DESC[</v>
      </c>
      <c r="ID8" s="23">
        <f t="shared" si="23"/>
        <v>3</v>
      </c>
      <c r="IE8" s="112" t="s">
        <v>22</v>
      </c>
    </row>
    <row r="9" spans="1:239" x14ac:dyDescent="0.25">
      <c r="A9" s="8">
        <v>4</v>
      </c>
      <c r="B9" s="8" t="str">
        <f t="shared" si="0"/>
        <v>CHECK PH - HOLD FOR ACKNOWLEDGE</v>
      </c>
      <c r="C9" s="47" t="s">
        <v>328</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RO_Data[4].ACT6[</v>
      </c>
      <c r="HZ9" s="23">
        <f t="shared" si="22"/>
        <v>4</v>
      </c>
      <c r="IA9" s="112" t="s">
        <v>22</v>
      </c>
      <c r="IB9" s="10" t="s">
        <v>329</v>
      </c>
      <c r="IC9" s="6" t="str">
        <f t="shared" si="12"/>
        <v>RO_Data[4].STEP_DESC[</v>
      </c>
      <c r="ID9" s="23">
        <f t="shared" si="23"/>
        <v>4</v>
      </c>
      <c r="IE9" s="112" t="s">
        <v>22</v>
      </c>
    </row>
    <row r="10" spans="1:239" x14ac:dyDescent="0.2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RO_Data[4].ACT6[</v>
      </c>
      <c r="HZ10" s="23">
        <f t="shared" si="22"/>
        <v>5</v>
      </c>
      <c r="IA10" s="112" t="s">
        <v>22</v>
      </c>
      <c r="IB10" s="10" t="s">
        <v>219</v>
      </c>
      <c r="IC10" s="6" t="str">
        <f t="shared" si="12"/>
        <v>RO_Data[4].STEP_DESC[</v>
      </c>
      <c r="ID10" s="23">
        <f t="shared" si="23"/>
        <v>5</v>
      </c>
      <c r="IE10" s="112" t="s">
        <v>22</v>
      </c>
    </row>
    <row r="11" spans="1:239" x14ac:dyDescent="0.2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207</v>
      </c>
      <c r="IC11" s="6" t="str">
        <f t="shared" si="12"/>
        <v>RO_Data[4].STEP_DESC[</v>
      </c>
      <c r="ID11" s="23">
        <f t="shared" si="23"/>
        <v>6</v>
      </c>
      <c r="IE11" s="112" t="s">
        <v>22</v>
      </c>
    </row>
    <row r="12" spans="1:239" x14ac:dyDescent="0.2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220</v>
      </c>
      <c r="IC12" s="6" t="str">
        <f t="shared" si="12"/>
        <v>RO_Data[4].STEP_DESC[</v>
      </c>
      <c r="ID12" s="23">
        <f t="shared" si="23"/>
        <v>7</v>
      </c>
      <c r="IE12" s="112" t="s">
        <v>22</v>
      </c>
    </row>
    <row r="13" spans="1:239" x14ac:dyDescent="0.2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213</v>
      </c>
      <c r="IC13" s="6" t="str">
        <f t="shared" si="12"/>
        <v>RO_Data[4].STEP_DESC[</v>
      </c>
      <c r="ID13" s="23">
        <f t="shared" si="23"/>
        <v>8</v>
      </c>
      <c r="IE13" s="112" t="s">
        <v>22</v>
      </c>
    </row>
    <row r="14" spans="1:239" x14ac:dyDescent="0.2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214</v>
      </c>
      <c r="IC14" s="6" t="str">
        <f t="shared" si="12"/>
        <v>RO_Data[4].STEP_DESC[</v>
      </c>
      <c r="ID14" s="23">
        <f t="shared" si="23"/>
        <v>9</v>
      </c>
      <c r="IE14" s="112" t="s">
        <v>22</v>
      </c>
    </row>
    <row r="15" spans="1:239" x14ac:dyDescent="0.2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209</v>
      </c>
      <c r="IC15" s="6" t="str">
        <f t="shared" si="12"/>
        <v>RO_Data[4].STEP_DESC[</v>
      </c>
      <c r="ID15" s="23">
        <f t="shared" si="23"/>
        <v>10</v>
      </c>
      <c r="IE15" s="112" t="s">
        <v>22</v>
      </c>
    </row>
    <row r="16" spans="1:239" x14ac:dyDescent="0.2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210</v>
      </c>
      <c r="IC16" s="6" t="str">
        <f t="shared" si="12"/>
        <v>RO_Data[4].STEP_DESC[</v>
      </c>
      <c r="ID16" s="23">
        <f t="shared" si="23"/>
        <v>11</v>
      </c>
      <c r="IE16" s="112" t="s">
        <v>22</v>
      </c>
    </row>
    <row r="17" spans="1:239" x14ac:dyDescent="0.2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211</v>
      </c>
      <c r="IC17" s="6" t="str">
        <f t="shared" si="12"/>
        <v>RO_Data[4].STEP_DESC[</v>
      </c>
      <c r="ID17" s="23">
        <f t="shared" si="23"/>
        <v>12</v>
      </c>
      <c r="IE17" s="112" t="s">
        <v>22</v>
      </c>
    </row>
    <row r="18" spans="1:239" x14ac:dyDescent="0.2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213</v>
      </c>
      <c r="IC18" s="6" t="str">
        <f t="shared" si="12"/>
        <v>RO_Data[4].STEP_DESC[</v>
      </c>
      <c r="ID18" s="23">
        <f t="shared" si="23"/>
        <v>13</v>
      </c>
      <c r="IE18" s="112" t="s">
        <v>22</v>
      </c>
    </row>
    <row r="19" spans="1:239" x14ac:dyDescent="0.2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217</v>
      </c>
      <c r="IC19" s="6" t="str">
        <f t="shared" si="12"/>
        <v>RO_Data[4].STEP_DESC[</v>
      </c>
      <c r="ID19" s="23">
        <f t="shared" si="23"/>
        <v>14</v>
      </c>
      <c r="IE19" s="112" t="s">
        <v>22</v>
      </c>
    </row>
    <row r="20" spans="1:239" x14ac:dyDescent="0.2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208</v>
      </c>
      <c r="IC20" s="6" t="str">
        <f t="shared" si="12"/>
        <v>RO_Data[4].STEP_DESC[</v>
      </c>
      <c r="ID20" s="23">
        <f t="shared" si="23"/>
        <v>15</v>
      </c>
      <c r="IE20" s="112" t="s">
        <v>22</v>
      </c>
    </row>
    <row r="21" spans="1:239" x14ac:dyDescent="0.2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2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2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2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2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2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2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2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2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2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2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2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2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2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5.75" thickBot="1" x14ac:dyDescent="0.3">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L4" activePane="bottomRight" state="frozen"/>
      <selection activeCell="ED4" sqref="ED4"/>
      <selection pane="topRight" activeCell="ED4" sqref="ED4"/>
      <selection pane="bottomLeft" activeCell="ED4" sqref="ED4"/>
      <selection pane="bottomRight" activeCell="AO13" sqref="AO1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3"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425</v>
      </c>
      <c r="GS2" s="33" t="s">
        <v>428</v>
      </c>
      <c r="GT2" s="33" t="s">
        <v>427</v>
      </c>
      <c r="GU2" s="33" t="s">
        <v>424</v>
      </c>
      <c r="GV2" s="33" t="s">
        <v>415</v>
      </c>
      <c r="GW2" s="33" t="s">
        <v>416</v>
      </c>
      <c r="GX2" s="33" t="s">
        <v>417</v>
      </c>
      <c r="GY2" s="33" t="s">
        <v>418</v>
      </c>
      <c r="GZ2" s="33"/>
      <c r="HA2" s="33"/>
      <c r="HB2" s="33"/>
      <c r="HC2" s="33"/>
      <c r="HD2" s="33"/>
      <c r="HE2" s="33"/>
      <c r="HF2" s="33"/>
      <c r="HG2" s="33"/>
      <c r="HH2" s="33"/>
      <c r="HI2" s="33"/>
      <c r="HJ2" s="33" t="s">
        <v>419</v>
      </c>
      <c r="HK2" s="33" t="s">
        <v>426</v>
      </c>
      <c r="HL2" s="33" t="s">
        <v>420</v>
      </c>
      <c r="HM2" s="33" t="s">
        <v>421</v>
      </c>
      <c r="HN2" s="33" t="s">
        <v>422</v>
      </c>
      <c r="HO2" s="33" t="s">
        <v>423</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396</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24" si="0">IF($IB5&lt;&gt;"", $IB5, "")</f>
        <v>HOME</v>
      </c>
      <c r="C5" s="47"/>
      <c r="D5" s="22" t="s">
        <v>366</v>
      </c>
      <c r="E5" s="23">
        <v>0</v>
      </c>
      <c r="F5" s="112" t="s">
        <v>22</v>
      </c>
      <c r="G5" s="129">
        <v>0</v>
      </c>
      <c r="H5" s="22" t="s">
        <v>367</v>
      </c>
      <c r="I5" s="23">
        <v>0</v>
      </c>
      <c r="J5" s="112" t="s">
        <v>22</v>
      </c>
      <c r="K5" s="129">
        <v>0</v>
      </c>
      <c r="L5" s="22" t="s">
        <v>368</v>
      </c>
      <c r="M5" s="23">
        <v>0</v>
      </c>
      <c r="N5" s="112" t="s">
        <v>22</v>
      </c>
      <c r="O5" s="132">
        <v>0</v>
      </c>
      <c r="P5" s="22" t="s">
        <v>369</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370</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371</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372</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373</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374</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375</v>
      </c>
      <c r="HZ5" s="23">
        <v>0</v>
      </c>
      <c r="IA5" s="112" t="s">
        <v>22</v>
      </c>
      <c r="IB5" s="10" t="s">
        <v>206</v>
      </c>
      <c r="IC5" s="22" t="s">
        <v>376</v>
      </c>
      <c r="ID5" s="23">
        <v>0</v>
      </c>
      <c r="IE5" s="112" t="s">
        <v>22</v>
      </c>
    </row>
    <row r="6" spans="1:239" x14ac:dyDescent="0.25">
      <c r="A6" s="8">
        <v>1</v>
      </c>
      <c r="B6" s="8" t="str">
        <f t="shared" si="0"/>
        <v>FILLING FEED TANK TO SET POINT LEVEL</v>
      </c>
      <c r="C6" s="47"/>
      <c r="D6" s="6" t="str">
        <f t="shared" ref="D6:D24" si="1">D$5</f>
        <v>RO_Data[5].ACK_DESC[</v>
      </c>
      <c r="E6" s="23">
        <f>E5+1</f>
        <v>1</v>
      </c>
      <c r="F6" s="112" t="s">
        <v>22</v>
      </c>
      <c r="G6" s="129">
        <v>0</v>
      </c>
      <c r="H6" s="6" t="str">
        <f t="shared" ref="H6:H24" si="2">H$5</f>
        <v>RO_Data[5].MIN[</v>
      </c>
      <c r="I6" s="23">
        <f>I5+1</f>
        <v>1</v>
      </c>
      <c r="J6" s="112" t="s">
        <v>22</v>
      </c>
      <c r="K6" s="129">
        <v>1</v>
      </c>
      <c r="L6" s="6" t="str">
        <f t="shared" ref="L6:L24" si="3">L$5</f>
        <v>RO_Data[5].SEC[</v>
      </c>
      <c r="M6" s="23">
        <f>M5+1</f>
        <v>1</v>
      </c>
      <c r="N6" s="112" t="s">
        <v>22</v>
      </c>
      <c r="O6" s="132">
        <v>0</v>
      </c>
      <c r="P6" s="6" t="str">
        <f t="shared" ref="P6:P24" si="4">P$5</f>
        <v>RO_Data[5].SETPOINT[</v>
      </c>
      <c r="Q6" s="23">
        <f>Q5+1</f>
        <v>1</v>
      </c>
      <c r="R6" s="112" t="s">
        <v>22</v>
      </c>
      <c r="S6" s="9" t="str">
        <f t="shared" ref="S6:S24" si="5">IF(AP6=1, "P", "")</f>
        <v>P</v>
      </c>
      <c r="T6" s="18"/>
      <c r="U6" s="19"/>
      <c r="V6" s="19"/>
      <c r="W6" s="19">
        <v>1</v>
      </c>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RO_Data[5].COND1[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RO_Data[5].COND2[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RO_Data[5].COND3[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RO_Data[5].ACT1[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RO_Data[5].ACT5[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RO_Data[5].ACT6[</v>
      </c>
      <c r="HZ6" s="23">
        <f>HZ5+1</f>
        <v>1</v>
      </c>
      <c r="IA6" s="112" t="s">
        <v>22</v>
      </c>
      <c r="IB6" s="10" t="s">
        <v>209</v>
      </c>
      <c r="IC6" s="6" t="str">
        <f t="shared" ref="IC6:IC24" si="12">IC$5</f>
        <v>RO_Data[5].STEP_DESC[</v>
      </c>
      <c r="ID6" s="23">
        <f>ID5+1</f>
        <v>1</v>
      </c>
      <c r="IE6" s="112" t="s">
        <v>22</v>
      </c>
    </row>
    <row r="7" spans="1:239" x14ac:dyDescent="0.25">
      <c r="A7" s="8">
        <v>2</v>
      </c>
      <c r="B7" s="8" t="str">
        <f t="shared" si="0"/>
        <v>STARTING PUMPS</v>
      </c>
      <c r="C7" s="47"/>
      <c r="D7" s="6" t="str">
        <f t="shared" si="1"/>
        <v>RO_Data[5].ACK_DESC[</v>
      </c>
      <c r="E7" s="23">
        <f t="shared" ref="E7:E24" si="13">E6+1</f>
        <v>2</v>
      </c>
      <c r="F7" s="112" t="s">
        <v>22</v>
      </c>
      <c r="G7" s="129">
        <v>0</v>
      </c>
      <c r="H7" s="6" t="str">
        <f t="shared" si="2"/>
        <v>RO_Data[5].MIN[</v>
      </c>
      <c r="I7" s="23">
        <f t="shared" ref="I7:I24" si="14">I6+1</f>
        <v>2</v>
      </c>
      <c r="J7" s="112" t="s">
        <v>22</v>
      </c>
      <c r="K7" s="129">
        <v>30</v>
      </c>
      <c r="L7" s="6" t="str">
        <f t="shared" si="3"/>
        <v>RO_Data[5].SEC[</v>
      </c>
      <c r="M7" s="23">
        <f t="shared" ref="M7:M24" si="15">M6+1</f>
        <v>2</v>
      </c>
      <c r="N7" s="112" t="s">
        <v>22</v>
      </c>
      <c r="O7" s="132">
        <v>0</v>
      </c>
      <c r="P7" s="6" t="str">
        <f t="shared" si="4"/>
        <v>RO_Data[5].SETPOINT[</v>
      </c>
      <c r="Q7" s="23">
        <f t="shared" ref="Q7:Q24" si="16">Q6+1</f>
        <v>2</v>
      </c>
      <c r="R7" s="112" t="s">
        <v>22</v>
      </c>
      <c r="S7" s="9" t="str">
        <f t="shared" si="5"/>
        <v>P</v>
      </c>
      <c r="T7" s="18"/>
      <c r="U7" s="19"/>
      <c r="V7" s="19"/>
      <c r="W7" s="19">
        <v>1</v>
      </c>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RO_Data[5].COND1[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RO_Data[5].COND2[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RO_Data[5].ACT1[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4" si="22">HZ6+1</f>
        <v>2</v>
      </c>
      <c r="IA7" s="112" t="s">
        <v>22</v>
      </c>
      <c r="IB7" s="10" t="s">
        <v>210</v>
      </c>
      <c r="IC7" s="6" t="str">
        <f t="shared" si="12"/>
        <v>RO_Data[5].STEP_DESC[</v>
      </c>
      <c r="ID7" s="23">
        <f t="shared" ref="ID7:ID24" si="23">ID6+1</f>
        <v>2</v>
      </c>
      <c r="IE7" s="112" t="s">
        <v>22</v>
      </c>
    </row>
    <row r="8" spans="1:239" x14ac:dyDescent="0.25">
      <c r="A8" s="8">
        <v>3</v>
      </c>
      <c r="B8" s="8" t="str">
        <f t="shared" si="0"/>
        <v>RINSING STAGES</v>
      </c>
      <c r="C8" s="47"/>
      <c r="D8" s="6" t="str">
        <f t="shared" si="1"/>
        <v>RO_Data[5].ACK_DESC[</v>
      </c>
      <c r="E8" s="23">
        <f t="shared" si="13"/>
        <v>3</v>
      </c>
      <c r="F8" s="112" t="s">
        <v>22</v>
      </c>
      <c r="G8" s="129">
        <v>0</v>
      </c>
      <c r="H8" s="6" t="str">
        <f t="shared" si="2"/>
        <v>RO_Data[5].MIN[</v>
      </c>
      <c r="I8" s="23">
        <f t="shared" si="14"/>
        <v>3</v>
      </c>
      <c r="J8" s="112" t="s">
        <v>22</v>
      </c>
      <c r="K8" s="129">
        <v>1</v>
      </c>
      <c r="L8" s="6" t="str">
        <f t="shared" si="3"/>
        <v>RO_Data[5].SEC[</v>
      </c>
      <c r="M8" s="23">
        <f t="shared" si="15"/>
        <v>3</v>
      </c>
      <c r="N8" s="112" t="s">
        <v>22</v>
      </c>
      <c r="O8" s="132">
        <v>0</v>
      </c>
      <c r="P8" s="6" t="str">
        <f t="shared" si="4"/>
        <v>RO_Data[5].SETPOINT[</v>
      </c>
      <c r="Q8" s="23">
        <f t="shared" si="16"/>
        <v>3</v>
      </c>
      <c r="R8" s="112" t="s">
        <v>22</v>
      </c>
      <c r="S8" s="9" t="str">
        <f t="shared" si="5"/>
        <v>P</v>
      </c>
      <c r="T8" s="18"/>
      <c r="U8" s="19"/>
      <c r="V8" s="19"/>
      <c r="W8" s="19">
        <v>1</v>
      </c>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RO_Data[5].COND1[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RO_Data[5].COND2[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RO_Data[5].COND3[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RO_Data[5].ACT1[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RO_Data[5].ACT6[</v>
      </c>
      <c r="HZ8" s="23">
        <f t="shared" si="22"/>
        <v>3</v>
      </c>
      <c r="IA8" s="112" t="s">
        <v>22</v>
      </c>
      <c r="IB8" s="10" t="s">
        <v>211</v>
      </c>
      <c r="IC8" s="6" t="str">
        <f t="shared" si="12"/>
        <v>RO_Data[5].STEP_DESC[</v>
      </c>
      <c r="ID8" s="23">
        <f t="shared" si="23"/>
        <v>3</v>
      </c>
      <c r="IE8" s="112" t="s">
        <v>22</v>
      </c>
    </row>
    <row r="9" spans="1:239" x14ac:dyDescent="0.25">
      <c r="A9" s="8">
        <v>4</v>
      </c>
      <c r="B9" s="8" t="str">
        <f t="shared" si="0"/>
        <v>PUMPING DOWN FEED TANK</v>
      </c>
      <c r="C9" s="47"/>
      <c r="D9" s="6" t="str">
        <f t="shared" si="1"/>
        <v>RO_Data[5].ACK_DESC[</v>
      </c>
      <c r="E9" s="23">
        <f t="shared" si="13"/>
        <v>4</v>
      </c>
      <c r="F9" s="112" t="s">
        <v>22</v>
      </c>
      <c r="G9" s="129">
        <v>0</v>
      </c>
      <c r="H9" s="6" t="str">
        <f t="shared" si="2"/>
        <v>RO_Data[5].MIN[</v>
      </c>
      <c r="I9" s="23">
        <f t="shared" si="14"/>
        <v>4</v>
      </c>
      <c r="J9" s="112" t="s">
        <v>22</v>
      </c>
      <c r="K9" s="129">
        <v>1</v>
      </c>
      <c r="L9" s="6" t="str">
        <f t="shared" si="3"/>
        <v>RO_Data[5].SEC[</v>
      </c>
      <c r="M9" s="23">
        <f t="shared" si="15"/>
        <v>4</v>
      </c>
      <c r="N9" s="112" t="s">
        <v>22</v>
      </c>
      <c r="O9" s="132">
        <v>0</v>
      </c>
      <c r="P9" s="6" t="str">
        <f t="shared" si="4"/>
        <v>RO_Data[5].SETPOINT[</v>
      </c>
      <c r="Q9" s="23">
        <f t="shared" si="16"/>
        <v>4</v>
      </c>
      <c r="R9" s="112" t="s">
        <v>22</v>
      </c>
      <c r="S9" s="9" t="str">
        <f t="shared" si="5"/>
        <v>P</v>
      </c>
      <c r="T9" s="18"/>
      <c r="U9" s="19"/>
      <c r="V9" s="19"/>
      <c r="W9" s="19"/>
      <c r="X9" s="19"/>
      <c r="Y9" s="19"/>
      <c r="Z9" s="19"/>
      <c r="AA9" s="19"/>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RO_Data[5].COND1[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RO_Data[5].COND2[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RO_Data[5].COND3[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RO_Data[5].ACT1[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RO_Data[5].ACT6[</v>
      </c>
      <c r="HZ9" s="23">
        <f t="shared" si="22"/>
        <v>4</v>
      </c>
      <c r="IA9" s="112" t="s">
        <v>22</v>
      </c>
      <c r="IB9" s="10" t="s">
        <v>213</v>
      </c>
      <c r="IC9" s="6" t="str">
        <f t="shared" si="12"/>
        <v>RO_Data[5].STEP_DESC[</v>
      </c>
      <c r="ID9" s="23">
        <f t="shared" si="23"/>
        <v>4</v>
      </c>
      <c r="IE9" s="112" t="s">
        <v>22</v>
      </c>
    </row>
    <row r="10" spans="1:239" x14ac:dyDescent="0.25">
      <c r="A10" s="8">
        <v>5</v>
      </c>
      <c r="B10" s="8" t="str">
        <f t="shared" si="0"/>
        <v>DRAINING FEED TANK</v>
      </c>
      <c r="C10" s="47"/>
      <c r="D10" s="6" t="str">
        <f t="shared" si="1"/>
        <v>RO_Data[5].ACK_DESC[</v>
      </c>
      <c r="E10" s="23">
        <f t="shared" si="13"/>
        <v>5</v>
      </c>
      <c r="F10" s="112" t="s">
        <v>22</v>
      </c>
      <c r="G10" s="129">
        <v>0</v>
      </c>
      <c r="H10" s="6" t="str">
        <f t="shared" si="2"/>
        <v>RO_Data[5].MIN[</v>
      </c>
      <c r="I10" s="23">
        <f t="shared" si="14"/>
        <v>5</v>
      </c>
      <c r="J10" s="112" t="s">
        <v>22</v>
      </c>
      <c r="K10" s="129">
        <v>1</v>
      </c>
      <c r="L10" s="6" t="str">
        <f t="shared" si="3"/>
        <v>RO_Data[5].SEC[</v>
      </c>
      <c r="M10" s="23">
        <f t="shared" si="15"/>
        <v>5</v>
      </c>
      <c r="N10" s="112" t="s">
        <v>22</v>
      </c>
      <c r="O10" s="132">
        <v>0</v>
      </c>
      <c r="P10" s="6" t="str">
        <f t="shared" si="4"/>
        <v>RO_Data[5].SETPOINT[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RO_Data[5].COND2[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RO_Data[5].ACT1[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RO_Data[5].ACT5[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RO_Data[5].ACT6[</v>
      </c>
      <c r="HZ10" s="23">
        <f t="shared" si="22"/>
        <v>5</v>
      </c>
      <c r="IA10" s="112" t="s">
        <v>22</v>
      </c>
      <c r="IB10" s="10" t="s">
        <v>214</v>
      </c>
      <c r="IC10" s="6" t="str">
        <f t="shared" si="12"/>
        <v>RO_Data[5].STEP_DESC[</v>
      </c>
      <c r="ID10" s="23">
        <f t="shared" si="23"/>
        <v>5</v>
      </c>
      <c r="IE10" s="112" t="s">
        <v>22</v>
      </c>
    </row>
    <row r="11" spans="1:239" x14ac:dyDescent="0.25">
      <c r="A11" s="8">
        <v>6</v>
      </c>
      <c r="B11" s="8" t="str">
        <f t="shared" si="0"/>
        <v>CYCLE COMPLETE</v>
      </c>
      <c r="C11" s="47"/>
      <c r="D11" s="6" t="str">
        <f t="shared" si="1"/>
        <v>RO_Data[5].ACK_DESC[</v>
      </c>
      <c r="E11" s="23">
        <f t="shared" si="13"/>
        <v>6</v>
      </c>
      <c r="F11" s="112" t="s">
        <v>22</v>
      </c>
      <c r="G11" s="129">
        <v>0</v>
      </c>
      <c r="H11" s="6" t="str">
        <f t="shared" si="2"/>
        <v>RO_Data[5].MIN[</v>
      </c>
      <c r="I11" s="23">
        <f t="shared" si="14"/>
        <v>6</v>
      </c>
      <c r="J11" s="112" t="s">
        <v>22</v>
      </c>
      <c r="K11" s="129">
        <v>0</v>
      </c>
      <c r="L11" s="6" t="str">
        <f t="shared" si="3"/>
        <v>RO_Data[5].SEC[</v>
      </c>
      <c r="M11" s="23">
        <f t="shared" si="15"/>
        <v>6</v>
      </c>
      <c r="N11" s="112" t="s">
        <v>22</v>
      </c>
      <c r="O11" s="132">
        <v>0</v>
      </c>
      <c r="P11" s="6" t="str">
        <f t="shared" si="4"/>
        <v>RO_Data[5].SETPOINT[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RO_Data[5].COND1[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RO_Data[5].ACT1[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12" t="s">
        <v>22</v>
      </c>
      <c r="IB11" s="10" t="s">
        <v>208</v>
      </c>
      <c r="IC11" s="6" t="str">
        <f t="shared" si="12"/>
        <v>RO_Data[5].STEP_DESC[</v>
      </c>
      <c r="ID11" s="23">
        <f t="shared" si="23"/>
        <v>6</v>
      </c>
      <c r="IE11" s="112" t="s">
        <v>22</v>
      </c>
    </row>
    <row r="12" spans="1:239" x14ac:dyDescent="0.25">
      <c r="A12" s="8">
        <v>7</v>
      </c>
      <c r="B12" s="8" t="str">
        <f t="shared" si="0"/>
        <v/>
      </c>
      <c r="C12" s="47"/>
      <c r="D12" s="6" t="str">
        <f t="shared" si="1"/>
        <v>RO_Data[5].ACK_DESC[</v>
      </c>
      <c r="E12" s="23">
        <f t="shared" si="13"/>
        <v>7</v>
      </c>
      <c r="F12" s="112" t="s">
        <v>22</v>
      </c>
      <c r="G12" s="129">
        <v>0</v>
      </c>
      <c r="H12" s="6" t="str">
        <f t="shared" si="2"/>
        <v>RO_Data[5].MIN[</v>
      </c>
      <c r="I12" s="23">
        <f t="shared" si="14"/>
        <v>7</v>
      </c>
      <c r="J12" s="112" t="s">
        <v>22</v>
      </c>
      <c r="K12" s="129">
        <v>0</v>
      </c>
      <c r="L12" s="6" t="str">
        <f t="shared" si="3"/>
        <v>RO_Data[5].SEC[</v>
      </c>
      <c r="M12" s="23">
        <f t="shared" si="15"/>
        <v>7</v>
      </c>
      <c r="N12" s="112" t="s">
        <v>22</v>
      </c>
      <c r="O12" s="132">
        <v>0</v>
      </c>
      <c r="P12" s="6" t="str">
        <f t="shared" si="4"/>
        <v>RO_Data[5].SETPOINT[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RO_Data[5].COND1[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RO_Data[5].ACT1[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12" t="s">
        <v>22</v>
      </c>
      <c r="IB12" s="10"/>
      <c r="IC12" s="6" t="str">
        <f t="shared" si="12"/>
        <v>RO_Data[5].STEP_DESC[</v>
      </c>
      <c r="ID12" s="23">
        <f t="shared" si="23"/>
        <v>7</v>
      </c>
      <c r="IE12" s="112" t="s">
        <v>22</v>
      </c>
    </row>
    <row r="13" spans="1:239" x14ac:dyDescent="0.25">
      <c r="A13" s="8">
        <v>8</v>
      </c>
      <c r="B13" s="8" t="str">
        <f t="shared" si="0"/>
        <v/>
      </c>
      <c r="C13" s="47"/>
      <c r="D13" s="6" t="str">
        <f t="shared" si="1"/>
        <v>RO_Data[5].ACK_DESC[</v>
      </c>
      <c r="E13" s="23">
        <f t="shared" si="13"/>
        <v>8</v>
      </c>
      <c r="F13" s="112" t="s">
        <v>22</v>
      </c>
      <c r="G13" s="129">
        <v>0</v>
      </c>
      <c r="H13" s="6" t="str">
        <f t="shared" si="2"/>
        <v>RO_Data[5].MIN[</v>
      </c>
      <c r="I13" s="23">
        <f t="shared" si="14"/>
        <v>8</v>
      </c>
      <c r="J13" s="112" t="s">
        <v>22</v>
      </c>
      <c r="K13" s="129">
        <v>0</v>
      </c>
      <c r="L13" s="6" t="str">
        <f t="shared" si="3"/>
        <v>RO_Data[5].SEC[</v>
      </c>
      <c r="M13" s="23">
        <f t="shared" si="15"/>
        <v>8</v>
      </c>
      <c r="N13" s="112" t="s">
        <v>22</v>
      </c>
      <c r="O13" s="132">
        <v>0</v>
      </c>
      <c r="P13" s="6" t="str">
        <f t="shared" si="4"/>
        <v>RO_Data[5].SETPOINT[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RO_Data[5].COND1[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RO_Data[5].COND2[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RO_Data[5].COND3[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RO_Data[5].ACT1[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RO_Data[5].ACT5[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12" t="s">
        <v>22</v>
      </c>
      <c r="IB13" s="10"/>
      <c r="IC13" s="6" t="str">
        <f t="shared" si="12"/>
        <v>RO_Data[5].STEP_DESC[</v>
      </c>
      <c r="ID13" s="23">
        <f t="shared" si="23"/>
        <v>8</v>
      </c>
      <c r="IE13" s="112" t="s">
        <v>22</v>
      </c>
    </row>
    <row r="14" spans="1:239" x14ac:dyDescent="0.25">
      <c r="A14" s="8">
        <v>9</v>
      </c>
      <c r="B14" s="8" t="str">
        <f t="shared" si="0"/>
        <v/>
      </c>
      <c r="C14" s="47"/>
      <c r="D14" s="6" t="str">
        <f t="shared" si="1"/>
        <v>RO_Data[5].ACK_DESC[</v>
      </c>
      <c r="E14" s="23">
        <f t="shared" si="13"/>
        <v>9</v>
      </c>
      <c r="F14" s="112" t="s">
        <v>22</v>
      </c>
      <c r="G14" s="129">
        <v>0</v>
      </c>
      <c r="H14" s="6" t="str">
        <f t="shared" si="2"/>
        <v>RO_Data[5].MIN[</v>
      </c>
      <c r="I14" s="23">
        <f t="shared" si="14"/>
        <v>9</v>
      </c>
      <c r="J14" s="112" t="s">
        <v>22</v>
      </c>
      <c r="K14" s="129">
        <v>0</v>
      </c>
      <c r="L14" s="6" t="str">
        <f t="shared" si="3"/>
        <v>RO_Data[5].SEC[</v>
      </c>
      <c r="M14" s="23">
        <f t="shared" si="15"/>
        <v>9</v>
      </c>
      <c r="N14" s="112" t="s">
        <v>22</v>
      </c>
      <c r="O14" s="132">
        <v>0</v>
      </c>
      <c r="P14" s="6" t="str">
        <f t="shared" si="4"/>
        <v>RO_Data[5].SETPOINT[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RO_Data[5].COND1[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RO_Data[5].COND2[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RO_Data[5].ACT1[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12" t="s">
        <v>22</v>
      </c>
      <c r="IB14" s="10"/>
      <c r="IC14" s="6" t="str">
        <f t="shared" si="12"/>
        <v>RO_Data[5].STEP_DESC[</v>
      </c>
      <c r="ID14" s="23">
        <f t="shared" si="23"/>
        <v>9</v>
      </c>
      <c r="IE14" s="112" t="s">
        <v>22</v>
      </c>
    </row>
    <row r="15" spans="1:239" x14ac:dyDescent="0.25">
      <c r="A15" s="8">
        <v>10</v>
      </c>
      <c r="B15" s="8" t="str">
        <f t="shared" si="0"/>
        <v/>
      </c>
      <c r="C15" s="47"/>
      <c r="D15" s="6" t="str">
        <f t="shared" si="1"/>
        <v>RO_Data[5].ACK_DESC[</v>
      </c>
      <c r="E15" s="23">
        <f t="shared" si="13"/>
        <v>10</v>
      </c>
      <c r="F15" s="112" t="s">
        <v>22</v>
      </c>
      <c r="G15" s="129">
        <v>0</v>
      </c>
      <c r="H15" s="6" t="str">
        <f t="shared" si="2"/>
        <v>RO_Data[5].MIN[</v>
      </c>
      <c r="I15" s="23">
        <f t="shared" si="14"/>
        <v>10</v>
      </c>
      <c r="J15" s="112" t="s">
        <v>22</v>
      </c>
      <c r="K15" s="129">
        <v>0</v>
      </c>
      <c r="L15" s="6" t="str">
        <f t="shared" si="3"/>
        <v>RO_Data[5].SEC[</v>
      </c>
      <c r="M15" s="23">
        <f t="shared" si="15"/>
        <v>10</v>
      </c>
      <c r="N15" s="112" t="s">
        <v>22</v>
      </c>
      <c r="O15" s="132">
        <v>0</v>
      </c>
      <c r="P15" s="6" t="str">
        <f t="shared" si="4"/>
        <v>RO_Data[5].SETPOINT[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RO_Data[5].COND1[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RO_Data[5].ACT1[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12" t="s">
        <v>22</v>
      </c>
      <c r="IB15" s="10"/>
      <c r="IC15" s="6" t="str">
        <f t="shared" si="12"/>
        <v>RO_Data[5].STEP_DESC[</v>
      </c>
      <c r="ID15" s="23">
        <f t="shared" si="23"/>
        <v>10</v>
      </c>
      <c r="IE15" s="112" t="s">
        <v>22</v>
      </c>
    </row>
    <row r="16" spans="1:239" x14ac:dyDescent="0.25">
      <c r="A16" s="8">
        <v>11</v>
      </c>
      <c r="B16" s="8" t="str">
        <f t="shared" si="0"/>
        <v/>
      </c>
      <c r="C16" s="47"/>
      <c r="D16" s="6" t="str">
        <f t="shared" si="1"/>
        <v>RO_Data[5].ACK_DESC[</v>
      </c>
      <c r="E16" s="23">
        <f t="shared" si="13"/>
        <v>11</v>
      </c>
      <c r="F16" s="112" t="s">
        <v>22</v>
      </c>
      <c r="G16" s="129">
        <v>0</v>
      </c>
      <c r="H16" s="6" t="str">
        <f t="shared" si="2"/>
        <v>RO_Data[5].MIN[</v>
      </c>
      <c r="I16" s="23">
        <f t="shared" si="14"/>
        <v>11</v>
      </c>
      <c r="J16" s="112" t="s">
        <v>22</v>
      </c>
      <c r="K16" s="129">
        <v>0</v>
      </c>
      <c r="L16" s="6" t="str">
        <f t="shared" si="3"/>
        <v>RO_Data[5].SEC[</v>
      </c>
      <c r="M16" s="23">
        <f t="shared" si="15"/>
        <v>11</v>
      </c>
      <c r="N16" s="112" t="s">
        <v>22</v>
      </c>
      <c r="O16" s="132">
        <v>0</v>
      </c>
      <c r="P16" s="6" t="str">
        <f t="shared" si="4"/>
        <v>RO_Data[5].SETPOINT[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RO_Data[5].COND1[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RO_Data[5].COND2[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RO_Data[5].ACT1[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RO_Data[5].ACT5[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12" t="s">
        <v>22</v>
      </c>
      <c r="IB16" s="10"/>
      <c r="IC16" s="6" t="str">
        <f t="shared" si="12"/>
        <v>RO_Data[5].STEP_DESC[</v>
      </c>
      <c r="ID16" s="23">
        <f t="shared" si="23"/>
        <v>11</v>
      </c>
      <c r="IE16" s="112" t="s">
        <v>22</v>
      </c>
    </row>
    <row r="17" spans="1:239" x14ac:dyDescent="0.25">
      <c r="A17" s="8">
        <v>12</v>
      </c>
      <c r="B17" s="8" t="str">
        <f t="shared" si="0"/>
        <v/>
      </c>
      <c r="C17" s="47"/>
      <c r="D17" s="6" t="str">
        <f t="shared" si="1"/>
        <v>RO_Data[5].ACK_DESC[</v>
      </c>
      <c r="E17" s="23">
        <f t="shared" si="13"/>
        <v>12</v>
      </c>
      <c r="F17" s="112" t="s">
        <v>22</v>
      </c>
      <c r="G17" s="129">
        <v>0</v>
      </c>
      <c r="H17" s="6" t="str">
        <f t="shared" si="2"/>
        <v>RO_Data[5].MIN[</v>
      </c>
      <c r="I17" s="23">
        <f t="shared" si="14"/>
        <v>12</v>
      </c>
      <c r="J17" s="112" t="s">
        <v>22</v>
      </c>
      <c r="K17" s="129">
        <v>0</v>
      </c>
      <c r="L17" s="6" t="str">
        <f t="shared" si="3"/>
        <v>RO_Data[5].SEC[</v>
      </c>
      <c r="M17" s="23">
        <f t="shared" si="15"/>
        <v>12</v>
      </c>
      <c r="N17" s="112" t="s">
        <v>22</v>
      </c>
      <c r="O17" s="132">
        <v>0</v>
      </c>
      <c r="P17" s="6" t="str">
        <f t="shared" si="4"/>
        <v>RO_Data[5].SETPOINT[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RO_Data[5].COND1[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RO_Data[5].COND2[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RO_Data[5].COND3[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RO_Data[5].ACT1[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RO_Data[5].ACT5[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12" t="s">
        <v>22</v>
      </c>
      <c r="IB17" s="10"/>
      <c r="IC17" s="6" t="str">
        <f t="shared" si="12"/>
        <v>RO_Data[5].STEP_DESC[</v>
      </c>
      <c r="ID17" s="23">
        <f t="shared" si="23"/>
        <v>12</v>
      </c>
      <c r="IE17" s="112" t="s">
        <v>22</v>
      </c>
    </row>
    <row r="18" spans="1:239" x14ac:dyDescent="0.25">
      <c r="A18" s="8">
        <v>13</v>
      </c>
      <c r="B18" s="8" t="str">
        <f t="shared" si="0"/>
        <v/>
      </c>
      <c r="C18" s="47"/>
      <c r="D18" s="6" t="str">
        <f t="shared" si="1"/>
        <v>RO_Data[5].ACK_DESC[</v>
      </c>
      <c r="E18" s="23">
        <f t="shared" si="13"/>
        <v>13</v>
      </c>
      <c r="F18" s="112" t="s">
        <v>22</v>
      </c>
      <c r="G18" s="129">
        <v>0</v>
      </c>
      <c r="H18" s="6" t="str">
        <f t="shared" si="2"/>
        <v>RO_Data[5].MIN[</v>
      </c>
      <c r="I18" s="23">
        <f t="shared" si="14"/>
        <v>13</v>
      </c>
      <c r="J18" s="112" t="s">
        <v>22</v>
      </c>
      <c r="K18" s="129">
        <v>0</v>
      </c>
      <c r="L18" s="6" t="str">
        <f t="shared" si="3"/>
        <v>RO_Data[5].SEC[</v>
      </c>
      <c r="M18" s="23">
        <f t="shared" si="15"/>
        <v>13</v>
      </c>
      <c r="N18" s="112" t="s">
        <v>22</v>
      </c>
      <c r="O18" s="132">
        <v>0</v>
      </c>
      <c r="P18" s="6" t="str">
        <f t="shared" si="4"/>
        <v>RO_Data[5].SETPOINT[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RO_Data[5].COND1[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RO_Data[5].COND2[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RO_Data[5].COND3[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RO_Data[5].ACT1[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RO_Data[5].ACT5[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12" t="s">
        <v>22</v>
      </c>
      <c r="IB18" s="10"/>
      <c r="IC18" s="6" t="str">
        <f t="shared" si="12"/>
        <v>RO_Data[5].STEP_DESC[</v>
      </c>
      <c r="ID18" s="23">
        <f t="shared" si="23"/>
        <v>13</v>
      </c>
      <c r="IE18" s="112" t="s">
        <v>22</v>
      </c>
    </row>
    <row r="19" spans="1:239" x14ac:dyDescent="0.25">
      <c r="A19" s="8">
        <v>14</v>
      </c>
      <c r="B19" s="8" t="str">
        <f t="shared" si="0"/>
        <v/>
      </c>
      <c r="C19" s="47"/>
      <c r="D19" s="6" t="str">
        <f t="shared" si="1"/>
        <v>RO_Data[5].ACK_DESC[</v>
      </c>
      <c r="E19" s="23">
        <f t="shared" si="13"/>
        <v>14</v>
      </c>
      <c r="F19" s="112" t="s">
        <v>22</v>
      </c>
      <c r="G19" s="129">
        <v>0</v>
      </c>
      <c r="H19" s="6" t="str">
        <f t="shared" si="2"/>
        <v>RO_Data[5].MIN[</v>
      </c>
      <c r="I19" s="23">
        <f t="shared" si="14"/>
        <v>14</v>
      </c>
      <c r="J19" s="112" t="s">
        <v>22</v>
      </c>
      <c r="K19" s="129">
        <v>0</v>
      </c>
      <c r="L19" s="6" t="str">
        <f t="shared" si="3"/>
        <v>RO_Data[5].SEC[</v>
      </c>
      <c r="M19" s="23">
        <f t="shared" si="15"/>
        <v>14</v>
      </c>
      <c r="N19" s="112" t="s">
        <v>22</v>
      </c>
      <c r="O19" s="132">
        <v>0</v>
      </c>
      <c r="P19" s="6" t="str">
        <f t="shared" si="4"/>
        <v>RO_Data[5].SETPOINT[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RO_Data[5].COND1[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RO_Data[5].COND2[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RO_Data[5].ACT1[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12" t="s">
        <v>22</v>
      </c>
      <c r="IB19" s="10"/>
      <c r="IC19" s="6" t="str">
        <f t="shared" si="12"/>
        <v>RO_Data[5].STEP_DESC[</v>
      </c>
      <c r="ID19" s="23">
        <f t="shared" si="23"/>
        <v>14</v>
      </c>
      <c r="IE19" s="112" t="s">
        <v>22</v>
      </c>
    </row>
    <row r="20" spans="1:239" x14ac:dyDescent="0.25">
      <c r="A20" s="8">
        <v>15</v>
      </c>
      <c r="B20" s="8" t="str">
        <f t="shared" si="0"/>
        <v/>
      </c>
      <c r="C20" s="47"/>
      <c r="D20" s="6" t="str">
        <f t="shared" si="1"/>
        <v>RO_Data[5].ACK_DESC[</v>
      </c>
      <c r="E20" s="23">
        <f t="shared" si="13"/>
        <v>15</v>
      </c>
      <c r="F20" s="112" t="s">
        <v>22</v>
      </c>
      <c r="G20" s="129">
        <v>0</v>
      </c>
      <c r="H20" s="6" t="str">
        <f t="shared" si="2"/>
        <v>RO_Data[5].MIN[</v>
      </c>
      <c r="I20" s="23">
        <f t="shared" si="14"/>
        <v>15</v>
      </c>
      <c r="J20" s="112" t="s">
        <v>22</v>
      </c>
      <c r="K20" s="129">
        <v>0</v>
      </c>
      <c r="L20" s="6" t="str">
        <f t="shared" si="3"/>
        <v>RO_Data[5].SEC[</v>
      </c>
      <c r="M20" s="23">
        <f t="shared" si="15"/>
        <v>15</v>
      </c>
      <c r="N20" s="112" t="s">
        <v>22</v>
      </c>
      <c r="O20" s="132">
        <v>0</v>
      </c>
      <c r="P20" s="6" t="str">
        <f t="shared" si="4"/>
        <v>RO_Data[5].SETPOINT[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RO_Data[5].COND1[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12" t="s">
        <v>22</v>
      </c>
      <c r="IB20" s="10"/>
      <c r="IC20" s="6" t="str">
        <f t="shared" si="12"/>
        <v>RO_Data[5].STEP_DESC[</v>
      </c>
      <c r="ID20" s="23">
        <f t="shared" si="23"/>
        <v>15</v>
      </c>
      <c r="IE20" s="112" t="s">
        <v>22</v>
      </c>
    </row>
    <row r="21" spans="1:239" x14ac:dyDescent="0.25">
      <c r="A21" s="8">
        <v>16</v>
      </c>
      <c r="B21" s="8" t="str">
        <f t="shared" si="0"/>
        <v/>
      </c>
      <c r="C21" s="47"/>
      <c r="D21" s="6" t="str">
        <f t="shared" si="1"/>
        <v>RO_Data[5].ACK_DESC[</v>
      </c>
      <c r="E21" s="23">
        <f t="shared" si="13"/>
        <v>16</v>
      </c>
      <c r="F21" s="112" t="s">
        <v>22</v>
      </c>
      <c r="G21" s="129">
        <v>0</v>
      </c>
      <c r="H21" s="6" t="str">
        <f t="shared" si="2"/>
        <v>RO_Data[5].MIN[</v>
      </c>
      <c r="I21" s="23">
        <f t="shared" si="14"/>
        <v>16</v>
      </c>
      <c r="J21" s="112" t="s">
        <v>22</v>
      </c>
      <c r="K21" s="129">
        <v>0</v>
      </c>
      <c r="L21" s="6" t="str">
        <f t="shared" si="3"/>
        <v>RO_Data[5].SEC[</v>
      </c>
      <c r="M21" s="23">
        <f t="shared" si="15"/>
        <v>16</v>
      </c>
      <c r="N21" s="112" t="s">
        <v>22</v>
      </c>
      <c r="O21" s="132">
        <v>0</v>
      </c>
      <c r="P21" s="6" t="str">
        <f t="shared" si="4"/>
        <v>RO_Data[5].SETPOINT[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12" t="s">
        <v>22</v>
      </c>
      <c r="IB21" s="10"/>
      <c r="IC21" s="6" t="str">
        <f t="shared" si="12"/>
        <v>RO_Data[5].STEP_DESC[</v>
      </c>
      <c r="ID21" s="23">
        <f t="shared" si="23"/>
        <v>16</v>
      </c>
      <c r="IE21" s="112" t="s">
        <v>22</v>
      </c>
    </row>
    <row r="22" spans="1:239" x14ac:dyDescent="0.25">
      <c r="A22" s="8">
        <v>17</v>
      </c>
      <c r="B22" s="8" t="str">
        <f t="shared" si="0"/>
        <v/>
      </c>
      <c r="C22" s="47"/>
      <c r="D22" s="6" t="str">
        <f t="shared" si="1"/>
        <v>RO_Data[5].ACK_DESC[</v>
      </c>
      <c r="E22" s="23">
        <f t="shared" si="13"/>
        <v>17</v>
      </c>
      <c r="F22" s="112" t="s">
        <v>22</v>
      </c>
      <c r="G22" s="129">
        <v>0</v>
      </c>
      <c r="H22" s="6" t="str">
        <f t="shared" si="2"/>
        <v>RO_Data[5].MIN[</v>
      </c>
      <c r="I22" s="23">
        <f t="shared" si="14"/>
        <v>17</v>
      </c>
      <c r="J22" s="112" t="s">
        <v>22</v>
      </c>
      <c r="K22" s="129">
        <v>0</v>
      </c>
      <c r="L22" s="6" t="str">
        <f t="shared" si="3"/>
        <v>RO_Data[5].SEC[</v>
      </c>
      <c r="M22" s="23">
        <f t="shared" si="15"/>
        <v>17</v>
      </c>
      <c r="N22" s="112" t="s">
        <v>22</v>
      </c>
      <c r="O22" s="132">
        <v>0</v>
      </c>
      <c r="P22" s="6" t="str">
        <f t="shared" si="4"/>
        <v>RO_Data[5].SETPOINT[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12" t="s">
        <v>22</v>
      </c>
      <c r="IB22" s="10"/>
      <c r="IC22" s="6" t="str">
        <f t="shared" si="12"/>
        <v>RO_Data[5].STEP_DESC[</v>
      </c>
      <c r="ID22" s="23">
        <f t="shared" si="23"/>
        <v>17</v>
      </c>
      <c r="IE22" s="112" t="s">
        <v>22</v>
      </c>
    </row>
    <row r="23" spans="1:239" x14ac:dyDescent="0.25">
      <c r="A23" s="8">
        <v>18</v>
      </c>
      <c r="B23" s="8" t="str">
        <f t="shared" si="0"/>
        <v/>
      </c>
      <c r="C23" s="47"/>
      <c r="D23" s="6" t="str">
        <f t="shared" si="1"/>
        <v>RO_Data[5].ACK_DESC[</v>
      </c>
      <c r="E23" s="23">
        <f t="shared" si="13"/>
        <v>18</v>
      </c>
      <c r="F23" s="112" t="s">
        <v>22</v>
      </c>
      <c r="G23" s="129">
        <v>0</v>
      </c>
      <c r="H23" s="6" t="str">
        <f t="shared" si="2"/>
        <v>RO_Data[5].MIN[</v>
      </c>
      <c r="I23" s="23">
        <f t="shared" si="14"/>
        <v>18</v>
      </c>
      <c r="J23" s="112" t="s">
        <v>22</v>
      </c>
      <c r="K23" s="129">
        <v>0</v>
      </c>
      <c r="L23" s="6" t="str">
        <f t="shared" si="3"/>
        <v>RO_Data[5].SEC[</v>
      </c>
      <c r="M23" s="23">
        <f t="shared" si="15"/>
        <v>18</v>
      </c>
      <c r="N23" s="112" t="s">
        <v>22</v>
      </c>
      <c r="O23" s="132">
        <v>0</v>
      </c>
      <c r="P23" s="6" t="str">
        <f t="shared" si="4"/>
        <v>RO_Data[5].SETPOINT[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12" t="s">
        <v>22</v>
      </c>
      <c r="IB23" s="10"/>
      <c r="IC23" s="6" t="str">
        <f t="shared" si="12"/>
        <v>RO_Data[5].STEP_DESC[</v>
      </c>
      <c r="ID23" s="23">
        <f t="shared" si="23"/>
        <v>18</v>
      </c>
      <c r="IE23" s="112" t="s">
        <v>22</v>
      </c>
    </row>
    <row r="24" spans="1:239" ht="15.75" thickBot="1" x14ac:dyDescent="0.3">
      <c r="A24" s="42">
        <v>19</v>
      </c>
      <c r="B24" s="42" t="str">
        <f t="shared" si="0"/>
        <v/>
      </c>
      <c r="C24" s="54"/>
      <c r="D24" s="40" t="str">
        <f t="shared" si="1"/>
        <v>RO_Data[5].ACK_DESC[</v>
      </c>
      <c r="E24" s="41">
        <f t="shared" si="13"/>
        <v>19</v>
      </c>
      <c r="F24" s="44" t="s">
        <v>22</v>
      </c>
      <c r="G24" s="131">
        <v>0</v>
      </c>
      <c r="H24" s="40" t="str">
        <f t="shared" si="2"/>
        <v>RO_Data[5].MIN[</v>
      </c>
      <c r="I24" s="41">
        <f t="shared" si="14"/>
        <v>19</v>
      </c>
      <c r="J24" s="44" t="s">
        <v>22</v>
      </c>
      <c r="K24" s="131">
        <v>0</v>
      </c>
      <c r="L24" s="40" t="str">
        <f t="shared" si="3"/>
        <v>RO_Data[5].SEC[</v>
      </c>
      <c r="M24" s="41">
        <f t="shared" si="15"/>
        <v>19</v>
      </c>
      <c r="N24" s="44" t="s">
        <v>22</v>
      </c>
      <c r="O24" s="134">
        <v>0</v>
      </c>
      <c r="P24" s="40" t="str">
        <f t="shared" si="4"/>
        <v>RO_Data[5].SETPOINT[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RO_Data[5].COND1[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RO_Data[5].COND2[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RO_Data[5].COND3[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RO_Data[5].ACT1[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RO_Data[5].ACT5[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RO_Data[5].ACT6[</v>
      </c>
      <c r="HZ24" s="41">
        <f t="shared" si="22"/>
        <v>19</v>
      </c>
      <c r="IA24" s="44" t="s">
        <v>22</v>
      </c>
      <c r="IB24" s="43"/>
      <c r="IC24" s="40" t="str">
        <f t="shared" si="12"/>
        <v>RO_Data[5].STEP_DESC[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D4" activePane="bottomRight" state="frozen"/>
      <selection activeCell="ED4" sqref="ED4"/>
      <selection pane="topRight" activeCell="ED4" sqref="ED4"/>
      <selection pane="bottomLeft" activeCell="ED4" sqref="ED4"/>
      <selection pane="bottomRight" activeCell="AF22" sqref="AF22"/>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7.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396</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15</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396</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396</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396</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396</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24" si="0">IF($IB5&lt;&gt;"", $IB5, "")</f>
        <v>HOME</v>
      </c>
      <c r="C5" s="47"/>
      <c r="D5" s="22" t="s">
        <v>377</v>
      </c>
      <c r="E5" s="23">
        <v>0</v>
      </c>
      <c r="F5" s="112" t="s">
        <v>22</v>
      </c>
      <c r="G5" s="129">
        <v>0</v>
      </c>
      <c r="H5" s="22" t="s">
        <v>378</v>
      </c>
      <c r="I5" s="23">
        <v>0</v>
      </c>
      <c r="J5" s="112" t="s">
        <v>22</v>
      </c>
      <c r="K5" s="129">
        <v>0</v>
      </c>
      <c r="L5" s="22" t="s">
        <v>379</v>
      </c>
      <c r="M5" s="23">
        <v>0</v>
      </c>
      <c r="N5" s="112" t="s">
        <v>22</v>
      </c>
      <c r="O5" s="132">
        <v>0</v>
      </c>
      <c r="P5" s="22" t="s">
        <v>380</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381</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382</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383</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384</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385</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386</v>
      </c>
      <c r="HZ5" s="23">
        <v>0</v>
      </c>
      <c r="IA5" s="112" t="s">
        <v>22</v>
      </c>
      <c r="IB5" s="10" t="s">
        <v>206</v>
      </c>
      <c r="IC5" s="22" t="s">
        <v>387</v>
      </c>
      <c r="ID5" s="23">
        <v>0</v>
      </c>
      <c r="IE5" s="112" t="s">
        <v>22</v>
      </c>
    </row>
    <row r="6" spans="1:239" x14ac:dyDescent="0.2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209</v>
      </c>
      <c r="IC6" s="6" t="str">
        <f t="shared" ref="IC6:IC24" si="12">IC$5</f>
        <v>RO_Data[6].STEP_DESC[</v>
      </c>
      <c r="ID6" s="23">
        <f>ID5+1</f>
        <v>1</v>
      </c>
      <c r="IE6" s="112" t="s">
        <v>22</v>
      </c>
    </row>
    <row r="7" spans="1:239" x14ac:dyDescent="0.2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RO_Data[6].COND1[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210</v>
      </c>
      <c r="IC7" s="6" t="str">
        <f t="shared" si="12"/>
        <v>RO_Data[6].STEP_DESC[</v>
      </c>
      <c r="ID7" s="23">
        <f t="shared" ref="ID7:ID24" si="23">ID6+1</f>
        <v>2</v>
      </c>
      <c r="IE7" s="112" t="s">
        <v>22</v>
      </c>
    </row>
    <row r="8" spans="1:239" x14ac:dyDescent="0.25">
      <c r="A8" s="8">
        <v>3</v>
      </c>
      <c r="B8" s="8" t="str">
        <f t="shared" si="0"/>
        <v>ADDING CHEMICALS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RO_Data[6].COND1[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RO_Data[6].COND3[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212</v>
      </c>
      <c r="IC8" s="6" t="str">
        <f t="shared" si="12"/>
        <v>RO_Data[6].STEP_DESC[</v>
      </c>
      <c r="ID8" s="23">
        <f t="shared" si="23"/>
        <v>3</v>
      </c>
      <c r="IE8" s="112" t="s">
        <v>22</v>
      </c>
    </row>
    <row r="9" spans="1:239" x14ac:dyDescent="0.25">
      <c r="A9" s="8">
        <v>4</v>
      </c>
      <c r="B9" s="8" t="str">
        <f t="shared" si="0"/>
        <v>CHECK PH - HOLD FOR ACKNOWLEDGE</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RO_Data[6].COND1[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RO_Data[6].COND3[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RO_Data[6].ACT6[</v>
      </c>
      <c r="HZ9" s="23">
        <f t="shared" si="22"/>
        <v>4</v>
      </c>
      <c r="IA9" s="112" t="s">
        <v>22</v>
      </c>
      <c r="IB9" s="10" t="s">
        <v>329</v>
      </c>
      <c r="IC9" s="6" t="str">
        <f t="shared" si="12"/>
        <v>RO_Data[6].STEP_DESC[</v>
      </c>
      <c r="ID9" s="23">
        <f t="shared" si="23"/>
        <v>4</v>
      </c>
      <c r="IE9" s="112" t="s">
        <v>22</v>
      </c>
    </row>
    <row r="10" spans="1:239" x14ac:dyDescent="0.25">
      <c r="A10" s="8">
        <v>5</v>
      </c>
      <c r="B10" s="8" t="str">
        <f t="shared" si="0"/>
        <v>SANITIZE</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RO_Data[6].ACT6[</v>
      </c>
      <c r="HZ10" s="23">
        <f t="shared" si="22"/>
        <v>5</v>
      </c>
      <c r="IA10" s="112" t="s">
        <v>22</v>
      </c>
      <c r="IB10" s="10" t="s">
        <v>111</v>
      </c>
      <c r="IC10" s="6" t="str">
        <f t="shared" si="12"/>
        <v>RO_Data[6].STEP_DESC[</v>
      </c>
      <c r="ID10" s="23">
        <f t="shared" si="23"/>
        <v>5</v>
      </c>
      <c r="IE10" s="112" t="s">
        <v>22</v>
      </c>
    </row>
    <row r="11" spans="1:239" x14ac:dyDescent="0.25">
      <c r="A11" s="8">
        <v>6</v>
      </c>
      <c r="B11" s="8" t="str">
        <f t="shared" si="0"/>
        <v>PUMPING DOWN FEED TANK</v>
      </c>
      <c r="C11" s="47"/>
      <c r="D11" s="6" t="str">
        <f t="shared" si="1"/>
        <v>RO_Data[6].ACK_DESC[</v>
      </c>
      <c r="E11" s="23">
        <f t="shared" si="13"/>
        <v>6</v>
      </c>
      <c r="F11" s="112" t="s">
        <v>22</v>
      </c>
      <c r="G11" s="129">
        <v>0</v>
      </c>
      <c r="H11" s="6" t="str">
        <f t="shared" si="2"/>
        <v>RO_Data[6].MIN[</v>
      </c>
      <c r="I11" s="23">
        <f t="shared" si="14"/>
        <v>6</v>
      </c>
      <c r="J11" s="112" t="s">
        <v>22</v>
      </c>
      <c r="K11" s="129">
        <v>1</v>
      </c>
      <c r="L11" s="6" t="str">
        <f t="shared" si="3"/>
        <v>RO_Data[6].SEC[</v>
      </c>
      <c r="M11" s="23">
        <f t="shared" si="15"/>
        <v>6</v>
      </c>
      <c r="N11" s="112" t="s">
        <v>22</v>
      </c>
      <c r="O11" s="132">
        <v>0</v>
      </c>
      <c r="P11" s="6" t="str">
        <f t="shared" si="4"/>
        <v>RO_Data[6].SETPOINT[</v>
      </c>
      <c r="Q11" s="23">
        <f t="shared" si="16"/>
        <v>6</v>
      </c>
      <c r="R11" s="112" t="s">
        <v>22</v>
      </c>
      <c r="S11" s="9" t="str">
        <f t="shared" si="5"/>
        <v>P</v>
      </c>
      <c r="T11" s="18"/>
      <c r="U11" s="19"/>
      <c r="V11" s="19"/>
      <c r="W11" s="19"/>
      <c r="X11" s="19"/>
      <c r="Y11" s="19"/>
      <c r="Z11" s="19"/>
      <c r="AA11" s="19"/>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RO_Data[6].COND1[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RO_Data[6].COND3[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RO_Data[6].ACT5[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RO_Data[6].ACT6[</v>
      </c>
      <c r="HZ11" s="23">
        <f t="shared" si="22"/>
        <v>6</v>
      </c>
      <c r="IA11" s="112" t="s">
        <v>22</v>
      </c>
      <c r="IB11" s="10" t="s">
        <v>213</v>
      </c>
      <c r="IC11" s="6" t="str">
        <f t="shared" si="12"/>
        <v>RO_Data[6].STEP_DESC[</v>
      </c>
      <c r="ID11" s="23">
        <f t="shared" si="23"/>
        <v>6</v>
      </c>
      <c r="IE11" s="112" t="s">
        <v>22</v>
      </c>
    </row>
    <row r="12" spans="1:239" x14ac:dyDescent="0.25">
      <c r="A12" s="8">
        <v>7</v>
      </c>
      <c r="B12" s="8" t="str">
        <f t="shared" si="0"/>
        <v>DRAINING BALANCE TANKS</v>
      </c>
      <c r="C12" s="47"/>
      <c r="D12" s="6" t="str">
        <f t="shared" si="1"/>
        <v>RO_Data[6].ACK_DESC[</v>
      </c>
      <c r="E12" s="23">
        <f t="shared" si="13"/>
        <v>7</v>
      </c>
      <c r="F12" s="112" t="s">
        <v>22</v>
      </c>
      <c r="G12" s="129">
        <v>0</v>
      </c>
      <c r="H12" s="6" t="str">
        <f t="shared" si="2"/>
        <v>RO_Data[6].MIN[</v>
      </c>
      <c r="I12" s="23">
        <f t="shared" si="14"/>
        <v>7</v>
      </c>
      <c r="J12" s="112" t="s">
        <v>22</v>
      </c>
      <c r="K12" s="129">
        <v>1</v>
      </c>
      <c r="L12" s="6" t="str">
        <f t="shared" si="3"/>
        <v>RO_Data[6].SEC[</v>
      </c>
      <c r="M12" s="23">
        <f t="shared" si="15"/>
        <v>7</v>
      </c>
      <c r="N12" s="112" t="s">
        <v>22</v>
      </c>
      <c r="O12" s="132">
        <v>0</v>
      </c>
      <c r="P12" s="6" t="str">
        <f t="shared" si="4"/>
        <v>RO_Data[6].SETPOINT[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RO_Data[6].COND1[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t="s">
        <v>221</v>
      </c>
      <c r="IC12" s="6" t="str">
        <f t="shared" si="12"/>
        <v>RO_Data[6].STEP_DESC[</v>
      </c>
      <c r="ID12" s="23">
        <f t="shared" si="23"/>
        <v>7</v>
      </c>
      <c r="IE12" s="112" t="s">
        <v>22</v>
      </c>
    </row>
    <row r="13" spans="1:239" x14ac:dyDescent="0.25">
      <c r="A13" s="8">
        <v>8</v>
      </c>
      <c r="B13" s="8" t="str">
        <f t="shared" si="0"/>
        <v>FILLING FEED TANK TO SET POINT LEVEL</v>
      </c>
      <c r="C13" s="47"/>
      <c r="D13" s="6" t="str">
        <f t="shared" si="1"/>
        <v>RO_Data[6].ACK_DESC[</v>
      </c>
      <c r="E13" s="23">
        <f t="shared" si="13"/>
        <v>8</v>
      </c>
      <c r="F13" s="112" t="s">
        <v>22</v>
      </c>
      <c r="G13" s="129">
        <v>0</v>
      </c>
      <c r="H13" s="6" t="str">
        <f t="shared" si="2"/>
        <v>RO_Data[6].MIN[</v>
      </c>
      <c r="I13" s="23">
        <f t="shared" si="14"/>
        <v>8</v>
      </c>
      <c r="J13" s="112" t="s">
        <v>22</v>
      </c>
      <c r="K13" s="129">
        <v>1</v>
      </c>
      <c r="L13" s="6" t="str">
        <f t="shared" si="3"/>
        <v>RO_Data[6].SEC[</v>
      </c>
      <c r="M13" s="23">
        <f t="shared" si="15"/>
        <v>8</v>
      </c>
      <c r="N13" s="112" t="s">
        <v>22</v>
      </c>
      <c r="O13" s="132">
        <v>0</v>
      </c>
      <c r="P13" s="6" t="str">
        <f t="shared" si="4"/>
        <v>RO_Data[6].SETPOINT[</v>
      </c>
      <c r="Q13" s="23">
        <f t="shared" si="16"/>
        <v>8</v>
      </c>
      <c r="R13" s="112" t="s">
        <v>22</v>
      </c>
      <c r="S13" s="9" t="str">
        <f t="shared" si="5"/>
        <v>P</v>
      </c>
      <c r="T13" s="18"/>
      <c r="U13" s="19"/>
      <c r="V13" s="19"/>
      <c r="W13" s="19">
        <v>1</v>
      </c>
      <c r="X13" s="19"/>
      <c r="Y13" s="19"/>
      <c r="Z13" s="19"/>
      <c r="AA13" s="19"/>
      <c r="AB13" s="19"/>
      <c r="AC13" s="19"/>
      <c r="AD13" s="19"/>
      <c r="AE13" s="19"/>
      <c r="AF13" s="19"/>
      <c r="AG13" s="19"/>
      <c r="AH13" s="19"/>
      <c r="AI13" s="19">
        <v>1</v>
      </c>
      <c r="AJ13" s="19"/>
      <c r="AK13" s="19"/>
      <c r="AL13" s="19"/>
      <c r="AM13" s="19"/>
      <c r="AN13" s="19"/>
      <c r="AO13" s="19"/>
      <c r="AP13" s="19">
        <v>1</v>
      </c>
      <c r="AQ13" s="19"/>
      <c r="AR13" s="19"/>
      <c r="AS13" s="19"/>
      <c r="AT13" s="19"/>
      <c r="AU13" s="19"/>
      <c r="AV13" s="19"/>
      <c r="AW13" s="19"/>
      <c r="AX13" s="19"/>
      <c r="AY13" s="20"/>
      <c r="AZ13" s="8">
        <f t="array" ref="AZ13">Bin2DecRange($T13:$AY13)</f>
        <v>268501504</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t="s">
        <v>209</v>
      </c>
      <c r="IC13" s="6" t="str">
        <f t="shared" si="12"/>
        <v>RO_Data[6].STEP_DESC[</v>
      </c>
      <c r="ID13" s="23">
        <f t="shared" si="23"/>
        <v>8</v>
      </c>
      <c r="IE13" s="112" t="s">
        <v>22</v>
      </c>
    </row>
    <row r="14" spans="1:239" x14ac:dyDescent="0.25">
      <c r="A14" s="8">
        <v>9</v>
      </c>
      <c r="B14" s="8" t="str">
        <f t="shared" si="0"/>
        <v>STARTING PUMPS</v>
      </c>
      <c r="C14" s="47"/>
      <c r="D14" s="6" t="str">
        <f t="shared" si="1"/>
        <v>RO_Data[6].ACK_DESC[</v>
      </c>
      <c r="E14" s="23">
        <f t="shared" si="13"/>
        <v>9</v>
      </c>
      <c r="F14" s="112" t="s">
        <v>22</v>
      </c>
      <c r="G14" s="129">
        <v>0</v>
      </c>
      <c r="H14" s="6" t="str">
        <f t="shared" si="2"/>
        <v>RO_Data[6].MIN[</v>
      </c>
      <c r="I14" s="23">
        <f t="shared" si="14"/>
        <v>9</v>
      </c>
      <c r="J14" s="112" t="s">
        <v>22</v>
      </c>
      <c r="K14" s="129">
        <v>30</v>
      </c>
      <c r="L14" s="6" t="str">
        <f t="shared" si="3"/>
        <v>RO_Data[6].SEC[</v>
      </c>
      <c r="M14" s="23">
        <f t="shared" si="15"/>
        <v>9</v>
      </c>
      <c r="N14" s="112" t="s">
        <v>22</v>
      </c>
      <c r="O14" s="132">
        <v>0</v>
      </c>
      <c r="P14" s="6" t="str">
        <f t="shared" si="4"/>
        <v>RO_Data[6].SETPOINT[</v>
      </c>
      <c r="Q14" s="23">
        <f t="shared" si="16"/>
        <v>9</v>
      </c>
      <c r="R14" s="112" t="s">
        <v>22</v>
      </c>
      <c r="S14" s="9" t="str">
        <f t="shared" si="5"/>
        <v>P</v>
      </c>
      <c r="T14" s="18"/>
      <c r="U14" s="19"/>
      <c r="V14" s="19"/>
      <c r="W14" s="19">
        <v>1</v>
      </c>
      <c r="X14" s="19"/>
      <c r="Y14" s="19"/>
      <c r="Z14" s="19"/>
      <c r="AA14" s="19">
        <v>1</v>
      </c>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285213184</v>
      </c>
      <c r="BA14" s="6" t="str">
        <f t="shared" si="6"/>
        <v>RO_Data[6].COND1[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t="s">
        <v>210</v>
      </c>
      <c r="IC14" s="6" t="str">
        <f t="shared" si="12"/>
        <v>RO_Data[6].STEP_DESC[</v>
      </c>
      <c r="ID14" s="23">
        <f t="shared" si="23"/>
        <v>9</v>
      </c>
      <c r="IE14" s="112" t="s">
        <v>22</v>
      </c>
    </row>
    <row r="15" spans="1:239" x14ac:dyDescent="0.25">
      <c r="A15" s="8">
        <v>10</v>
      </c>
      <c r="B15" s="8" t="str">
        <f t="shared" si="0"/>
        <v>RINSING STAGES</v>
      </c>
      <c r="C15" s="47"/>
      <c r="D15" s="6" t="str">
        <f t="shared" si="1"/>
        <v>RO_Data[6].ACK_DESC[</v>
      </c>
      <c r="E15" s="23">
        <f t="shared" si="13"/>
        <v>10</v>
      </c>
      <c r="F15" s="112" t="s">
        <v>22</v>
      </c>
      <c r="G15" s="129">
        <v>0</v>
      </c>
      <c r="H15" s="6" t="str">
        <f t="shared" si="2"/>
        <v>RO_Data[6].MIN[</v>
      </c>
      <c r="I15" s="23">
        <f t="shared" si="14"/>
        <v>10</v>
      </c>
      <c r="J15" s="112" t="s">
        <v>22</v>
      </c>
      <c r="K15" s="129">
        <v>1</v>
      </c>
      <c r="L15" s="6" t="str">
        <f t="shared" si="3"/>
        <v>RO_Data[6].SEC[</v>
      </c>
      <c r="M15" s="23">
        <f t="shared" si="15"/>
        <v>10</v>
      </c>
      <c r="N15" s="112" t="s">
        <v>22</v>
      </c>
      <c r="O15" s="132">
        <v>0</v>
      </c>
      <c r="P15" s="6" t="str">
        <f t="shared" si="4"/>
        <v>RO_Data[6].SETPOINT[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c r="AJ15" s="19"/>
      <c r="AK15" s="19"/>
      <c r="AL15" s="19"/>
      <c r="AM15" s="19">
        <v>1</v>
      </c>
      <c r="AN15" s="19"/>
      <c r="AO15" s="19"/>
      <c r="AP15" s="19">
        <v>1</v>
      </c>
      <c r="AQ15" s="19"/>
      <c r="AR15" s="19"/>
      <c r="AS15" s="19"/>
      <c r="AT15" s="19"/>
      <c r="AU15" s="19"/>
      <c r="AV15" s="19"/>
      <c r="AW15" s="19"/>
      <c r="AX15" s="19"/>
      <c r="AY15" s="20"/>
      <c r="AZ15" s="8">
        <f t="array" ref="AZ15">Bin2DecRange($T15:$AY15)</f>
        <v>268440064</v>
      </c>
      <c r="BA15" s="6" t="str">
        <f t="shared" si="6"/>
        <v>RO_Data[6].COND1[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RO_Data[6].COND3[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t="s">
        <v>211</v>
      </c>
      <c r="IC15" s="6" t="str">
        <f t="shared" si="12"/>
        <v>RO_Data[6].STEP_DESC[</v>
      </c>
      <c r="ID15" s="23">
        <f t="shared" si="23"/>
        <v>10</v>
      </c>
      <c r="IE15" s="112" t="s">
        <v>22</v>
      </c>
    </row>
    <row r="16" spans="1:239" x14ac:dyDescent="0.25">
      <c r="A16" s="8">
        <v>11</v>
      </c>
      <c r="B16" s="8" t="str">
        <f t="shared" si="0"/>
        <v>PUMPING DOWN FEED TANK</v>
      </c>
      <c r="C16" s="47"/>
      <c r="D16" s="6" t="str">
        <f t="shared" si="1"/>
        <v>RO_Data[6].ACK_DESC[</v>
      </c>
      <c r="E16" s="23">
        <f t="shared" si="13"/>
        <v>11</v>
      </c>
      <c r="F16" s="112" t="s">
        <v>22</v>
      </c>
      <c r="G16" s="129">
        <v>0</v>
      </c>
      <c r="H16" s="6" t="str">
        <f t="shared" si="2"/>
        <v>RO_Data[6].MIN[</v>
      </c>
      <c r="I16" s="23">
        <f t="shared" si="14"/>
        <v>11</v>
      </c>
      <c r="J16" s="112" t="s">
        <v>22</v>
      </c>
      <c r="K16" s="129">
        <v>1</v>
      </c>
      <c r="L16" s="6" t="str">
        <f t="shared" si="3"/>
        <v>RO_Data[6].SEC[</v>
      </c>
      <c r="M16" s="23">
        <f t="shared" si="15"/>
        <v>11</v>
      </c>
      <c r="N16" s="112" t="s">
        <v>22</v>
      </c>
      <c r="O16" s="132">
        <v>0</v>
      </c>
      <c r="P16" s="6" t="str">
        <f t="shared" si="4"/>
        <v>RO_Data[6].SETPOINT[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RO_Data[6].COND1[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RO_Data[6].COND3[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t="s">
        <v>213</v>
      </c>
      <c r="IC16" s="6" t="str">
        <f t="shared" si="12"/>
        <v>RO_Data[6].STEP_DESC[</v>
      </c>
      <c r="ID16" s="23">
        <f t="shared" si="23"/>
        <v>11</v>
      </c>
      <c r="IE16" s="112" t="s">
        <v>22</v>
      </c>
    </row>
    <row r="17" spans="1:239" x14ac:dyDescent="0.25">
      <c r="A17" s="8">
        <v>12</v>
      </c>
      <c r="B17" s="8" t="str">
        <f t="shared" si="0"/>
        <v>DRAINING FEED TANK</v>
      </c>
      <c r="C17" s="47"/>
      <c r="D17" s="6" t="str">
        <f t="shared" si="1"/>
        <v>RO_Data[6].ACK_DESC[</v>
      </c>
      <c r="E17" s="23">
        <f t="shared" si="13"/>
        <v>12</v>
      </c>
      <c r="F17" s="112" t="s">
        <v>22</v>
      </c>
      <c r="G17" s="129">
        <v>0</v>
      </c>
      <c r="H17" s="6" t="str">
        <f t="shared" si="2"/>
        <v>RO_Data[6].MIN[</v>
      </c>
      <c r="I17" s="23">
        <f t="shared" si="14"/>
        <v>12</v>
      </c>
      <c r="J17" s="112" t="s">
        <v>22</v>
      </c>
      <c r="K17" s="129">
        <v>1</v>
      </c>
      <c r="L17" s="6" t="str">
        <f t="shared" si="3"/>
        <v>RO_Data[6].SEC[</v>
      </c>
      <c r="M17" s="23">
        <f t="shared" si="15"/>
        <v>12</v>
      </c>
      <c r="N17" s="112" t="s">
        <v>22</v>
      </c>
      <c r="O17" s="132">
        <v>0</v>
      </c>
      <c r="P17" s="6" t="str">
        <f t="shared" si="4"/>
        <v>RO_Data[6].SETPOINT[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RO_Data[6].COND1[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t="s">
        <v>214</v>
      </c>
      <c r="IC17" s="6" t="str">
        <f t="shared" si="12"/>
        <v>RO_Data[6].STEP_DESC[</v>
      </c>
      <c r="ID17" s="23">
        <f t="shared" si="23"/>
        <v>12</v>
      </c>
      <c r="IE17" s="112" t="s">
        <v>22</v>
      </c>
    </row>
    <row r="18" spans="1:239" x14ac:dyDescent="0.25">
      <c r="A18" s="8">
        <v>13</v>
      </c>
      <c r="B18" s="8" t="str">
        <f t="shared" si="0"/>
        <v>CYCLE COMPLETE</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t="s">
        <v>208</v>
      </c>
      <c r="IC18" s="6" t="str">
        <f t="shared" si="12"/>
        <v>RO_Data[6].STEP_DESC[</v>
      </c>
      <c r="ID18" s="23">
        <f t="shared" si="23"/>
        <v>13</v>
      </c>
      <c r="IE18" s="112" t="s">
        <v>22</v>
      </c>
    </row>
    <row r="19" spans="1:239" x14ac:dyDescent="0.2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2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2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2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2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5.75" thickBot="1" x14ac:dyDescent="0.3">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ColWidth="9.140625" defaultRowHeight="12.75" x14ac:dyDescent="0.2"/>
  <cols>
    <col min="1" max="2" width="9.140625" style="61"/>
    <col min="3" max="3" width="14.140625" style="61" bestFit="1" customWidth="1"/>
    <col min="4" max="16384" width="9.140625" style="61"/>
  </cols>
  <sheetData>
    <row r="2" spans="2:2" ht="15" x14ac:dyDescent="0.2">
      <c r="B2" s="60" t="s">
        <v>222</v>
      </c>
    </row>
    <row r="3" spans="2:2" ht="15" x14ac:dyDescent="0.2">
      <c r="B3" s="60"/>
    </row>
    <row r="4" spans="2:2" ht="14.25" x14ac:dyDescent="0.2">
      <c r="B4" s="62" t="s">
        <v>223</v>
      </c>
    </row>
    <row r="5" spans="2:2" ht="15" x14ac:dyDescent="0.2">
      <c r="B5" s="63" t="s">
        <v>224</v>
      </c>
    </row>
    <row r="6" spans="2:2" ht="15" x14ac:dyDescent="0.2">
      <c r="B6" s="63" t="s">
        <v>225</v>
      </c>
    </row>
    <row r="7" spans="2:2" ht="15" x14ac:dyDescent="0.2">
      <c r="B7" s="63" t="s">
        <v>226</v>
      </c>
    </row>
    <row r="8" spans="2:2" ht="15" x14ac:dyDescent="0.2">
      <c r="B8" s="63" t="s">
        <v>227</v>
      </c>
    </row>
    <row r="9" spans="2:2" ht="15" x14ac:dyDescent="0.2">
      <c r="B9" s="63" t="s">
        <v>228</v>
      </c>
    </row>
    <row r="10" spans="2:2" ht="15" x14ac:dyDescent="0.2">
      <c r="B10" s="63" t="s">
        <v>229</v>
      </c>
    </row>
    <row r="11" spans="2:2" ht="15" x14ac:dyDescent="0.2">
      <c r="B11" s="63" t="s">
        <v>230</v>
      </c>
    </row>
    <row r="12" spans="2:2" ht="15" x14ac:dyDescent="0.2">
      <c r="B12" s="63" t="s">
        <v>231</v>
      </c>
    </row>
    <row r="13" spans="2:2" ht="15" x14ac:dyDescent="0.2">
      <c r="B13" s="63" t="s">
        <v>232</v>
      </c>
    </row>
    <row r="14" spans="2:2" ht="15" x14ac:dyDescent="0.2">
      <c r="B14" s="63" t="s">
        <v>233</v>
      </c>
    </row>
    <row r="15" spans="2:2" ht="15" x14ac:dyDescent="0.2">
      <c r="B15" s="63" t="s">
        <v>234</v>
      </c>
    </row>
    <row r="16" spans="2:2" ht="15" x14ac:dyDescent="0.2">
      <c r="B16" s="63" t="s">
        <v>235</v>
      </c>
    </row>
    <row r="17" spans="2:3" ht="15" x14ac:dyDescent="0.2">
      <c r="B17" s="63" t="s">
        <v>236</v>
      </c>
    </row>
    <row r="18" spans="2:3" ht="15" x14ac:dyDescent="0.2">
      <c r="B18" s="63" t="s">
        <v>237</v>
      </c>
    </row>
    <row r="19" spans="2:3" ht="15" x14ac:dyDescent="0.2">
      <c r="B19" s="63" t="s">
        <v>238</v>
      </c>
      <c r="C19" s="63"/>
    </row>
    <row r="20" spans="2:3" ht="15" x14ac:dyDescent="0.2">
      <c r="B20" s="63" t="s">
        <v>239</v>
      </c>
    </row>
    <row r="21" spans="2:3" ht="15" x14ac:dyDescent="0.2">
      <c r="B21" s="63" t="s">
        <v>240</v>
      </c>
    </row>
    <row r="22" spans="2:3" ht="15" x14ac:dyDescent="0.2">
      <c r="B22" s="63" t="s">
        <v>241</v>
      </c>
    </row>
    <row r="23" spans="2:3" ht="15" x14ac:dyDescent="0.2">
      <c r="B23" s="63" t="s">
        <v>242</v>
      </c>
      <c r="C23" s="64"/>
    </row>
    <row r="24" spans="2:3" ht="15" x14ac:dyDescent="0.2">
      <c r="B24" s="63" t="s">
        <v>243</v>
      </c>
    </row>
    <row r="25" spans="2:3" ht="15" x14ac:dyDescent="0.2">
      <c r="B25" s="63" t="s">
        <v>244</v>
      </c>
    </row>
    <row r="26" spans="2:3" ht="15" x14ac:dyDescent="0.2">
      <c r="B26" s="63" t="s">
        <v>245</v>
      </c>
    </row>
    <row r="27" spans="2:3" ht="15" x14ac:dyDescent="0.2">
      <c r="B27" s="63" t="s">
        <v>246</v>
      </c>
    </row>
    <row r="28" spans="2:3" ht="15" x14ac:dyDescent="0.2">
      <c r="B28" s="63" t="s">
        <v>247</v>
      </c>
    </row>
    <row r="29" spans="2:3" ht="15" x14ac:dyDescent="0.2">
      <c r="B29" s="63" t="s">
        <v>248</v>
      </c>
    </row>
    <row r="30" spans="2:3" ht="15" x14ac:dyDescent="0.2">
      <c r="B30" s="63" t="s">
        <v>249</v>
      </c>
    </row>
    <row r="31" spans="2:3" ht="15" x14ac:dyDescent="0.2">
      <c r="B31" s="63" t="s">
        <v>250</v>
      </c>
    </row>
    <row r="32" spans="2:3" ht="15" x14ac:dyDescent="0.2">
      <c r="B32" s="63" t="s">
        <v>251</v>
      </c>
    </row>
    <row r="33" spans="2:3" ht="15" x14ac:dyDescent="0.2">
      <c r="B33" s="63" t="s">
        <v>252</v>
      </c>
    </row>
    <row r="34" spans="2:3" ht="15" x14ac:dyDescent="0.2">
      <c r="B34" s="63" t="s">
        <v>253</v>
      </c>
    </row>
    <row r="35" spans="2:3" ht="15" x14ac:dyDescent="0.2">
      <c r="B35" s="63" t="s">
        <v>254</v>
      </c>
    </row>
    <row r="36" spans="2:3" ht="15" x14ac:dyDescent="0.2">
      <c r="B36" s="65"/>
    </row>
    <row r="37" spans="2:3" ht="14.25" x14ac:dyDescent="0.2">
      <c r="B37" s="62" t="s">
        <v>255</v>
      </c>
    </row>
    <row r="38" spans="2:3" ht="15" x14ac:dyDescent="0.2">
      <c r="B38" s="63" t="s">
        <v>256</v>
      </c>
      <c r="C38" s="63"/>
    </row>
    <row r="39" spans="2:3" ht="15" x14ac:dyDescent="0.2">
      <c r="B39" s="63" t="s">
        <v>257</v>
      </c>
    </row>
    <row r="40" spans="2:3" ht="15" x14ac:dyDescent="0.2">
      <c r="B40" s="63" t="s">
        <v>258</v>
      </c>
    </row>
    <row r="41" spans="2:3" ht="15" x14ac:dyDescent="0.2">
      <c r="B41" s="63" t="s">
        <v>259</v>
      </c>
      <c r="C41" s="63"/>
    </row>
    <row r="42" spans="2:3" ht="15" x14ac:dyDescent="0.2">
      <c r="B42" s="63" t="s">
        <v>260</v>
      </c>
    </row>
    <row r="43" spans="2:3" ht="15" x14ac:dyDescent="0.2">
      <c r="B43" s="63" t="s">
        <v>261</v>
      </c>
    </row>
    <row r="44" spans="2:3" ht="15" x14ac:dyDescent="0.2">
      <c r="B44" s="63" t="s">
        <v>262</v>
      </c>
    </row>
    <row r="45" spans="2:3" ht="15" x14ac:dyDescent="0.2">
      <c r="B45" s="63" t="s">
        <v>263</v>
      </c>
    </row>
    <row r="46" spans="2:3" ht="15" x14ac:dyDescent="0.2">
      <c r="B46" s="63" t="s">
        <v>264</v>
      </c>
    </row>
    <row r="47" spans="2:3" ht="15" x14ac:dyDescent="0.2">
      <c r="B47" s="63" t="s">
        <v>265</v>
      </c>
    </row>
    <row r="48" spans="2:3" ht="15" x14ac:dyDescent="0.2">
      <c r="B48" s="63" t="s">
        <v>266</v>
      </c>
    </row>
    <row r="49" spans="2:3" ht="17.25" x14ac:dyDescent="0.2">
      <c r="B49" s="63" t="s">
        <v>267</v>
      </c>
    </row>
    <row r="50" spans="2:3" ht="17.25" x14ac:dyDescent="0.2">
      <c r="B50" s="63" t="s">
        <v>268</v>
      </c>
    </row>
    <row r="51" spans="2:3" ht="17.25" x14ac:dyDescent="0.2">
      <c r="B51" s="63" t="s">
        <v>269</v>
      </c>
    </row>
    <row r="52" spans="2:3" ht="15" x14ac:dyDescent="0.2">
      <c r="B52" s="63" t="s">
        <v>270</v>
      </c>
    </row>
    <row r="53" spans="2:3" ht="15" x14ac:dyDescent="0.2">
      <c r="B53" s="63" t="s">
        <v>271</v>
      </c>
      <c r="C53" s="64"/>
    </row>
    <row r="54" spans="2:3" ht="15" x14ac:dyDescent="0.2">
      <c r="B54" s="63" t="s">
        <v>272</v>
      </c>
    </row>
    <row r="55" spans="2:3" ht="15" x14ac:dyDescent="0.2">
      <c r="B55" s="63" t="s">
        <v>273</v>
      </c>
    </row>
    <row r="56" spans="2:3" ht="15" x14ac:dyDescent="0.2">
      <c r="B56" s="63" t="s">
        <v>274</v>
      </c>
    </row>
    <row r="57" spans="2:3" ht="17.25" x14ac:dyDescent="0.2">
      <c r="B57" s="63" t="s">
        <v>275</v>
      </c>
    </row>
    <row r="58" spans="2:3" ht="17.25" x14ac:dyDescent="0.2">
      <c r="B58" s="63" t="s">
        <v>276</v>
      </c>
    </row>
    <row r="59" spans="2:3" ht="17.25" x14ac:dyDescent="0.2">
      <c r="B59" s="63" t="s">
        <v>277</v>
      </c>
    </row>
    <row r="60" spans="2:3" ht="17.25" x14ac:dyDescent="0.2">
      <c r="B60" s="63" t="s">
        <v>278</v>
      </c>
    </row>
    <row r="61" spans="2:3" ht="15" x14ac:dyDescent="0.2">
      <c r="B61" s="63" t="s">
        <v>279</v>
      </c>
      <c r="C61" s="64"/>
    </row>
    <row r="62" spans="2:3" ht="15" x14ac:dyDescent="0.2">
      <c r="B62" s="63" t="s">
        <v>280</v>
      </c>
      <c r="C62" s="64"/>
    </row>
    <row r="63" spans="2:3" ht="15" x14ac:dyDescent="0.2">
      <c r="B63" s="63" t="s">
        <v>281</v>
      </c>
    </row>
    <row r="64" spans="2:3" ht="15" x14ac:dyDescent="0.2">
      <c r="B64" s="63" t="s">
        <v>282</v>
      </c>
    </row>
    <row r="65" spans="2:2" ht="15" x14ac:dyDescent="0.2">
      <c r="B65" s="63" t="s">
        <v>283</v>
      </c>
    </row>
    <row r="66" spans="2:2" ht="15" x14ac:dyDescent="0.2">
      <c r="B66" s="63" t="s">
        <v>284</v>
      </c>
    </row>
    <row r="67" spans="2:2" ht="15" x14ac:dyDescent="0.2">
      <c r="B67" s="63" t="s">
        <v>285</v>
      </c>
    </row>
    <row r="68" spans="2:2" ht="15" x14ac:dyDescent="0.2">
      <c r="B68" s="63" t="s">
        <v>286</v>
      </c>
    </row>
    <row r="69" spans="2:2" ht="15" x14ac:dyDescent="0.2">
      <c r="B69" s="63"/>
    </row>
    <row r="70" spans="2:2" ht="14.25" x14ac:dyDescent="0.2">
      <c r="B70" s="62" t="s">
        <v>287</v>
      </c>
    </row>
    <row r="71" spans="2:2" ht="15" x14ac:dyDescent="0.2">
      <c r="B71" s="63" t="s">
        <v>288</v>
      </c>
    </row>
    <row r="72" spans="2:2" ht="15" x14ac:dyDescent="0.2">
      <c r="B72" s="63" t="s">
        <v>289</v>
      </c>
    </row>
    <row r="73" spans="2:2" ht="15" x14ac:dyDescent="0.2">
      <c r="B73" s="63" t="s">
        <v>290</v>
      </c>
    </row>
    <row r="74" spans="2:2" ht="15" x14ac:dyDescent="0.2">
      <c r="B74" s="63" t="s">
        <v>291</v>
      </c>
    </row>
    <row r="75" spans="2:2" ht="15" x14ac:dyDescent="0.2">
      <c r="B75" s="63" t="s">
        <v>292</v>
      </c>
    </row>
    <row r="76" spans="2:2" ht="15" x14ac:dyDescent="0.2">
      <c r="B76" s="63" t="s">
        <v>293</v>
      </c>
    </row>
    <row r="77" spans="2:2" ht="15" x14ac:dyDescent="0.2">
      <c r="B77" s="63" t="s">
        <v>294</v>
      </c>
    </row>
    <row r="78" spans="2:2" ht="15" x14ac:dyDescent="0.2">
      <c r="B78" s="63" t="s">
        <v>295</v>
      </c>
    </row>
    <row r="79" spans="2:2" ht="15" x14ac:dyDescent="0.2">
      <c r="B79" s="63" t="s">
        <v>296</v>
      </c>
    </row>
    <row r="80" spans="2:2" ht="15" x14ac:dyDescent="0.2">
      <c r="B80" s="63" t="s">
        <v>297</v>
      </c>
    </row>
    <row r="81" spans="2:3" ht="15" x14ac:dyDescent="0.2">
      <c r="B81" s="63" t="s">
        <v>298</v>
      </c>
    </row>
    <row r="82" spans="2:3" ht="15" x14ac:dyDescent="0.2">
      <c r="B82" s="63" t="s">
        <v>299</v>
      </c>
    </row>
    <row r="83" spans="2:3" ht="15" x14ac:dyDescent="0.2">
      <c r="B83" s="63" t="s">
        <v>300</v>
      </c>
    </row>
    <row r="84" spans="2:3" ht="15" x14ac:dyDescent="0.2">
      <c r="B84" s="63" t="s">
        <v>301</v>
      </c>
    </row>
    <row r="85" spans="2:3" ht="15" x14ac:dyDescent="0.2">
      <c r="B85" s="63" t="s">
        <v>302</v>
      </c>
    </row>
    <row r="86" spans="2:3" ht="15" x14ac:dyDescent="0.2">
      <c r="B86" s="63" t="s">
        <v>303</v>
      </c>
    </row>
    <row r="87" spans="2:3" ht="15" x14ac:dyDescent="0.2">
      <c r="B87" s="63" t="s">
        <v>304</v>
      </c>
    </row>
    <row r="88" spans="2:3" ht="15" x14ac:dyDescent="0.2">
      <c r="B88" s="63" t="s">
        <v>305</v>
      </c>
    </row>
    <row r="89" spans="2:3" ht="15" x14ac:dyDescent="0.2">
      <c r="B89" s="63" t="s">
        <v>306</v>
      </c>
    </row>
    <row r="90" spans="2:3" ht="15" x14ac:dyDescent="0.2">
      <c r="B90" s="63" t="s">
        <v>307</v>
      </c>
    </row>
    <row r="91" spans="2:3" ht="15" x14ac:dyDescent="0.2">
      <c r="B91" s="63" t="s">
        <v>308</v>
      </c>
    </row>
    <row r="92" spans="2:3" ht="15" x14ac:dyDescent="0.2">
      <c r="B92" s="63" t="s">
        <v>309</v>
      </c>
    </row>
    <row r="93" spans="2:3" ht="15" x14ac:dyDescent="0.2">
      <c r="B93" s="63" t="s">
        <v>310</v>
      </c>
    </row>
    <row r="94" spans="2:3" ht="15" x14ac:dyDescent="0.2">
      <c r="B94" s="63" t="s">
        <v>311</v>
      </c>
    </row>
    <row r="95" spans="2:3" ht="15" x14ac:dyDescent="0.2">
      <c r="B95" s="63" t="s">
        <v>312</v>
      </c>
      <c r="C95" s="64"/>
    </row>
    <row r="96" spans="2:3" ht="15" x14ac:dyDescent="0.2">
      <c r="B96" s="63" t="s">
        <v>313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2020-10-28T13:41:58Z</dcterms:modified>
</cp:coreProperties>
</file>
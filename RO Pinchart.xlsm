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A66A0081-BB86-43E7-AD25-82A44C450C90}" xr6:coauthVersionLast="45" xr6:coauthVersionMax="45" xr10:uidLastSave="{00000000-0000-0000-0000-000000000000}"/>
  <bookViews>
    <workbookView xWindow="-120" yWindow="-120" windowWidth="29040" windowHeight="15840" activeTab="1" xr2:uid="{00000000-000D-0000-FFFF-FFFF00000000}"/>
  </bookViews>
  <sheets>
    <sheet name="Main Program" sheetId="1" r:id="rId1"/>
    <sheet name="PINCHART-PROC" sheetId="2" r:id="rId2"/>
    <sheet name="PINCHART-CIP" sheetId="11" r:id="rId3"/>
    <sheet name="PINCHART-CIP-Short Wash" sheetId="12" r:id="rId4"/>
    <sheet name="PINCHART-CIP-Soak" sheetId="13" r:id="rId5"/>
    <sheet name="PINCHART-CIP-Rinse" sheetId="14" r:id="rId6"/>
    <sheet name="PINCHART-CIP-Sanitize" sheetId="15" r:id="rId7"/>
    <sheet name="CONDITION BIT OVERVIEW" sheetId="16"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C7" i="13" l="1"/>
  <c r="IC8" i="13"/>
  <c r="IC9" i="13"/>
  <c r="IC10" i="13"/>
  <c r="IC11" i="13"/>
  <c r="IC12" i="13"/>
  <c r="IC13" i="13"/>
  <c r="IC14" i="13"/>
  <c r="IC15" i="13"/>
  <c r="IC16" i="13"/>
  <c r="IC17" i="13"/>
  <c r="IC18" i="13"/>
  <c r="IC19" i="13"/>
  <c r="IC20" i="13"/>
  <c r="IC21" i="13"/>
  <c r="IC22" i="13"/>
  <c r="IC23" i="13"/>
  <c r="IC24" i="13"/>
  <c r="IC25" i="13"/>
  <c r="IC26" i="13"/>
  <c r="IC27" i="13"/>
  <c r="IC28" i="13"/>
  <c r="IC29" i="13"/>
  <c r="IC30" i="13"/>
  <c r="IC31" i="13"/>
  <c r="IC32" i="13"/>
  <c r="IC33" i="13"/>
  <c r="IC34" i="13"/>
  <c r="IC35" i="13"/>
  <c r="HY7" i="13"/>
  <c r="HY8" i="13"/>
  <c r="HY9" i="13"/>
  <c r="HY10" i="13"/>
  <c r="HY11" i="13"/>
  <c r="HY12" i="13"/>
  <c r="HY13" i="13"/>
  <c r="HY14" i="13"/>
  <c r="HY15" i="13"/>
  <c r="HY16" i="13"/>
  <c r="HY17" i="13"/>
  <c r="HY18" i="13"/>
  <c r="HY19" i="13"/>
  <c r="HY20" i="13"/>
  <c r="HY21" i="13"/>
  <c r="HY22" i="13"/>
  <c r="HY23" i="13"/>
  <c r="HY24" i="13"/>
  <c r="HY25" i="13"/>
  <c r="HY26" i="13"/>
  <c r="HY27" i="13"/>
  <c r="HY28" i="13"/>
  <c r="HY29" i="13"/>
  <c r="HY30" i="13"/>
  <c r="HY31" i="13"/>
  <c r="HY32" i="13"/>
  <c r="HY33" i="13"/>
  <c r="HY34" i="13"/>
  <c r="HY35" i="13"/>
  <c r="GO7" i="13"/>
  <c r="GO8" i="13"/>
  <c r="GO9" i="13"/>
  <c r="GO10" i="13"/>
  <c r="GO11" i="13"/>
  <c r="GO12" i="13"/>
  <c r="GO13" i="13"/>
  <c r="GO14" i="13"/>
  <c r="GO15" i="13"/>
  <c r="GO16" i="13"/>
  <c r="GO17" i="13"/>
  <c r="GO18" i="13"/>
  <c r="GO19" i="13"/>
  <c r="GO20" i="13"/>
  <c r="GO21" i="13"/>
  <c r="GO22" i="13"/>
  <c r="GO23" i="13"/>
  <c r="GO24" i="13"/>
  <c r="GO25" i="13"/>
  <c r="GO26" i="13"/>
  <c r="GO27" i="13"/>
  <c r="GO28" i="13"/>
  <c r="GO29" i="13"/>
  <c r="GO30" i="13"/>
  <c r="GO31" i="13"/>
  <c r="GO32" i="13"/>
  <c r="GO33" i="13"/>
  <c r="GO34" i="13"/>
  <c r="GO35" i="13"/>
  <c r="FE7" i="13"/>
  <c r="FE8" i="13"/>
  <c r="FE9" i="13"/>
  <c r="FE10" i="13"/>
  <c r="FE11" i="13"/>
  <c r="FE12" i="13"/>
  <c r="FE13" i="13"/>
  <c r="FE14" i="13"/>
  <c r="FE15" i="13"/>
  <c r="FE16" i="13"/>
  <c r="FE17" i="13"/>
  <c r="FE18" i="13"/>
  <c r="FE19" i="13"/>
  <c r="FE20" i="13"/>
  <c r="FE21" i="13"/>
  <c r="FE22" i="13"/>
  <c r="FE23" i="13"/>
  <c r="FE24" i="13"/>
  <c r="FE25" i="13"/>
  <c r="FE26" i="13"/>
  <c r="FE27" i="13"/>
  <c r="FE28" i="13"/>
  <c r="FE29" i="13"/>
  <c r="FE30" i="13"/>
  <c r="FE31" i="13"/>
  <c r="FE32" i="13"/>
  <c r="FE33" i="13"/>
  <c r="FE34" i="13"/>
  <c r="FE35" i="13"/>
  <c r="DU7" i="13"/>
  <c r="DU8" i="13"/>
  <c r="DU9" i="13"/>
  <c r="DU10" i="13"/>
  <c r="DU11" i="13"/>
  <c r="DU12" i="13"/>
  <c r="DU13" i="13"/>
  <c r="DU14" i="13"/>
  <c r="DU15" i="13"/>
  <c r="DU16" i="13"/>
  <c r="DU17" i="13"/>
  <c r="DU18" i="13"/>
  <c r="DU19" i="13"/>
  <c r="DU20" i="13"/>
  <c r="DU21" i="13"/>
  <c r="DU22" i="13"/>
  <c r="DU23" i="13"/>
  <c r="DU24" i="13"/>
  <c r="DU25" i="13"/>
  <c r="DU26" i="13"/>
  <c r="DU27" i="13"/>
  <c r="DU28" i="13"/>
  <c r="DU29" i="13"/>
  <c r="DU30" i="13"/>
  <c r="DU31" i="13"/>
  <c r="DU32" i="13"/>
  <c r="DU33" i="13"/>
  <c r="DU34" i="13"/>
  <c r="DU35" i="13"/>
  <c r="CK7" i="13"/>
  <c r="CK8" i="13"/>
  <c r="CK9" i="13"/>
  <c r="CK10" i="13"/>
  <c r="CK11" i="13"/>
  <c r="CK12" i="13"/>
  <c r="CK13" i="13"/>
  <c r="CK14" i="13"/>
  <c r="CK15" i="13"/>
  <c r="CK16" i="13"/>
  <c r="CK17" i="13"/>
  <c r="CK18" i="13"/>
  <c r="CK19" i="13"/>
  <c r="CK20" i="13"/>
  <c r="CK21" i="13"/>
  <c r="CK22" i="13"/>
  <c r="CK23" i="13"/>
  <c r="CK24" i="13"/>
  <c r="CK25" i="13"/>
  <c r="CK26" i="13"/>
  <c r="CK27" i="13"/>
  <c r="CK28" i="13"/>
  <c r="CK29" i="13"/>
  <c r="CK30" i="13"/>
  <c r="CK31" i="13"/>
  <c r="CK32" i="13"/>
  <c r="CK33" i="13"/>
  <c r="CK34" i="13"/>
  <c r="CK35" i="13"/>
  <c r="BA7" i="13"/>
  <c r="BA8" i="13"/>
  <c r="BA9" i="13"/>
  <c r="BA10" i="13"/>
  <c r="BA11" i="13"/>
  <c r="BA12" i="13"/>
  <c r="BA13" i="13"/>
  <c r="BA14" i="13"/>
  <c r="BA15" i="13"/>
  <c r="BA16" i="13"/>
  <c r="BA17" i="13"/>
  <c r="BA18" i="13"/>
  <c r="BA19" i="13"/>
  <c r="BA20" i="13"/>
  <c r="BA21" i="13"/>
  <c r="BA22" i="13"/>
  <c r="BA23" i="13"/>
  <c r="BA24" i="13"/>
  <c r="BA25" i="13"/>
  <c r="BA26" i="13"/>
  <c r="BA27" i="13"/>
  <c r="BA28" i="13"/>
  <c r="BA29" i="13"/>
  <c r="BA30" i="13"/>
  <c r="BA31" i="13"/>
  <c r="BA32" i="13"/>
  <c r="BA33" i="13"/>
  <c r="BA34" i="13"/>
  <c r="BA35"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IC7" i="12"/>
  <c r="IC8" i="12"/>
  <c r="IC9" i="12"/>
  <c r="IC10" i="12"/>
  <c r="IC11" i="12"/>
  <c r="IC12" i="12"/>
  <c r="IC13" i="12"/>
  <c r="IC14" i="12"/>
  <c r="IC15" i="12"/>
  <c r="IC16" i="12"/>
  <c r="IC17" i="12"/>
  <c r="IC18" i="12"/>
  <c r="IC19" i="12"/>
  <c r="IC20" i="12"/>
  <c r="IC21" i="12"/>
  <c r="IC22" i="12"/>
  <c r="IC23" i="12"/>
  <c r="IC24" i="12"/>
  <c r="IC25" i="12"/>
  <c r="IC26" i="12"/>
  <c r="IC27" i="12"/>
  <c r="IC28" i="12"/>
  <c r="IC29" i="12"/>
  <c r="IC30" i="12"/>
  <c r="IC31" i="12"/>
  <c r="IC32" i="12"/>
  <c r="IC33" i="12"/>
  <c r="IC34" i="12"/>
  <c r="IC35" i="12"/>
  <c r="HY7" i="12"/>
  <c r="HY8" i="12"/>
  <c r="HY9" i="12"/>
  <c r="HY10" i="12"/>
  <c r="HY11" i="12"/>
  <c r="HY12" i="12"/>
  <c r="HY13" i="12"/>
  <c r="HY14" i="12"/>
  <c r="HY15" i="12"/>
  <c r="HY16" i="12"/>
  <c r="HY17" i="12"/>
  <c r="HY18" i="12"/>
  <c r="HY19" i="12"/>
  <c r="HY20" i="12"/>
  <c r="HY21" i="12"/>
  <c r="HY22" i="12"/>
  <c r="HY23" i="12"/>
  <c r="HY24" i="12"/>
  <c r="HY25" i="12"/>
  <c r="HY26" i="12"/>
  <c r="HY27" i="12"/>
  <c r="HY28" i="12"/>
  <c r="HY29" i="12"/>
  <c r="HY30" i="12"/>
  <c r="HY31" i="12"/>
  <c r="HY32" i="12"/>
  <c r="HY33" i="12"/>
  <c r="HY34" i="12"/>
  <c r="HY35" i="12"/>
  <c r="GO7" i="12"/>
  <c r="GO8" i="12"/>
  <c r="GO9" i="12"/>
  <c r="GO10" i="12"/>
  <c r="GO11" i="12"/>
  <c r="GO12" i="12"/>
  <c r="GO13" i="12"/>
  <c r="GO14" i="12"/>
  <c r="GO15" i="12"/>
  <c r="GO16" i="12"/>
  <c r="GO17" i="12"/>
  <c r="GO18" i="12"/>
  <c r="GO19" i="12"/>
  <c r="GO20" i="12"/>
  <c r="GO21" i="12"/>
  <c r="GO22" i="12"/>
  <c r="GO23" i="12"/>
  <c r="GO24" i="12"/>
  <c r="GO25" i="12"/>
  <c r="GO26" i="12"/>
  <c r="GO27" i="12"/>
  <c r="GO28" i="12"/>
  <c r="GO29" i="12"/>
  <c r="GO30" i="12"/>
  <c r="GO31" i="12"/>
  <c r="GO32" i="12"/>
  <c r="GO33" i="12"/>
  <c r="GO34" i="12"/>
  <c r="GO35" i="12"/>
  <c r="FE7" i="12"/>
  <c r="FE8" i="12"/>
  <c r="FE9" i="12"/>
  <c r="FE10" i="12"/>
  <c r="FE11" i="12"/>
  <c r="FE12" i="12"/>
  <c r="FE13" i="12"/>
  <c r="FE14" i="12"/>
  <c r="FE15" i="12"/>
  <c r="FE16" i="12"/>
  <c r="FE17" i="12"/>
  <c r="FE18" i="12"/>
  <c r="FE19" i="12"/>
  <c r="FE20" i="12"/>
  <c r="FE21" i="12"/>
  <c r="FE22" i="12"/>
  <c r="FE23" i="12"/>
  <c r="FE24" i="12"/>
  <c r="FE25" i="12"/>
  <c r="FE26" i="12"/>
  <c r="FE27" i="12"/>
  <c r="FE28" i="12"/>
  <c r="FE29" i="12"/>
  <c r="FE30" i="12"/>
  <c r="FE31" i="12"/>
  <c r="FE32" i="12"/>
  <c r="FE33" i="12"/>
  <c r="FE34" i="12"/>
  <c r="FE35" i="12"/>
  <c r="DU7" i="12"/>
  <c r="DU8" i="12"/>
  <c r="DU9" i="12"/>
  <c r="DU10" i="12"/>
  <c r="DU11" i="12"/>
  <c r="DU12" i="12"/>
  <c r="DU13" i="12"/>
  <c r="DU14" i="12"/>
  <c r="DU15" i="12"/>
  <c r="DU16" i="12"/>
  <c r="DU17" i="12"/>
  <c r="DU18" i="12"/>
  <c r="DU19" i="12"/>
  <c r="DU20" i="12"/>
  <c r="DU21" i="12"/>
  <c r="DU22" i="12"/>
  <c r="DU23" i="12"/>
  <c r="DU24" i="12"/>
  <c r="DU25" i="12"/>
  <c r="DU26" i="12"/>
  <c r="DU27" i="12"/>
  <c r="DU28" i="12"/>
  <c r="DU29" i="12"/>
  <c r="DU30" i="12"/>
  <c r="DU31" i="12"/>
  <c r="DU32" i="12"/>
  <c r="DU33" i="12"/>
  <c r="DU34" i="12"/>
  <c r="DU35" i="12"/>
  <c r="CK7" i="12"/>
  <c r="CK8" i="12"/>
  <c r="CK9" i="12"/>
  <c r="CK10" i="12"/>
  <c r="CK11" i="12"/>
  <c r="CK12" i="12"/>
  <c r="CK13" i="12"/>
  <c r="CK14" i="12"/>
  <c r="CK15" i="12"/>
  <c r="CK16" i="12"/>
  <c r="CK17" i="12"/>
  <c r="CK18" i="12"/>
  <c r="CK19" i="12"/>
  <c r="CK20" i="12"/>
  <c r="CK21" i="12"/>
  <c r="CK22" i="12"/>
  <c r="CK23" i="12"/>
  <c r="CK24" i="12"/>
  <c r="CK25" i="12"/>
  <c r="CK26" i="12"/>
  <c r="CK27" i="12"/>
  <c r="CK28" i="12"/>
  <c r="CK29" i="12"/>
  <c r="CK30" i="12"/>
  <c r="CK31" i="12"/>
  <c r="CK32" i="12"/>
  <c r="CK33" i="12"/>
  <c r="CK34" i="12"/>
  <c r="CK35" i="12"/>
  <c r="BA7" i="12"/>
  <c r="BA8" i="12"/>
  <c r="BA9" i="12"/>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33" i="12"/>
  <c r="BA34" i="12"/>
  <c r="BA35"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IC7" i="11"/>
  <c r="IC8" i="11"/>
  <c r="IC9" i="11"/>
  <c r="IC10" i="11"/>
  <c r="IC11" i="11"/>
  <c r="IC12" i="11"/>
  <c r="IC13" i="11"/>
  <c r="IC14" i="11"/>
  <c r="IC15" i="11"/>
  <c r="IC16" i="11"/>
  <c r="IC17" i="11"/>
  <c r="IC18" i="11"/>
  <c r="IC19" i="11"/>
  <c r="IC20" i="11"/>
  <c r="IC21" i="11"/>
  <c r="IC22" i="11"/>
  <c r="IC23" i="11"/>
  <c r="IC24" i="11"/>
  <c r="IC25" i="11"/>
  <c r="IC26" i="11"/>
  <c r="IC27" i="11"/>
  <c r="IC28" i="11"/>
  <c r="IC29" i="11"/>
  <c r="IC30" i="11"/>
  <c r="IC31" i="11"/>
  <c r="IC32" i="11"/>
  <c r="IC33" i="11"/>
  <c r="IC34" i="11"/>
  <c r="IC35" i="11"/>
  <c r="IC36" i="11"/>
  <c r="IC37" i="11"/>
  <c r="IC38" i="11"/>
  <c r="IC39" i="11"/>
  <c r="IC40" i="11"/>
  <c r="IC41" i="11"/>
  <c r="IC42" i="11"/>
  <c r="IC43" i="11"/>
  <c r="IC44" i="11"/>
  <c r="IC45" i="11"/>
  <c r="IC46" i="11"/>
  <c r="IC47" i="11"/>
  <c r="IC48" i="11"/>
  <c r="IC49" i="11"/>
  <c r="IC50" i="11"/>
  <c r="IC51" i="11"/>
  <c r="IC52" i="11"/>
  <c r="IC53" i="11"/>
  <c r="IC54" i="11"/>
  <c r="IC55" i="11"/>
  <c r="IC56" i="11"/>
  <c r="IC57" i="11"/>
  <c r="IC58" i="11"/>
  <c r="IC59" i="11"/>
  <c r="IC60" i="11"/>
  <c r="IC61" i="11"/>
  <c r="IC62" i="11"/>
  <c r="IC63" i="11"/>
  <c r="IC64" i="11"/>
  <c r="IC65" i="11"/>
  <c r="IC66" i="11"/>
  <c r="IC67" i="11"/>
  <c r="IC68" i="11"/>
  <c r="IC69" i="11"/>
  <c r="IC70" i="11"/>
  <c r="IC71" i="11"/>
  <c r="IC72" i="11"/>
  <c r="IC73" i="11"/>
  <c r="IC74" i="11"/>
  <c r="IC75" i="11"/>
  <c r="IC76" i="11"/>
  <c r="IC77" i="11"/>
  <c r="IC78" i="11"/>
  <c r="IC79" i="11"/>
  <c r="IC80" i="11"/>
  <c r="IC81" i="11"/>
  <c r="IC82" i="11"/>
  <c r="IC83" i="11"/>
  <c r="IC84" i="11"/>
  <c r="IC85" i="11"/>
  <c r="IC86" i="11"/>
  <c r="IC87" i="11"/>
  <c r="IC88" i="11"/>
  <c r="IC89" i="11"/>
  <c r="IC90" i="11"/>
  <c r="IC91" i="11"/>
  <c r="IC92" i="11"/>
  <c r="IC93" i="11"/>
  <c r="IC94" i="11"/>
  <c r="IC95" i="11"/>
  <c r="IC96" i="11"/>
  <c r="IC97" i="11"/>
  <c r="IC98" i="11"/>
  <c r="IC99" i="11"/>
  <c r="IC100" i="11"/>
  <c r="IC101" i="11"/>
  <c r="IC102" i="11"/>
  <c r="IC103" i="11"/>
  <c r="IC104" i="11"/>
  <c r="HY7" i="11"/>
  <c r="HY8" i="11"/>
  <c r="HY9" i="11"/>
  <c r="HY10" i="11"/>
  <c r="HY11" i="11"/>
  <c r="HY12" i="11"/>
  <c r="HY13" i="11"/>
  <c r="HY14" i="11"/>
  <c r="HY15" i="11"/>
  <c r="HY16" i="11"/>
  <c r="HY17" i="11"/>
  <c r="HY18" i="11"/>
  <c r="HY19" i="11"/>
  <c r="HY20" i="11"/>
  <c r="HY21" i="11"/>
  <c r="HY22" i="11"/>
  <c r="HY23" i="11"/>
  <c r="HY24" i="11"/>
  <c r="HY25" i="11"/>
  <c r="HY26" i="11"/>
  <c r="HY27" i="11"/>
  <c r="HY28" i="11"/>
  <c r="HY29" i="11"/>
  <c r="HY30" i="11"/>
  <c r="HY31" i="11"/>
  <c r="HY32" i="11"/>
  <c r="HY33" i="11"/>
  <c r="HY34" i="11"/>
  <c r="HY35" i="11"/>
  <c r="HY36" i="11"/>
  <c r="HY37" i="11"/>
  <c r="HY38" i="11"/>
  <c r="HY39" i="11"/>
  <c r="HY40" i="11"/>
  <c r="HY41" i="11"/>
  <c r="HY42" i="11"/>
  <c r="HY43" i="11"/>
  <c r="HY44" i="11"/>
  <c r="HY45" i="11"/>
  <c r="HY46" i="11"/>
  <c r="HY47" i="11"/>
  <c r="HY48" i="11"/>
  <c r="HY49" i="11"/>
  <c r="HY50" i="11"/>
  <c r="HY51" i="11"/>
  <c r="HY52" i="11"/>
  <c r="HY53" i="11"/>
  <c r="HY54" i="11"/>
  <c r="HY55" i="11"/>
  <c r="HY56" i="11"/>
  <c r="HY57" i="11"/>
  <c r="HY58" i="11"/>
  <c r="HY59" i="11"/>
  <c r="HY60" i="11"/>
  <c r="HY61" i="11"/>
  <c r="HY62" i="11"/>
  <c r="HY63" i="11"/>
  <c r="HY64" i="11"/>
  <c r="HY65" i="11"/>
  <c r="HY66" i="11"/>
  <c r="HY67" i="11"/>
  <c r="HY68" i="11"/>
  <c r="HY69" i="11"/>
  <c r="HY70" i="11"/>
  <c r="HY71" i="11"/>
  <c r="HY72" i="11"/>
  <c r="HY73" i="11"/>
  <c r="HY74" i="11"/>
  <c r="HY75" i="11"/>
  <c r="HY76" i="11"/>
  <c r="HY77" i="11"/>
  <c r="HY78" i="11"/>
  <c r="HY79" i="11"/>
  <c r="HY80" i="11"/>
  <c r="HY81" i="11"/>
  <c r="HY82" i="11"/>
  <c r="HY83" i="11"/>
  <c r="HY84" i="11"/>
  <c r="HY85" i="11"/>
  <c r="HY86" i="11"/>
  <c r="HY87" i="11"/>
  <c r="HY88" i="11"/>
  <c r="HY89" i="11"/>
  <c r="HY90" i="11"/>
  <c r="HY91" i="11"/>
  <c r="HY92" i="11"/>
  <c r="HY93" i="11"/>
  <c r="HY94" i="11"/>
  <c r="HY95" i="11"/>
  <c r="HY96" i="11"/>
  <c r="HY97" i="11"/>
  <c r="HY98" i="11"/>
  <c r="HY99" i="11"/>
  <c r="HY100" i="11"/>
  <c r="HY101" i="11"/>
  <c r="HY102" i="11"/>
  <c r="HY103" i="11"/>
  <c r="HY104" i="11"/>
  <c r="GO7" i="11"/>
  <c r="GO8" i="11"/>
  <c r="GO9" i="11"/>
  <c r="GO10" i="11"/>
  <c r="GO11" i="11"/>
  <c r="GO12" i="11"/>
  <c r="GO13" i="11"/>
  <c r="GO14" i="11"/>
  <c r="GO15" i="11"/>
  <c r="GO16" i="11"/>
  <c r="GO17" i="11"/>
  <c r="GO18" i="11"/>
  <c r="GO19" i="11"/>
  <c r="GO20" i="11"/>
  <c r="GO21" i="11"/>
  <c r="GO22" i="11"/>
  <c r="GO23" i="11"/>
  <c r="GO24" i="11"/>
  <c r="GO25" i="11"/>
  <c r="GO26" i="11"/>
  <c r="GO27" i="11"/>
  <c r="GO28" i="11"/>
  <c r="GO29" i="11"/>
  <c r="GO30" i="11"/>
  <c r="GO31" i="11"/>
  <c r="GO32" i="11"/>
  <c r="GO33" i="11"/>
  <c r="GO34" i="11"/>
  <c r="GO35" i="11"/>
  <c r="GO36" i="11"/>
  <c r="GO37" i="11"/>
  <c r="GO38" i="11"/>
  <c r="GO39" i="11"/>
  <c r="GO40" i="11"/>
  <c r="GO41" i="11"/>
  <c r="GO42" i="11"/>
  <c r="GO43" i="11"/>
  <c r="GO44" i="11"/>
  <c r="GO45" i="11"/>
  <c r="GO46" i="11"/>
  <c r="GO47" i="11"/>
  <c r="GO48" i="11"/>
  <c r="GO49" i="11"/>
  <c r="GO50" i="11"/>
  <c r="GO51" i="11"/>
  <c r="GO52" i="11"/>
  <c r="GO53" i="11"/>
  <c r="GO54" i="11"/>
  <c r="GO55" i="11"/>
  <c r="GO56" i="11"/>
  <c r="GO57" i="11"/>
  <c r="GO58" i="11"/>
  <c r="GO59" i="11"/>
  <c r="GO60" i="11"/>
  <c r="GO61" i="11"/>
  <c r="GO62" i="11"/>
  <c r="GO63" i="11"/>
  <c r="GO64" i="11"/>
  <c r="GO65" i="11"/>
  <c r="GO66" i="11"/>
  <c r="GO67" i="11"/>
  <c r="GO68" i="11"/>
  <c r="GO69" i="11"/>
  <c r="GO70" i="11"/>
  <c r="GO71" i="11"/>
  <c r="GO72" i="11"/>
  <c r="GO73" i="11"/>
  <c r="GO74" i="11"/>
  <c r="GO75" i="11"/>
  <c r="GO76" i="11"/>
  <c r="GO77" i="11"/>
  <c r="GO78" i="11"/>
  <c r="GO79" i="11"/>
  <c r="GO80" i="11"/>
  <c r="GO81" i="11"/>
  <c r="GO82" i="11"/>
  <c r="GO83" i="11"/>
  <c r="GO84" i="11"/>
  <c r="GO85" i="11"/>
  <c r="GO86" i="11"/>
  <c r="GO87" i="11"/>
  <c r="GO88" i="11"/>
  <c r="GO89" i="11"/>
  <c r="GO90" i="11"/>
  <c r="GO91" i="11"/>
  <c r="GO92" i="11"/>
  <c r="GO93" i="11"/>
  <c r="GO94" i="11"/>
  <c r="GO95" i="11"/>
  <c r="GO96" i="11"/>
  <c r="GO97" i="11"/>
  <c r="GO98" i="11"/>
  <c r="GO99" i="11"/>
  <c r="GO100" i="11"/>
  <c r="GO101" i="11"/>
  <c r="GO102" i="11"/>
  <c r="GO103" i="11"/>
  <c r="GO104" i="11"/>
  <c r="FE7" i="11"/>
  <c r="FE8" i="11"/>
  <c r="FE9" i="11"/>
  <c r="FE10" i="11"/>
  <c r="FE11" i="11"/>
  <c r="FE12" i="11"/>
  <c r="FE13" i="11"/>
  <c r="FE14" i="11"/>
  <c r="FE15" i="11"/>
  <c r="FE16" i="11"/>
  <c r="FE17" i="11"/>
  <c r="FE18" i="11"/>
  <c r="FE19" i="11"/>
  <c r="FE20" i="11"/>
  <c r="FE21" i="11"/>
  <c r="FE22" i="11"/>
  <c r="FE23" i="11"/>
  <c r="FE24" i="11"/>
  <c r="FE25" i="11"/>
  <c r="FE26" i="11"/>
  <c r="FE27" i="11"/>
  <c r="FE28" i="11"/>
  <c r="FE29" i="11"/>
  <c r="FE30" i="11"/>
  <c r="FE31" i="11"/>
  <c r="FE32" i="11"/>
  <c r="FE33" i="11"/>
  <c r="FE34" i="11"/>
  <c r="FE35" i="11"/>
  <c r="FE36" i="11"/>
  <c r="FE37" i="11"/>
  <c r="FE38" i="11"/>
  <c r="FE39" i="11"/>
  <c r="FE40" i="11"/>
  <c r="FE41" i="11"/>
  <c r="FE42" i="11"/>
  <c r="FE43" i="11"/>
  <c r="FE44" i="11"/>
  <c r="FE45" i="11"/>
  <c r="FE46" i="11"/>
  <c r="FE47" i="11"/>
  <c r="FE48" i="11"/>
  <c r="FE49" i="11"/>
  <c r="FE50" i="11"/>
  <c r="FE51" i="11"/>
  <c r="FE52" i="11"/>
  <c r="FE53" i="11"/>
  <c r="FE54" i="11"/>
  <c r="FE55" i="11"/>
  <c r="FE56" i="11"/>
  <c r="FE57" i="11"/>
  <c r="FE58" i="11"/>
  <c r="FE59" i="11"/>
  <c r="FE60" i="11"/>
  <c r="FE61" i="11"/>
  <c r="FE62" i="11"/>
  <c r="FE63" i="11"/>
  <c r="FE64" i="11"/>
  <c r="FE65" i="11"/>
  <c r="FE66" i="11"/>
  <c r="FE67" i="11"/>
  <c r="FE68" i="11"/>
  <c r="FE69" i="11"/>
  <c r="FE70" i="11"/>
  <c r="FE71" i="11"/>
  <c r="FE72" i="11"/>
  <c r="FE73" i="11"/>
  <c r="FE74" i="11"/>
  <c r="FE75" i="11"/>
  <c r="FE76" i="11"/>
  <c r="FE77" i="11"/>
  <c r="FE78" i="11"/>
  <c r="FE79" i="11"/>
  <c r="FE80" i="11"/>
  <c r="FE81" i="11"/>
  <c r="FE82" i="11"/>
  <c r="FE83" i="11"/>
  <c r="FE84" i="11"/>
  <c r="FE85" i="11"/>
  <c r="FE86" i="11"/>
  <c r="FE87" i="11"/>
  <c r="FE88" i="11"/>
  <c r="FE89" i="11"/>
  <c r="FE90" i="11"/>
  <c r="FE91" i="11"/>
  <c r="FE92" i="11"/>
  <c r="FE93" i="11"/>
  <c r="FE94" i="11"/>
  <c r="FE95" i="11"/>
  <c r="FE96" i="11"/>
  <c r="FE97" i="11"/>
  <c r="FE98" i="11"/>
  <c r="FE99" i="11"/>
  <c r="FE100" i="11"/>
  <c r="FE101" i="11"/>
  <c r="FE102" i="11"/>
  <c r="FE103" i="11"/>
  <c r="FE104" i="11"/>
  <c r="DU7" i="11"/>
  <c r="DU8" i="11"/>
  <c r="DU9" i="11"/>
  <c r="DU10" i="11"/>
  <c r="DU11" i="11"/>
  <c r="DU12" i="11"/>
  <c r="DU13" i="11"/>
  <c r="DU14" i="11"/>
  <c r="DU15" i="11"/>
  <c r="DU16" i="11"/>
  <c r="DU17" i="11"/>
  <c r="DU18" i="11"/>
  <c r="DU19" i="11"/>
  <c r="DU20" i="11"/>
  <c r="DU21" i="11"/>
  <c r="DU22" i="11"/>
  <c r="DU23" i="11"/>
  <c r="DU24" i="11"/>
  <c r="DU25" i="11"/>
  <c r="DU26" i="11"/>
  <c r="DU27" i="11"/>
  <c r="DU28" i="11"/>
  <c r="DU29" i="11"/>
  <c r="DU30" i="11"/>
  <c r="DU31" i="11"/>
  <c r="DU32" i="11"/>
  <c r="DU33" i="11"/>
  <c r="DU34" i="11"/>
  <c r="DU35" i="11"/>
  <c r="DU36" i="11"/>
  <c r="DU37" i="11"/>
  <c r="DU38" i="11"/>
  <c r="DU39" i="11"/>
  <c r="DU40" i="11"/>
  <c r="DU41" i="11"/>
  <c r="DU42" i="11"/>
  <c r="DU43" i="11"/>
  <c r="DU44" i="11"/>
  <c r="DU45" i="11"/>
  <c r="DU46" i="11"/>
  <c r="DU47" i="11"/>
  <c r="DU48" i="11"/>
  <c r="DU49" i="11"/>
  <c r="DU50" i="11"/>
  <c r="DU51" i="11"/>
  <c r="DU52" i="11"/>
  <c r="DU53" i="11"/>
  <c r="DU54" i="11"/>
  <c r="DU55" i="11"/>
  <c r="DU56" i="11"/>
  <c r="DU57" i="11"/>
  <c r="DU58" i="11"/>
  <c r="DU59" i="11"/>
  <c r="DU60" i="11"/>
  <c r="DU61" i="11"/>
  <c r="DU62" i="11"/>
  <c r="DU63" i="11"/>
  <c r="DU64" i="11"/>
  <c r="DU65" i="11"/>
  <c r="DU66" i="11"/>
  <c r="DU67" i="11"/>
  <c r="DU68" i="11"/>
  <c r="DU69" i="11"/>
  <c r="DU70" i="11"/>
  <c r="DU71" i="11"/>
  <c r="DU72" i="11"/>
  <c r="DU73" i="11"/>
  <c r="DU74" i="11"/>
  <c r="DU75" i="11"/>
  <c r="DU76" i="11"/>
  <c r="DU77" i="11"/>
  <c r="DU78" i="11"/>
  <c r="DU79" i="11"/>
  <c r="DU80" i="11"/>
  <c r="DU81" i="11"/>
  <c r="DU82" i="11"/>
  <c r="DU83" i="11"/>
  <c r="DU84" i="11"/>
  <c r="DU85" i="11"/>
  <c r="DU86" i="11"/>
  <c r="DU87" i="11"/>
  <c r="DU88" i="11"/>
  <c r="DU89" i="11"/>
  <c r="DU90" i="11"/>
  <c r="DU91" i="11"/>
  <c r="DU92" i="11"/>
  <c r="DU93" i="11"/>
  <c r="DU94" i="11"/>
  <c r="DU95" i="11"/>
  <c r="DU96" i="11"/>
  <c r="DU97" i="11"/>
  <c r="DU98" i="11"/>
  <c r="DU99" i="11"/>
  <c r="DU100" i="11"/>
  <c r="DU101" i="11"/>
  <c r="DU102" i="11"/>
  <c r="DU103" i="11"/>
  <c r="DU104" i="11"/>
  <c r="CK7" i="11"/>
  <c r="CK8" i="11"/>
  <c r="CK9" i="11"/>
  <c r="CK10" i="11"/>
  <c r="CK11" i="11"/>
  <c r="CK12" i="11"/>
  <c r="CK13" i="11"/>
  <c r="CK14" i="11"/>
  <c r="CK15" i="11"/>
  <c r="CK16" i="11"/>
  <c r="CK17" i="11"/>
  <c r="CK18" i="11"/>
  <c r="CK19" i="11"/>
  <c r="CK20" i="11"/>
  <c r="CK21" i="11"/>
  <c r="CK22" i="11"/>
  <c r="CK23" i="11"/>
  <c r="CK24" i="11"/>
  <c r="CK25" i="11"/>
  <c r="CK26" i="11"/>
  <c r="CK27" i="11"/>
  <c r="CK28" i="11"/>
  <c r="CK29" i="11"/>
  <c r="CK30" i="11"/>
  <c r="CK31" i="11"/>
  <c r="CK32" i="11"/>
  <c r="CK33" i="11"/>
  <c r="CK34" i="11"/>
  <c r="CK35" i="11"/>
  <c r="CK36" i="11"/>
  <c r="CK37" i="11"/>
  <c r="CK38" i="11"/>
  <c r="CK39" i="11"/>
  <c r="CK40" i="11"/>
  <c r="CK41" i="11"/>
  <c r="CK42" i="11"/>
  <c r="CK43" i="11"/>
  <c r="CK44" i="11"/>
  <c r="CK45" i="11"/>
  <c r="CK46" i="11"/>
  <c r="CK47" i="11"/>
  <c r="CK48" i="11"/>
  <c r="CK49" i="11"/>
  <c r="CK50" i="11"/>
  <c r="CK51" i="11"/>
  <c r="CK52" i="11"/>
  <c r="CK53" i="11"/>
  <c r="CK54" i="11"/>
  <c r="CK55" i="11"/>
  <c r="CK56" i="11"/>
  <c r="CK57" i="11"/>
  <c r="CK58" i="11"/>
  <c r="CK59" i="11"/>
  <c r="CK60" i="11"/>
  <c r="CK61" i="11"/>
  <c r="CK62" i="11"/>
  <c r="CK63" i="11"/>
  <c r="CK64" i="11"/>
  <c r="CK65" i="11"/>
  <c r="CK66" i="11"/>
  <c r="CK67" i="11"/>
  <c r="CK68" i="11"/>
  <c r="CK69" i="11"/>
  <c r="CK70" i="11"/>
  <c r="CK71" i="11"/>
  <c r="CK72" i="11"/>
  <c r="CK73" i="11"/>
  <c r="CK74" i="11"/>
  <c r="CK75" i="11"/>
  <c r="CK76" i="11"/>
  <c r="CK77" i="11"/>
  <c r="CK78" i="11"/>
  <c r="CK79" i="11"/>
  <c r="CK80" i="11"/>
  <c r="CK81" i="11"/>
  <c r="CK82" i="11"/>
  <c r="CK83" i="11"/>
  <c r="CK84" i="11"/>
  <c r="CK85" i="11"/>
  <c r="CK86" i="11"/>
  <c r="CK87" i="11"/>
  <c r="CK88" i="11"/>
  <c r="CK89" i="11"/>
  <c r="CK90" i="11"/>
  <c r="CK91" i="11"/>
  <c r="CK92" i="11"/>
  <c r="CK93" i="11"/>
  <c r="CK94" i="11"/>
  <c r="CK95" i="11"/>
  <c r="CK96" i="11"/>
  <c r="CK97" i="11"/>
  <c r="CK98" i="11"/>
  <c r="CK99" i="11"/>
  <c r="CK100" i="11"/>
  <c r="CK101" i="11"/>
  <c r="CK102" i="11"/>
  <c r="CK103" i="11"/>
  <c r="CK104" i="11"/>
  <c r="BA7" i="11"/>
  <c r="BA8" i="11"/>
  <c r="BA9" i="11"/>
  <c r="BA10" i="11"/>
  <c r="BA11" i="11"/>
  <c r="BA12" i="11"/>
  <c r="BA13" i="11"/>
  <c r="BA14" i="11"/>
  <c r="BA15" i="11"/>
  <c r="BA16" i="11"/>
  <c r="BA17" i="11"/>
  <c r="BA18" i="11"/>
  <c r="BA19" i="11"/>
  <c r="BA20" i="11"/>
  <c r="BA21" i="11"/>
  <c r="BA22" i="11"/>
  <c r="BA23" i="11"/>
  <c r="BA24" i="11"/>
  <c r="BA25" i="11"/>
  <c r="BA26" i="11"/>
  <c r="BA27" i="11"/>
  <c r="BA28" i="11"/>
  <c r="BA29" i="11"/>
  <c r="BA30" i="11"/>
  <c r="BA31" i="11"/>
  <c r="BA32" i="11"/>
  <c r="BA33" i="11"/>
  <c r="BA34" i="11"/>
  <c r="BA35" i="11"/>
  <c r="BA36" i="11"/>
  <c r="BA37" i="11"/>
  <c r="BA38" i="11"/>
  <c r="BA39" i="11"/>
  <c r="BA40" i="11"/>
  <c r="BA41" i="11"/>
  <c r="BA42" i="11"/>
  <c r="BA43" i="11"/>
  <c r="BA44" i="11"/>
  <c r="BA45" i="11"/>
  <c r="BA46" i="11"/>
  <c r="BA47" i="11"/>
  <c r="BA48" i="11"/>
  <c r="BA49" i="11"/>
  <c r="BA50" i="11"/>
  <c r="BA51" i="11"/>
  <c r="BA52" i="11"/>
  <c r="BA53" i="11"/>
  <c r="BA54" i="11"/>
  <c r="BA55" i="11"/>
  <c r="BA56" i="11"/>
  <c r="BA57" i="11"/>
  <c r="BA58" i="11"/>
  <c r="BA59" i="11"/>
  <c r="BA60" i="11"/>
  <c r="BA61" i="11"/>
  <c r="BA62" i="11"/>
  <c r="BA63" i="11"/>
  <c r="BA64" i="11"/>
  <c r="BA65" i="11"/>
  <c r="BA66" i="11"/>
  <c r="BA67" i="11"/>
  <c r="BA68" i="11"/>
  <c r="BA69" i="11"/>
  <c r="BA70" i="11"/>
  <c r="BA71" i="11"/>
  <c r="BA72" i="11"/>
  <c r="BA73" i="11"/>
  <c r="BA74" i="11"/>
  <c r="BA75" i="11"/>
  <c r="BA76" i="11"/>
  <c r="BA77" i="11"/>
  <c r="BA78" i="11"/>
  <c r="BA79" i="11"/>
  <c r="BA80" i="11"/>
  <c r="BA81" i="11"/>
  <c r="BA82" i="11"/>
  <c r="BA83" i="11"/>
  <c r="BA84" i="11"/>
  <c r="BA85" i="11"/>
  <c r="BA86" i="11"/>
  <c r="BA87" i="11"/>
  <c r="BA88" i="11"/>
  <c r="BA89" i="11"/>
  <c r="BA90" i="11"/>
  <c r="BA91" i="11"/>
  <c r="BA92" i="11"/>
  <c r="BA93" i="11"/>
  <c r="BA94" i="11"/>
  <c r="BA95" i="11"/>
  <c r="BA96" i="11"/>
  <c r="BA97" i="11"/>
  <c r="BA98" i="11"/>
  <c r="BA99" i="11"/>
  <c r="BA100" i="11"/>
  <c r="BA101" i="11"/>
  <c r="BA102" i="11"/>
  <c r="BA103" i="11"/>
  <c r="BA104"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IC29" i="2"/>
  <c r="IC8" i="2"/>
  <c r="IC9" i="2"/>
  <c r="IC10" i="2"/>
  <c r="IC11" i="2"/>
  <c r="IC12" i="2"/>
  <c r="IC13" i="2"/>
  <c r="IC14" i="2"/>
  <c r="IC15" i="2"/>
  <c r="IC16" i="2"/>
  <c r="IC17" i="2"/>
  <c r="IC18" i="2"/>
  <c r="IC19" i="2"/>
  <c r="IC20" i="2"/>
  <c r="IC21" i="2"/>
  <c r="IC22" i="2"/>
  <c r="IC23" i="2"/>
  <c r="IC24" i="2"/>
  <c r="IC25" i="2"/>
  <c r="IC26" i="2"/>
  <c r="IC27" i="2"/>
  <c r="IC28" i="2"/>
  <c r="HY8" i="2"/>
  <c r="HY9" i="2"/>
  <c r="HY10" i="2"/>
  <c r="HY11" i="2"/>
  <c r="HY12" i="2"/>
  <c r="HY13" i="2"/>
  <c r="HY14" i="2"/>
  <c r="HY15" i="2"/>
  <c r="HY16" i="2"/>
  <c r="HY17" i="2"/>
  <c r="HY18" i="2"/>
  <c r="HY19" i="2"/>
  <c r="HY20" i="2"/>
  <c r="HY21" i="2"/>
  <c r="HY22" i="2"/>
  <c r="HY23" i="2"/>
  <c r="HY24" i="2"/>
  <c r="HY25" i="2"/>
  <c r="HY26" i="2"/>
  <c r="HY27" i="2"/>
  <c r="HY28" i="2"/>
  <c r="HY29" i="2"/>
  <c r="GO8" i="2"/>
  <c r="GO9" i="2"/>
  <c r="GO10" i="2"/>
  <c r="GO11" i="2"/>
  <c r="GO12" i="2"/>
  <c r="GO13" i="2"/>
  <c r="GO14" i="2"/>
  <c r="GO15" i="2"/>
  <c r="GO16" i="2"/>
  <c r="GO17" i="2"/>
  <c r="GO18" i="2"/>
  <c r="GO19" i="2"/>
  <c r="GO20" i="2"/>
  <c r="GO21" i="2"/>
  <c r="GO22" i="2"/>
  <c r="GO23" i="2"/>
  <c r="GO24" i="2"/>
  <c r="GO25" i="2"/>
  <c r="GO26" i="2"/>
  <c r="GO27" i="2"/>
  <c r="GO28" i="2"/>
  <c r="GO29" i="2"/>
  <c r="FE8" i="2"/>
  <c r="FE9" i="2"/>
  <c r="FE10" i="2"/>
  <c r="FE11" i="2"/>
  <c r="FE12" i="2"/>
  <c r="FE13" i="2"/>
  <c r="FE14" i="2"/>
  <c r="FE15" i="2"/>
  <c r="FE16" i="2"/>
  <c r="FE17" i="2"/>
  <c r="FE18" i="2"/>
  <c r="FE19" i="2"/>
  <c r="FE20" i="2"/>
  <c r="FE21" i="2"/>
  <c r="FE22" i="2"/>
  <c r="FE23" i="2"/>
  <c r="FE24" i="2"/>
  <c r="FE25" i="2"/>
  <c r="FE26" i="2"/>
  <c r="FE27" i="2"/>
  <c r="FE28" i="2"/>
  <c r="FE29" i="2"/>
  <c r="DU8" i="2"/>
  <c r="DU9" i="2"/>
  <c r="DU10" i="2"/>
  <c r="DU11" i="2"/>
  <c r="DU12" i="2"/>
  <c r="DU13" i="2"/>
  <c r="DU14" i="2"/>
  <c r="DU15" i="2"/>
  <c r="DU16" i="2"/>
  <c r="DU17" i="2"/>
  <c r="DU18" i="2"/>
  <c r="DU19" i="2"/>
  <c r="DU20" i="2"/>
  <c r="DU21" i="2"/>
  <c r="DU22" i="2"/>
  <c r="DU23" i="2"/>
  <c r="DU24" i="2"/>
  <c r="DU25" i="2"/>
  <c r="DU26" i="2"/>
  <c r="DU27" i="2"/>
  <c r="DU28" i="2"/>
  <c r="DU29" i="2"/>
  <c r="CK8" i="2"/>
  <c r="CK9" i="2"/>
  <c r="CK10" i="2"/>
  <c r="CK11" i="2"/>
  <c r="CK12" i="2"/>
  <c r="CK13" i="2"/>
  <c r="CK14" i="2"/>
  <c r="CK15" i="2"/>
  <c r="CK16" i="2"/>
  <c r="CK17" i="2"/>
  <c r="CK18" i="2"/>
  <c r="CK19" i="2"/>
  <c r="CK20" i="2"/>
  <c r="CK21" i="2"/>
  <c r="CK22" i="2"/>
  <c r="CK23" i="2"/>
  <c r="CK24" i="2"/>
  <c r="CK25" i="2"/>
  <c r="CK26" i="2"/>
  <c r="CK27" i="2"/>
  <c r="CK28" i="2"/>
  <c r="CK29" i="2"/>
  <c r="BA8" i="2"/>
  <c r="BA9" i="2"/>
  <c r="BA10" i="2"/>
  <c r="BA11" i="2"/>
  <c r="BA12" i="2"/>
  <c r="BA13" i="2"/>
  <c r="BA14" i="2"/>
  <c r="BA15" i="2"/>
  <c r="BA16" i="2"/>
  <c r="BA17" i="2"/>
  <c r="BA18" i="2"/>
  <c r="BA19" i="2"/>
  <c r="BA20" i="2"/>
  <c r="BA21" i="2"/>
  <c r="BA22" i="2"/>
  <c r="BA23" i="2"/>
  <c r="BA24" i="2"/>
  <c r="BA25" i="2"/>
  <c r="BA26" i="2"/>
  <c r="BA27" i="2"/>
  <c r="BA28" i="2"/>
  <c r="BA29" i="2"/>
  <c r="P7" i="2"/>
  <c r="P8" i="2"/>
  <c r="P9" i="2"/>
  <c r="P10" i="2"/>
  <c r="P11" i="2"/>
  <c r="P12" i="2"/>
  <c r="P13" i="2"/>
  <c r="P14" i="2"/>
  <c r="P15" i="2"/>
  <c r="P16" i="2"/>
  <c r="P17" i="2"/>
  <c r="P18" i="2"/>
  <c r="P19" i="2"/>
  <c r="P20" i="2"/>
  <c r="P21" i="2"/>
  <c r="P22" i="2"/>
  <c r="P23" i="2"/>
  <c r="P24" i="2"/>
  <c r="P25" i="2"/>
  <c r="P26" i="2"/>
  <c r="P27" i="2"/>
  <c r="P28" i="2"/>
  <c r="P29" i="2"/>
  <c r="L7" i="2"/>
  <c r="L8" i="2"/>
  <c r="L9" i="2"/>
  <c r="L10" i="2"/>
  <c r="L11" i="2"/>
  <c r="L12" i="2"/>
  <c r="L13" i="2"/>
  <c r="L14" i="2"/>
  <c r="L15" i="2"/>
  <c r="L16" i="2"/>
  <c r="L17" i="2"/>
  <c r="L18" i="2"/>
  <c r="L19" i="2"/>
  <c r="L20" i="2"/>
  <c r="L21" i="2"/>
  <c r="L22" i="2"/>
  <c r="L23" i="2"/>
  <c r="L24" i="2"/>
  <c r="L25" i="2"/>
  <c r="L26" i="2"/>
  <c r="L27" i="2"/>
  <c r="L28" i="2"/>
  <c r="L29" i="2"/>
  <c r="H7" i="2"/>
  <c r="H8" i="2"/>
  <c r="H9" i="2"/>
  <c r="H10" i="2"/>
  <c r="H11" i="2"/>
  <c r="H12" i="2"/>
  <c r="H13" i="2"/>
  <c r="H14" i="2"/>
  <c r="H15" i="2"/>
  <c r="H16" i="2"/>
  <c r="H17" i="2"/>
  <c r="H18" i="2"/>
  <c r="H19" i="2"/>
  <c r="H20" i="2"/>
  <c r="H21" i="2"/>
  <c r="H22" i="2"/>
  <c r="H23" i="2"/>
  <c r="H24" i="2"/>
  <c r="H25" i="2"/>
  <c r="H26" i="2"/>
  <c r="H27" i="2"/>
  <c r="H28" i="2"/>
  <c r="H29" i="2"/>
  <c r="D7" i="2"/>
  <c r="D8" i="2"/>
  <c r="D9" i="2"/>
  <c r="D10" i="2"/>
  <c r="D11" i="2"/>
  <c r="D12" i="2"/>
  <c r="D13" i="2"/>
  <c r="D14" i="2"/>
  <c r="D15" i="2"/>
  <c r="D16" i="2"/>
  <c r="D17" i="2"/>
  <c r="D18" i="2"/>
  <c r="D19" i="2"/>
  <c r="D20" i="2"/>
  <c r="D21" i="2"/>
  <c r="D22" i="2"/>
  <c r="D23" i="2"/>
  <c r="D24" i="2"/>
  <c r="D25" i="2"/>
  <c r="D26" i="2"/>
  <c r="D27" i="2"/>
  <c r="D28" i="2"/>
  <c r="D29" i="2"/>
  <c r="IC24" i="15" l="1"/>
  <c r="HY24" i="15"/>
  <c r="GO24" i="15"/>
  <c r="FE24" i="15"/>
  <c r="DU24" i="15"/>
  <c r="CK24" i="15"/>
  <c r="BA24" i="15"/>
  <c r="S24" i="15"/>
  <c r="P24" i="15"/>
  <c r="L24" i="15"/>
  <c r="H24" i="15"/>
  <c r="D24" i="15"/>
  <c r="B24" i="15"/>
  <c r="IC23" i="15"/>
  <c r="HY23" i="15"/>
  <c r="GO23" i="15"/>
  <c r="FE23" i="15"/>
  <c r="DU23" i="15"/>
  <c r="CK23" i="15"/>
  <c r="BA23" i="15"/>
  <c r="S23" i="15"/>
  <c r="P23" i="15"/>
  <c r="L23" i="15"/>
  <c r="H23" i="15"/>
  <c r="D23" i="15"/>
  <c r="B23" i="15"/>
  <c r="IC22" i="15"/>
  <c r="HY22" i="15"/>
  <c r="GO22" i="15"/>
  <c r="FE22" i="15"/>
  <c r="DU22" i="15"/>
  <c r="CK22" i="15"/>
  <c r="BA22" i="15"/>
  <c r="S22" i="15"/>
  <c r="P22" i="15"/>
  <c r="L22" i="15"/>
  <c r="H22" i="15"/>
  <c r="D22" i="15"/>
  <c r="B22" i="15"/>
  <c r="IC21" i="15"/>
  <c r="HY21" i="15"/>
  <c r="GO21" i="15"/>
  <c r="FE21" i="15"/>
  <c r="DU21" i="15"/>
  <c r="CK21" i="15"/>
  <c r="BA21" i="15"/>
  <c r="S21" i="15"/>
  <c r="P21" i="15"/>
  <c r="L21" i="15"/>
  <c r="H21" i="15"/>
  <c r="D21" i="15"/>
  <c r="B21" i="15"/>
  <c r="IC20" i="15"/>
  <c r="HY20" i="15"/>
  <c r="GO20" i="15"/>
  <c r="FE20" i="15"/>
  <c r="DU20" i="15"/>
  <c r="CK20" i="15"/>
  <c r="BA20" i="15"/>
  <c r="S20" i="15"/>
  <c r="P20" i="15"/>
  <c r="L20" i="15"/>
  <c r="H20" i="15"/>
  <c r="D20" i="15"/>
  <c r="B20" i="15"/>
  <c r="IC19" i="15"/>
  <c r="HY19" i="15"/>
  <c r="GO19" i="15"/>
  <c r="FE19" i="15"/>
  <c r="DU19" i="15"/>
  <c r="CK19" i="15"/>
  <c r="BA19" i="15"/>
  <c r="S19" i="15"/>
  <c r="P19" i="15"/>
  <c r="L19" i="15"/>
  <c r="H19" i="15"/>
  <c r="D19" i="15"/>
  <c r="B19" i="15"/>
  <c r="IC18" i="15"/>
  <c r="HY18" i="15"/>
  <c r="GO18" i="15"/>
  <c r="FE18" i="15"/>
  <c r="DU18" i="15"/>
  <c r="CK18" i="15"/>
  <c r="BA18" i="15"/>
  <c r="S18" i="15"/>
  <c r="P18" i="15"/>
  <c r="L18" i="15"/>
  <c r="H18" i="15"/>
  <c r="D18" i="15"/>
  <c r="B18" i="15"/>
  <c r="IC17" i="15"/>
  <c r="HY17" i="15"/>
  <c r="GO17" i="15"/>
  <c r="FE17" i="15"/>
  <c r="DU17" i="15"/>
  <c r="CK17" i="15"/>
  <c r="BA17" i="15"/>
  <c r="S17" i="15"/>
  <c r="P17" i="15"/>
  <c r="L17" i="15"/>
  <c r="H17" i="15"/>
  <c r="D17" i="15"/>
  <c r="B17" i="15"/>
  <c r="IC16" i="15"/>
  <c r="HY16" i="15"/>
  <c r="GO16" i="15"/>
  <c r="FE16" i="15"/>
  <c r="DU16" i="15"/>
  <c r="CK16" i="15"/>
  <c r="BA16" i="15"/>
  <c r="S16" i="15"/>
  <c r="P16" i="15"/>
  <c r="L16" i="15"/>
  <c r="H16" i="15"/>
  <c r="D16" i="15"/>
  <c r="B16" i="15"/>
  <c r="IC15" i="15"/>
  <c r="HY15" i="15"/>
  <c r="GO15" i="15"/>
  <c r="FE15" i="15"/>
  <c r="DU15" i="15"/>
  <c r="CK15" i="15"/>
  <c r="BA15" i="15"/>
  <c r="S15" i="15"/>
  <c r="P15" i="15"/>
  <c r="L15" i="15"/>
  <c r="H15" i="15"/>
  <c r="D15" i="15"/>
  <c r="B15" i="15"/>
  <c r="IC14" i="15"/>
  <c r="HY14" i="15"/>
  <c r="GO14" i="15"/>
  <c r="FE14" i="15"/>
  <c r="DU14" i="15"/>
  <c r="CK14" i="15"/>
  <c r="BA14" i="15"/>
  <c r="S14" i="15"/>
  <c r="P14" i="15"/>
  <c r="L14" i="15"/>
  <c r="H14" i="15"/>
  <c r="D14" i="15"/>
  <c r="B14" i="15"/>
  <c r="IC13" i="15"/>
  <c r="HY13" i="15"/>
  <c r="GO13" i="15"/>
  <c r="FE13" i="15"/>
  <c r="DU13" i="15"/>
  <c r="CK13" i="15"/>
  <c r="BA13" i="15"/>
  <c r="S13" i="15"/>
  <c r="P13" i="15"/>
  <c r="L13" i="15"/>
  <c r="H13" i="15"/>
  <c r="D13" i="15"/>
  <c r="B13" i="15"/>
  <c r="IC12" i="15"/>
  <c r="HY12" i="15"/>
  <c r="GO12" i="15"/>
  <c r="FE12" i="15"/>
  <c r="DU12" i="15"/>
  <c r="CK12" i="15"/>
  <c r="BA12" i="15"/>
  <c r="S12" i="15"/>
  <c r="P12" i="15"/>
  <c r="L12" i="15"/>
  <c r="H12" i="15"/>
  <c r="D12" i="15"/>
  <c r="B12" i="15"/>
  <c r="IC11" i="15"/>
  <c r="HY11" i="15"/>
  <c r="GO11" i="15"/>
  <c r="FE11" i="15"/>
  <c r="DU11" i="15"/>
  <c r="CK11" i="15"/>
  <c r="BA11" i="15"/>
  <c r="S11" i="15"/>
  <c r="P11" i="15"/>
  <c r="L11" i="15"/>
  <c r="H11" i="15"/>
  <c r="D11" i="15"/>
  <c r="B11" i="15"/>
  <c r="IC10" i="15"/>
  <c r="HY10" i="15"/>
  <c r="GO10" i="15"/>
  <c r="FE10" i="15"/>
  <c r="DU10" i="15"/>
  <c r="CK10" i="15"/>
  <c r="BA10" i="15"/>
  <c r="S10" i="15"/>
  <c r="P10" i="15"/>
  <c r="L10" i="15"/>
  <c r="H10" i="15"/>
  <c r="D10" i="15"/>
  <c r="B10" i="15"/>
  <c r="IC9" i="15"/>
  <c r="HY9" i="15"/>
  <c r="GO9" i="15"/>
  <c r="FE9" i="15"/>
  <c r="DU9" i="15"/>
  <c r="CK9" i="15"/>
  <c r="BA9" i="15"/>
  <c r="S9" i="15"/>
  <c r="P9" i="15"/>
  <c r="L9" i="15"/>
  <c r="H9" i="15"/>
  <c r="D9" i="15"/>
  <c r="B9" i="15"/>
  <c r="IC8" i="15"/>
  <c r="HY8" i="15"/>
  <c r="GO8" i="15"/>
  <c r="FE8" i="15"/>
  <c r="DU8" i="15"/>
  <c r="CK8" i="15"/>
  <c r="BA8" i="15"/>
  <c r="S8" i="15"/>
  <c r="P8" i="15"/>
  <c r="L8" i="15"/>
  <c r="H8" i="15"/>
  <c r="D8" i="15"/>
  <c r="B8" i="15"/>
  <c r="IC7" i="15"/>
  <c r="HY7" i="15"/>
  <c r="GO7" i="15"/>
  <c r="FE7" i="15"/>
  <c r="DU7" i="15"/>
  <c r="CK7" i="15"/>
  <c r="BA7" i="15"/>
  <c r="S7" i="15"/>
  <c r="P7" i="15"/>
  <c r="L7" i="15"/>
  <c r="H7" i="15"/>
  <c r="D7" i="15"/>
  <c r="B7" i="15"/>
  <c r="ID6" i="15"/>
  <c r="ID7" i="15" s="1"/>
  <c r="ID8" i="15" s="1"/>
  <c r="ID9" i="15" s="1"/>
  <c r="ID10" i="15" s="1"/>
  <c r="ID11" i="15" s="1"/>
  <c r="ID12" i="15" s="1"/>
  <c r="ID13" i="15" s="1"/>
  <c r="ID14" i="15" s="1"/>
  <c r="ID15" i="15" s="1"/>
  <c r="ID16" i="15" s="1"/>
  <c r="ID17" i="15" s="1"/>
  <c r="ID18" i="15" s="1"/>
  <c r="ID19" i="15" s="1"/>
  <c r="ID20" i="15" s="1"/>
  <c r="ID21" i="15" s="1"/>
  <c r="ID22" i="15" s="1"/>
  <c r="ID23" i="15" s="1"/>
  <c r="ID24" i="15" s="1"/>
  <c r="IC6" i="15"/>
  <c r="HZ6" i="15"/>
  <c r="HZ7" i="15" s="1"/>
  <c r="HZ8" i="15" s="1"/>
  <c r="HZ9" i="15" s="1"/>
  <c r="HZ10" i="15" s="1"/>
  <c r="HZ11" i="15" s="1"/>
  <c r="HZ12" i="15" s="1"/>
  <c r="HZ13" i="15" s="1"/>
  <c r="HZ14" i="15" s="1"/>
  <c r="HZ15" i="15" s="1"/>
  <c r="HZ16" i="15" s="1"/>
  <c r="HZ17" i="15" s="1"/>
  <c r="HZ18" i="15" s="1"/>
  <c r="HZ19" i="15" s="1"/>
  <c r="HZ20" i="15" s="1"/>
  <c r="HZ21" i="15" s="1"/>
  <c r="HZ22" i="15" s="1"/>
  <c r="HZ23" i="15" s="1"/>
  <c r="HZ24" i="15" s="1"/>
  <c r="HY6" i="15"/>
  <c r="GP6" i="15"/>
  <c r="GP7" i="15" s="1"/>
  <c r="GP8" i="15" s="1"/>
  <c r="GP9" i="15" s="1"/>
  <c r="GP10" i="15" s="1"/>
  <c r="GP11" i="15" s="1"/>
  <c r="GP12" i="15" s="1"/>
  <c r="GP13" i="15" s="1"/>
  <c r="GP14" i="15" s="1"/>
  <c r="GP15" i="15" s="1"/>
  <c r="GP16" i="15" s="1"/>
  <c r="GP17" i="15" s="1"/>
  <c r="GP18" i="15" s="1"/>
  <c r="GP19" i="15" s="1"/>
  <c r="GP20" i="15" s="1"/>
  <c r="GP21" i="15" s="1"/>
  <c r="GP22" i="15" s="1"/>
  <c r="GP23" i="15" s="1"/>
  <c r="GP24" i="15" s="1"/>
  <c r="GO6" i="15"/>
  <c r="FF6" i="15"/>
  <c r="FF7" i="15" s="1"/>
  <c r="FF8" i="15" s="1"/>
  <c r="FF9" i="15" s="1"/>
  <c r="FF10" i="15" s="1"/>
  <c r="FF11" i="15" s="1"/>
  <c r="FF12" i="15" s="1"/>
  <c r="FF13" i="15" s="1"/>
  <c r="FF14" i="15" s="1"/>
  <c r="FF15" i="15" s="1"/>
  <c r="FF16" i="15" s="1"/>
  <c r="FF17" i="15" s="1"/>
  <c r="FF18" i="15" s="1"/>
  <c r="FF19" i="15" s="1"/>
  <c r="FF20" i="15" s="1"/>
  <c r="FF21" i="15" s="1"/>
  <c r="FF22" i="15" s="1"/>
  <c r="FF23" i="15" s="1"/>
  <c r="FF24" i="15" s="1"/>
  <c r="FE6" i="15"/>
  <c r="DV6" i="15"/>
  <c r="DV7" i="15" s="1"/>
  <c r="DV8" i="15" s="1"/>
  <c r="DV9" i="15" s="1"/>
  <c r="DV10" i="15" s="1"/>
  <c r="DV11" i="15" s="1"/>
  <c r="DV12" i="15" s="1"/>
  <c r="DV13" i="15" s="1"/>
  <c r="DV14" i="15" s="1"/>
  <c r="DV15" i="15" s="1"/>
  <c r="DV16" i="15" s="1"/>
  <c r="DV17" i="15" s="1"/>
  <c r="DV18" i="15" s="1"/>
  <c r="DV19" i="15" s="1"/>
  <c r="DV20" i="15" s="1"/>
  <c r="DV21" i="15" s="1"/>
  <c r="DV22" i="15" s="1"/>
  <c r="DV23" i="15" s="1"/>
  <c r="DV24" i="15" s="1"/>
  <c r="DU6" i="15"/>
  <c r="CL6" i="15"/>
  <c r="CL7" i="15" s="1"/>
  <c r="CL8" i="15" s="1"/>
  <c r="CL9" i="15" s="1"/>
  <c r="CL10" i="15" s="1"/>
  <c r="CL11" i="15" s="1"/>
  <c r="CL12" i="15" s="1"/>
  <c r="CL13" i="15" s="1"/>
  <c r="CL14" i="15" s="1"/>
  <c r="CL15" i="15" s="1"/>
  <c r="CL16" i="15" s="1"/>
  <c r="CL17" i="15" s="1"/>
  <c r="CL18" i="15" s="1"/>
  <c r="CL19" i="15" s="1"/>
  <c r="CL20" i="15" s="1"/>
  <c r="CL21" i="15" s="1"/>
  <c r="CL22" i="15" s="1"/>
  <c r="CL23" i="15" s="1"/>
  <c r="CL24" i="15" s="1"/>
  <c r="CK6" i="15"/>
  <c r="BB6" i="15"/>
  <c r="BB7" i="15" s="1"/>
  <c r="BB8" i="15" s="1"/>
  <c r="BB9" i="15" s="1"/>
  <c r="BB10" i="15" s="1"/>
  <c r="BB11" i="15" s="1"/>
  <c r="BB12" i="15" s="1"/>
  <c r="BB13" i="15" s="1"/>
  <c r="BB14" i="15" s="1"/>
  <c r="BB15" i="15" s="1"/>
  <c r="BB16" i="15" s="1"/>
  <c r="BB17" i="15" s="1"/>
  <c r="BB18" i="15" s="1"/>
  <c r="BB19" i="15" s="1"/>
  <c r="BB20" i="15" s="1"/>
  <c r="BB21" i="15" s="1"/>
  <c r="BB22" i="15" s="1"/>
  <c r="BB23" i="15" s="1"/>
  <c r="BB24" i="15" s="1"/>
  <c r="BA6" i="15"/>
  <c r="S6" i="15"/>
  <c r="Q6" i="15"/>
  <c r="Q7" i="15" s="1"/>
  <c r="Q8" i="15" s="1"/>
  <c r="Q9" i="15" s="1"/>
  <c r="Q10" i="15" s="1"/>
  <c r="Q11" i="15" s="1"/>
  <c r="Q12" i="15" s="1"/>
  <c r="Q13" i="15" s="1"/>
  <c r="Q14" i="15" s="1"/>
  <c r="Q15" i="15" s="1"/>
  <c r="Q16" i="15" s="1"/>
  <c r="Q17" i="15" s="1"/>
  <c r="Q18" i="15" s="1"/>
  <c r="Q19" i="15" s="1"/>
  <c r="Q20" i="15" s="1"/>
  <c r="Q21" i="15" s="1"/>
  <c r="Q22" i="15" s="1"/>
  <c r="Q23" i="15" s="1"/>
  <c r="Q24" i="15" s="1"/>
  <c r="P6" i="15"/>
  <c r="M6" i="15"/>
  <c r="M7" i="15" s="1"/>
  <c r="M8" i="15" s="1"/>
  <c r="M9" i="15" s="1"/>
  <c r="M10" i="15" s="1"/>
  <c r="M11" i="15" s="1"/>
  <c r="M12" i="15" s="1"/>
  <c r="M13" i="15" s="1"/>
  <c r="M14" i="15" s="1"/>
  <c r="M15" i="15" s="1"/>
  <c r="M16" i="15" s="1"/>
  <c r="M17" i="15" s="1"/>
  <c r="M18" i="15" s="1"/>
  <c r="M19" i="15" s="1"/>
  <c r="M20" i="15" s="1"/>
  <c r="M21" i="15" s="1"/>
  <c r="M22" i="15" s="1"/>
  <c r="M23" i="15" s="1"/>
  <c r="M24" i="15" s="1"/>
  <c r="L6" i="15"/>
  <c r="I6" i="15"/>
  <c r="I7" i="15" s="1"/>
  <c r="I8" i="15" s="1"/>
  <c r="I9" i="15" s="1"/>
  <c r="I10" i="15" s="1"/>
  <c r="I11" i="15" s="1"/>
  <c r="I12" i="15" s="1"/>
  <c r="I13" i="15" s="1"/>
  <c r="I14" i="15" s="1"/>
  <c r="I15" i="15" s="1"/>
  <c r="I16" i="15" s="1"/>
  <c r="I17" i="15" s="1"/>
  <c r="I18" i="15" s="1"/>
  <c r="I19" i="15" s="1"/>
  <c r="I20" i="15" s="1"/>
  <c r="I21" i="15" s="1"/>
  <c r="I22" i="15" s="1"/>
  <c r="I23" i="15" s="1"/>
  <c r="I24" i="15" s="1"/>
  <c r="H6" i="15"/>
  <c r="E6" i="15"/>
  <c r="E7" i="15" s="1"/>
  <c r="E8" i="15" s="1"/>
  <c r="E9" i="15" s="1"/>
  <c r="E10" i="15" s="1"/>
  <c r="E11" i="15" s="1"/>
  <c r="E12" i="15" s="1"/>
  <c r="E13" i="15" s="1"/>
  <c r="E14" i="15" s="1"/>
  <c r="E15" i="15" s="1"/>
  <c r="E16" i="15" s="1"/>
  <c r="E17" i="15" s="1"/>
  <c r="E18" i="15" s="1"/>
  <c r="E19" i="15" s="1"/>
  <c r="E20" i="15" s="1"/>
  <c r="E21" i="15" s="1"/>
  <c r="E22" i="15" s="1"/>
  <c r="E23" i="15" s="1"/>
  <c r="E24" i="15" s="1"/>
  <c r="D6" i="15"/>
  <c r="B6" i="15"/>
  <c r="S5" i="15"/>
  <c r="B5" i="15"/>
  <c r="L11" i="14"/>
  <c r="M11" i="14"/>
  <c r="P11" i="14"/>
  <c r="Q11" i="14"/>
  <c r="S11" i="14"/>
  <c r="L12" i="14"/>
  <c r="M12" i="14"/>
  <c r="P12" i="14"/>
  <c r="Q12" i="14"/>
  <c r="Q13" i="14" s="1"/>
  <c r="Q14" i="14" s="1"/>
  <c r="Q15" i="14" s="1"/>
  <c r="Q16" i="14" s="1"/>
  <c r="Q17" i="14" s="1"/>
  <c r="S12" i="14"/>
  <c r="L13" i="14"/>
  <c r="M13" i="14"/>
  <c r="M14" i="14" s="1"/>
  <c r="M15" i="14" s="1"/>
  <c r="M16" i="14" s="1"/>
  <c r="M17" i="14" s="1"/>
  <c r="P13" i="14"/>
  <c r="S13" i="14"/>
  <c r="L14" i="14"/>
  <c r="P14" i="14"/>
  <c r="S14" i="14"/>
  <c r="L15" i="14"/>
  <c r="P15" i="14"/>
  <c r="S15" i="14"/>
  <c r="L16" i="14"/>
  <c r="P16" i="14"/>
  <c r="S16" i="14"/>
  <c r="L17" i="14"/>
  <c r="P17" i="14"/>
  <c r="S17" i="14"/>
  <c r="IC24" i="14"/>
  <c r="HY24" i="14"/>
  <c r="GO24" i="14"/>
  <c r="FE24" i="14"/>
  <c r="DU24" i="14"/>
  <c r="CK24" i="14"/>
  <c r="BA24" i="14"/>
  <c r="S24" i="14"/>
  <c r="P24" i="14"/>
  <c r="L24" i="14"/>
  <c r="H24" i="14"/>
  <c r="D24" i="14"/>
  <c r="B24" i="14"/>
  <c r="IC23" i="14"/>
  <c r="HY23" i="14"/>
  <c r="GO23" i="14"/>
  <c r="FE23" i="14"/>
  <c r="DU23" i="14"/>
  <c r="CK23" i="14"/>
  <c r="BA23" i="14"/>
  <c r="S23" i="14"/>
  <c r="P23" i="14"/>
  <c r="L23" i="14"/>
  <c r="H23" i="14"/>
  <c r="D23" i="14"/>
  <c r="B23" i="14"/>
  <c r="IC22" i="14"/>
  <c r="HY22" i="14"/>
  <c r="GO22" i="14"/>
  <c r="FE22" i="14"/>
  <c r="DU22" i="14"/>
  <c r="CK22" i="14"/>
  <c r="BA22" i="14"/>
  <c r="S22" i="14"/>
  <c r="P22" i="14"/>
  <c r="L22" i="14"/>
  <c r="H22" i="14"/>
  <c r="D22" i="14"/>
  <c r="B22" i="14"/>
  <c r="IC21" i="14"/>
  <c r="HY21" i="14"/>
  <c r="GO21" i="14"/>
  <c r="FE21" i="14"/>
  <c r="DU21" i="14"/>
  <c r="CK21" i="14"/>
  <c r="BA21" i="14"/>
  <c r="S21" i="14"/>
  <c r="P21" i="14"/>
  <c r="L21" i="14"/>
  <c r="H21" i="14"/>
  <c r="D21" i="14"/>
  <c r="B21" i="14"/>
  <c r="IC20" i="14"/>
  <c r="HY20" i="14"/>
  <c r="GO20" i="14"/>
  <c r="FE20" i="14"/>
  <c r="DU20" i="14"/>
  <c r="CK20" i="14"/>
  <c r="BA20" i="14"/>
  <c r="S20" i="14"/>
  <c r="P20" i="14"/>
  <c r="L20" i="14"/>
  <c r="H20" i="14"/>
  <c r="D20" i="14"/>
  <c r="B20" i="14"/>
  <c r="IC19" i="14"/>
  <c r="HY19" i="14"/>
  <c r="GO19" i="14"/>
  <c r="FE19" i="14"/>
  <c r="DU19" i="14"/>
  <c r="CK19" i="14"/>
  <c r="BA19" i="14"/>
  <c r="S19" i="14"/>
  <c r="P19" i="14"/>
  <c r="L19" i="14"/>
  <c r="H19" i="14"/>
  <c r="D19" i="14"/>
  <c r="B19" i="14"/>
  <c r="IC18" i="14"/>
  <c r="HY18" i="14"/>
  <c r="GO18" i="14"/>
  <c r="FE18" i="14"/>
  <c r="DU18" i="14"/>
  <c r="CK18" i="14"/>
  <c r="BA18" i="14"/>
  <c r="S18" i="14"/>
  <c r="P18" i="14"/>
  <c r="L18" i="14"/>
  <c r="H18" i="14"/>
  <c r="D18" i="14"/>
  <c r="B18" i="14"/>
  <c r="IC17" i="14"/>
  <c r="HY17" i="14"/>
  <c r="GO17" i="14"/>
  <c r="FE17" i="14"/>
  <c r="DU17" i="14"/>
  <c r="CK17" i="14"/>
  <c r="BA17" i="14"/>
  <c r="H17" i="14"/>
  <c r="D17" i="14"/>
  <c r="B17" i="14"/>
  <c r="IC16" i="14"/>
  <c r="HY16" i="14"/>
  <c r="GO16" i="14"/>
  <c r="FE16" i="14"/>
  <c r="DU16" i="14"/>
  <c r="CK16" i="14"/>
  <c r="BA16" i="14"/>
  <c r="H16" i="14"/>
  <c r="D16" i="14"/>
  <c r="B16" i="14"/>
  <c r="IC15" i="14"/>
  <c r="HY15" i="14"/>
  <c r="GO15" i="14"/>
  <c r="FE15" i="14"/>
  <c r="DU15" i="14"/>
  <c r="CK15" i="14"/>
  <c r="BA15" i="14"/>
  <c r="H15" i="14"/>
  <c r="D15" i="14"/>
  <c r="B15" i="14"/>
  <c r="IC14" i="14"/>
  <c r="HY14" i="14"/>
  <c r="GO14" i="14"/>
  <c r="FE14" i="14"/>
  <c r="DU14" i="14"/>
  <c r="CK14" i="14"/>
  <c r="BA14" i="14"/>
  <c r="H14" i="14"/>
  <c r="D14" i="14"/>
  <c r="B14" i="14"/>
  <c r="IC13" i="14"/>
  <c r="HY13" i="14"/>
  <c r="GO13" i="14"/>
  <c r="FE13" i="14"/>
  <c r="DU13" i="14"/>
  <c r="CK13" i="14"/>
  <c r="BA13" i="14"/>
  <c r="H13" i="14"/>
  <c r="D13" i="14"/>
  <c r="B13" i="14"/>
  <c r="IC12" i="14"/>
  <c r="HY12" i="14"/>
  <c r="GO12" i="14"/>
  <c r="FE12" i="14"/>
  <c r="DU12" i="14"/>
  <c r="CK12" i="14"/>
  <c r="BA12" i="14"/>
  <c r="H12" i="14"/>
  <c r="D12" i="14"/>
  <c r="B12" i="14"/>
  <c r="IC11" i="14"/>
  <c r="HY11" i="14"/>
  <c r="GO11" i="14"/>
  <c r="FE11" i="14"/>
  <c r="DU11" i="14"/>
  <c r="CK11" i="14"/>
  <c r="BA11" i="14"/>
  <c r="H11" i="14"/>
  <c r="D11" i="14"/>
  <c r="B11" i="14"/>
  <c r="IC10" i="14"/>
  <c r="HY10" i="14"/>
  <c r="GO10" i="14"/>
  <c r="FE10" i="14"/>
  <c r="DU10" i="14"/>
  <c r="CK10" i="14"/>
  <c r="BA10" i="14"/>
  <c r="S10" i="14"/>
  <c r="P10" i="14"/>
  <c r="L10" i="14"/>
  <c r="H10" i="14"/>
  <c r="D10" i="14"/>
  <c r="B10" i="14"/>
  <c r="IC9" i="14"/>
  <c r="HY9" i="14"/>
  <c r="GO9" i="14"/>
  <c r="FE9" i="14"/>
  <c r="DU9" i="14"/>
  <c r="CK9" i="14"/>
  <c r="BA9" i="14"/>
  <c r="S9" i="14"/>
  <c r="P9" i="14"/>
  <c r="L9" i="14"/>
  <c r="H9" i="14"/>
  <c r="D9" i="14"/>
  <c r="B9" i="14"/>
  <c r="IC8" i="14"/>
  <c r="HY8" i="14"/>
  <c r="GO8" i="14"/>
  <c r="FE8" i="14"/>
  <c r="DU8" i="14"/>
  <c r="CK8" i="14"/>
  <c r="BA8" i="14"/>
  <c r="S8" i="14"/>
  <c r="P8" i="14"/>
  <c r="L8" i="14"/>
  <c r="H8" i="14"/>
  <c r="D8" i="14"/>
  <c r="B8" i="14"/>
  <c r="IC7" i="14"/>
  <c r="HY7" i="14"/>
  <c r="GO7" i="14"/>
  <c r="FE7" i="14"/>
  <c r="DU7" i="14"/>
  <c r="CK7" i="14"/>
  <c r="BA7" i="14"/>
  <c r="S7" i="14"/>
  <c r="P7" i="14"/>
  <c r="L7" i="14"/>
  <c r="H7" i="14"/>
  <c r="D7" i="14"/>
  <c r="B7" i="14"/>
  <c r="ID6" i="14"/>
  <c r="ID7" i="14" s="1"/>
  <c r="ID8" i="14" s="1"/>
  <c r="ID9" i="14" s="1"/>
  <c r="ID10" i="14" s="1"/>
  <c r="ID11" i="14" s="1"/>
  <c r="ID12" i="14" s="1"/>
  <c r="ID13" i="14" s="1"/>
  <c r="ID14" i="14" s="1"/>
  <c r="ID15" i="14" s="1"/>
  <c r="ID16" i="14" s="1"/>
  <c r="ID17" i="14" s="1"/>
  <c r="ID18" i="14" s="1"/>
  <c r="ID19" i="14" s="1"/>
  <c r="ID20" i="14" s="1"/>
  <c r="ID21" i="14" s="1"/>
  <c r="ID22" i="14" s="1"/>
  <c r="ID23" i="14" s="1"/>
  <c r="ID24" i="14" s="1"/>
  <c r="IC6" i="14"/>
  <c r="HZ6" i="14"/>
  <c r="HZ7" i="14" s="1"/>
  <c r="HZ8" i="14" s="1"/>
  <c r="HZ9" i="14" s="1"/>
  <c r="HZ10" i="14" s="1"/>
  <c r="HZ11" i="14" s="1"/>
  <c r="HZ12" i="14" s="1"/>
  <c r="HZ13" i="14" s="1"/>
  <c r="HZ14" i="14" s="1"/>
  <c r="HZ15" i="14" s="1"/>
  <c r="HZ16" i="14" s="1"/>
  <c r="HZ17" i="14" s="1"/>
  <c r="HZ18" i="14" s="1"/>
  <c r="HZ19" i="14" s="1"/>
  <c r="HZ20" i="14" s="1"/>
  <c r="HZ21" i="14" s="1"/>
  <c r="HZ22" i="14" s="1"/>
  <c r="HZ23" i="14" s="1"/>
  <c r="HZ24" i="14" s="1"/>
  <c r="HY6" i="14"/>
  <c r="GP6" i="14"/>
  <c r="GP7" i="14" s="1"/>
  <c r="GP8" i="14" s="1"/>
  <c r="GP9" i="14" s="1"/>
  <c r="GP10" i="14" s="1"/>
  <c r="GP11" i="14" s="1"/>
  <c r="GP12" i="14" s="1"/>
  <c r="GP13" i="14" s="1"/>
  <c r="GP14" i="14" s="1"/>
  <c r="GP15" i="14" s="1"/>
  <c r="GP16" i="14" s="1"/>
  <c r="GP17" i="14" s="1"/>
  <c r="GP18" i="14" s="1"/>
  <c r="GP19" i="14" s="1"/>
  <c r="GP20" i="14" s="1"/>
  <c r="GP21" i="14" s="1"/>
  <c r="GP22" i="14" s="1"/>
  <c r="GP23" i="14" s="1"/>
  <c r="GP24" i="14" s="1"/>
  <c r="GO6" i="14"/>
  <c r="FF6" i="14"/>
  <c r="FF7" i="14" s="1"/>
  <c r="FF8" i="14" s="1"/>
  <c r="FF9" i="14" s="1"/>
  <c r="FF10" i="14" s="1"/>
  <c r="FF11" i="14" s="1"/>
  <c r="FF12" i="14" s="1"/>
  <c r="FF13" i="14" s="1"/>
  <c r="FF14" i="14" s="1"/>
  <c r="FF15" i="14" s="1"/>
  <c r="FF16" i="14" s="1"/>
  <c r="FF17" i="14" s="1"/>
  <c r="FF18" i="14" s="1"/>
  <c r="FF19" i="14" s="1"/>
  <c r="FF20" i="14" s="1"/>
  <c r="FF21" i="14" s="1"/>
  <c r="FF22" i="14" s="1"/>
  <c r="FF23" i="14" s="1"/>
  <c r="FF24" i="14" s="1"/>
  <c r="FE6" i="14"/>
  <c r="DV6" i="14"/>
  <c r="DV7" i="14" s="1"/>
  <c r="DV8" i="14" s="1"/>
  <c r="DV9" i="14" s="1"/>
  <c r="DV10" i="14" s="1"/>
  <c r="DV11" i="14" s="1"/>
  <c r="DV12" i="14" s="1"/>
  <c r="DV13" i="14" s="1"/>
  <c r="DV14" i="14" s="1"/>
  <c r="DV15" i="14" s="1"/>
  <c r="DV16" i="14" s="1"/>
  <c r="DV17" i="14" s="1"/>
  <c r="DV18" i="14" s="1"/>
  <c r="DV19" i="14" s="1"/>
  <c r="DV20" i="14" s="1"/>
  <c r="DV21" i="14" s="1"/>
  <c r="DV22" i="14" s="1"/>
  <c r="DV23" i="14" s="1"/>
  <c r="DV24" i="14" s="1"/>
  <c r="DU6" i="14"/>
  <c r="CL6" i="14"/>
  <c r="CL7" i="14" s="1"/>
  <c r="CL8" i="14" s="1"/>
  <c r="CL9" i="14" s="1"/>
  <c r="CL10" i="14" s="1"/>
  <c r="CL11" i="14" s="1"/>
  <c r="CL12" i="14" s="1"/>
  <c r="CL13" i="14" s="1"/>
  <c r="CL14" i="14" s="1"/>
  <c r="CL15" i="14" s="1"/>
  <c r="CL16" i="14" s="1"/>
  <c r="CL17" i="14" s="1"/>
  <c r="CL18" i="14" s="1"/>
  <c r="CL19" i="14" s="1"/>
  <c r="CL20" i="14" s="1"/>
  <c r="CL21" i="14" s="1"/>
  <c r="CL22" i="14" s="1"/>
  <c r="CL23" i="14" s="1"/>
  <c r="CL24" i="14" s="1"/>
  <c r="CK6" i="14"/>
  <c r="BB6" i="14"/>
  <c r="BB7" i="14" s="1"/>
  <c r="BB8" i="14" s="1"/>
  <c r="BB9" i="14" s="1"/>
  <c r="BB10" i="14" s="1"/>
  <c r="BB11" i="14" s="1"/>
  <c r="BB12" i="14" s="1"/>
  <c r="BB13" i="14" s="1"/>
  <c r="BB14" i="14" s="1"/>
  <c r="BB15" i="14" s="1"/>
  <c r="BB16" i="14" s="1"/>
  <c r="BB17" i="14" s="1"/>
  <c r="BB18" i="14" s="1"/>
  <c r="BB19" i="14" s="1"/>
  <c r="BB20" i="14" s="1"/>
  <c r="BB21" i="14" s="1"/>
  <c r="BB22" i="14" s="1"/>
  <c r="BB23" i="14" s="1"/>
  <c r="BB24" i="14" s="1"/>
  <c r="BA6" i="14"/>
  <c r="S6" i="14"/>
  <c r="Q6" i="14"/>
  <c r="Q7" i="14" s="1"/>
  <c r="Q8" i="14" s="1"/>
  <c r="Q9" i="14" s="1"/>
  <c r="Q10" i="14" s="1"/>
  <c r="P6" i="14"/>
  <c r="M6" i="14"/>
  <c r="M7" i="14" s="1"/>
  <c r="M8" i="14" s="1"/>
  <c r="M9" i="14" s="1"/>
  <c r="M10" i="14" s="1"/>
  <c r="L6" i="14"/>
  <c r="I6" i="14"/>
  <c r="I7" i="14" s="1"/>
  <c r="I8" i="14" s="1"/>
  <c r="I9" i="14" s="1"/>
  <c r="I10" i="14" s="1"/>
  <c r="I11" i="14" s="1"/>
  <c r="I12" i="14" s="1"/>
  <c r="I13" i="14" s="1"/>
  <c r="I14" i="14" s="1"/>
  <c r="I15" i="14" s="1"/>
  <c r="I16" i="14" s="1"/>
  <c r="I17" i="14" s="1"/>
  <c r="I18" i="14" s="1"/>
  <c r="I19" i="14" s="1"/>
  <c r="I20" i="14" s="1"/>
  <c r="I21" i="14" s="1"/>
  <c r="I22" i="14" s="1"/>
  <c r="I23" i="14" s="1"/>
  <c r="I24" i="14" s="1"/>
  <c r="H6" i="14"/>
  <c r="E6" i="14"/>
  <c r="E7" i="14" s="1"/>
  <c r="E8" i="14" s="1"/>
  <c r="E9" i="14" s="1"/>
  <c r="E10" i="14" s="1"/>
  <c r="E11" i="14" s="1"/>
  <c r="E12" i="14" s="1"/>
  <c r="E13" i="14" s="1"/>
  <c r="E14" i="14" s="1"/>
  <c r="E15" i="14" s="1"/>
  <c r="E16" i="14" s="1"/>
  <c r="E17" i="14" s="1"/>
  <c r="E18" i="14" s="1"/>
  <c r="E19" i="14" s="1"/>
  <c r="E20" i="14" s="1"/>
  <c r="E21" i="14" s="1"/>
  <c r="E22" i="14" s="1"/>
  <c r="E23" i="14" s="1"/>
  <c r="E24" i="14" s="1"/>
  <c r="D6" i="14"/>
  <c r="B6" i="14"/>
  <c r="S5" i="14"/>
  <c r="B5" i="14"/>
  <c r="S35" i="13"/>
  <c r="B35" i="13"/>
  <c r="S34" i="13"/>
  <c r="B34" i="13"/>
  <c r="S33" i="13"/>
  <c r="B33" i="13"/>
  <c r="S32" i="13"/>
  <c r="B32" i="13"/>
  <c r="S31" i="13"/>
  <c r="B31" i="13"/>
  <c r="S30" i="13"/>
  <c r="B30" i="13"/>
  <c r="S29" i="13"/>
  <c r="B29" i="13"/>
  <c r="S28" i="13"/>
  <c r="B28" i="13"/>
  <c r="S27" i="13"/>
  <c r="B27" i="13"/>
  <c r="S26" i="13"/>
  <c r="B26" i="13"/>
  <c r="S25" i="13"/>
  <c r="B25" i="13"/>
  <c r="S24" i="13"/>
  <c r="B24" i="13"/>
  <c r="S23" i="13"/>
  <c r="B23" i="13"/>
  <c r="S22" i="13"/>
  <c r="B22" i="13"/>
  <c r="S21" i="13"/>
  <c r="B21" i="13"/>
  <c r="S20" i="13"/>
  <c r="B20" i="13"/>
  <c r="S19" i="13"/>
  <c r="B19" i="13"/>
  <c r="S18" i="13"/>
  <c r="B18" i="13"/>
  <c r="S17" i="13"/>
  <c r="B17" i="13"/>
  <c r="S16" i="13"/>
  <c r="B16" i="13"/>
  <c r="S15" i="13"/>
  <c r="B15" i="13"/>
  <c r="S14" i="13"/>
  <c r="B14" i="13"/>
  <c r="S13" i="13"/>
  <c r="B13" i="13"/>
  <c r="S12" i="13"/>
  <c r="B12" i="13"/>
  <c r="S11" i="13"/>
  <c r="B11" i="13"/>
  <c r="S10" i="13"/>
  <c r="B10" i="13"/>
  <c r="S9" i="13"/>
  <c r="B9" i="13"/>
  <c r="S8" i="13"/>
  <c r="B8" i="13"/>
  <c r="S7" i="13"/>
  <c r="B7" i="13"/>
  <c r="ID6" i="13"/>
  <c r="ID7" i="13" s="1"/>
  <c r="ID8" i="13" s="1"/>
  <c r="ID9" i="13" s="1"/>
  <c r="ID10" i="13" s="1"/>
  <c r="ID11" i="13" s="1"/>
  <c r="ID12" i="13" s="1"/>
  <c r="ID13" i="13" s="1"/>
  <c r="ID14" i="13" s="1"/>
  <c r="ID15" i="13" s="1"/>
  <c r="ID16" i="13" s="1"/>
  <c r="ID17" i="13" s="1"/>
  <c r="ID18" i="13" s="1"/>
  <c r="ID19" i="13" s="1"/>
  <c r="ID20" i="13" s="1"/>
  <c r="ID21" i="13" s="1"/>
  <c r="ID22" i="13" s="1"/>
  <c r="ID23" i="13" s="1"/>
  <c r="ID24" i="13" s="1"/>
  <c r="ID25" i="13" s="1"/>
  <c r="ID26" i="13" s="1"/>
  <c r="ID27" i="13" s="1"/>
  <c r="ID28" i="13" s="1"/>
  <c r="ID29" i="13" s="1"/>
  <c r="IC6" i="13"/>
  <c r="HZ6" i="13"/>
  <c r="HZ7" i="13" s="1"/>
  <c r="HZ8" i="13" s="1"/>
  <c r="HZ9" i="13" s="1"/>
  <c r="HZ10" i="13" s="1"/>
  <c r="HZ11" i="13" s="1"/>
  <c r="HZ12" i="13" s="1"/>
  <c r="HZ13" i="13" s="1"/>
  <c r="HZ14" i="13" s="1"/>
  <c r="HZ15" i="13" s="1"/>
  <c r="HZ16" i="13" s="1"/>
  <c r="HZ17" i="13" s="1"/>
  <c r="HZ18" i="13" s="1"/>
  <c r="HZ19" i="13" s="1"/>
  <c r="HZ20" i="13" s="1"/>
  <c r="HZ21" i="13" s="1"/>
  <c r="HZ22" i="13" s="1"/>
  <c r="HZ23" i="13" s="1"/>
  <c r="HZ24" i="13" s="1"/>
  <c r="HZ25" i="13" s="1"/>
  <c r="HZ26" i="13" s="1"/>
  <c r="HZ27" i="13" s="1"/>
  <c r="HZ28" i="13" s="1"/>
  <c r="HZ29" i="13" s="1"/>
  <c r="HY6" i="13"/>
  <c r="GP6" i="13"/>
  <c r="GP7" i="13" s="1"/>
  <c r="GP8" i="13" s="1"/>
  <c r="GP9" i="13" s="1"/>
  <c r="GP10" i="13" s="1"/>
  <c r="GP11" i="13" s="1"/>
  <c r="GP12" i="13" s="1"/>
  <c r="GP13" i="13" s="1"/>
  <c r="GP14" i="13" s="1"/>
  <c r="GP15" i="13" s="1"/>
  <c r="GP16" i="13" s="1"/>
  <c r="GP17" i="13" s="1"/>
  <c r="GP18" i="13" s="1"/>
  <c r="GP19" i="13" s="1"/>
  <c r="GP20" i="13" s="1"/>
  <c r="GP21" i="13" s="1"/>
  <c r="GP22" i="13" s="1"/>
  <c r="GP23" i="13" s="1"/>
  <c r="GP24" i="13" s="1"/>
  <c r="GP25" i="13" s="1"/>
  <c r="GP26" i="13" s="1"/>
  <c r="GP27" i="13" s="1"/>
  <c r="GP28" i="13" s="1"/>
  <c r="GP29" i="13" s="1"/>
  <c r="GO6" i="13"/>
  <c r="FF6" i="13"/>
  <c r="FF7" i="13" s="1"/>
  <c r="FF8" i="13" s="1"/>
  <c r="FF9" i="13" s="1"/>
  <c r="FF10" i="13" s="1"/>
  <c r="FF11" i="13" s="1"/>
  <c r="FF12" i="13" s="1"/>
  <c r="FF13" i="13" s="1"/>
  <c r="FF14" i="13" s="1"/>
  <c r="FF15" i="13" s="1"/>
  <c r="FF16" i="13" s="1"/>
  <c r="FF17" i="13" s="1"/>
  <c r="FF18" i="13" s="1"/>
  <c r="FF19" i="13" s="1"/>
  <c r="FF20" i="13" s="1"/>
  <c r="FF21" i="13" s="1"/>
  <c r="FF22" i="13" s="1"/>
  <c r="FF23" i="13" s="1"/>
  <c r="FF24" i="13" s="1"/>
  <c r="FF25" i="13" s="1"/>
  <c r="FF26" i="13" s="1"/>
  <c r="FF27" i="13" s="1"/>
  <c r="FF28" i="13" s="1"/>
  <c r="FF29" i="13" s="1"/>
  <c r="FE6" i="13"/>
  <c r="DV6" i="13"/>
  <c r="DV7" i="13" s="1"/>
  <c r="DV8" i="13" s="1"/>
  <c r="DV9" i="13" s="1"/>
  <c r="DV10" i="13" s="1"/>
  <c r="DV11" i="13" s="1"/>
  <c r="DV12" i="13" s="1"/>
  <c r="DV13" i="13" s="1"/>
  <c r="DV14" i="13" s="1"/>
  <c r="DV15" i="13" s="1"/>
  <c r="DV16" i="13" s="1"/>
  <c r="DV17" i="13" s="1"/>
  <c r="DV18" i="13" s="1"/>
  <c r="DV19" i="13" s="1"/>
  <c r="DV20" i="13" s="1"/>
  <c r="DV21" i="13" s="1"/>
  <c r="DV22" i="13" s="1"/>
  <c r="DV23" i="13" s="1"/>
  <c r="DV24" i="13" s="1"/>
  <c r="DV25" i="13" s="1"/>
  <c r="DV26" i="13" s="1"/>
  <c r="DV27" i="13" s="1"/>
  <c r="DV28" i="13" s="1"/>
  <c r="DV29" i="13" s="1"/>
  <c r="DU6" i="13"/>
  <c r="CL6" i="13"/>
  <c r="CL7" i="13" s="1"/>
  <c r="CL8" i="13" s="1"/>
  <c r="CL9" i="13" s="1"/>
  <c r="CL10" i="13" s="1"/>
  <c r="CL11" i="13" s="1"/>
  <c r="CL12" i="13" s="1"/>
  <c r="CL13" i="13" s="1"/>
  <c r="CL14" i="13" s="1"/>
  <c r="CL15" i="13" s="1"/>
  <c r="CL16" i="13" s="1"/>
  <c r="CL17" i="13" s="1"/>
  <c r="CL18" i="13" s="1"/>
  <c r="CL19" i="13" s="1"/>
  <c r="CL20" i="13" s="1"/>
  <c r="CL21" i="13" s="1"/>
  <c r="CL22" i="13" s="1"/>
  <c r="CL23" i="13" s="1"/>
  <c r="CL24" i="13" s="1"/>
  <c r="CL25" i="13" s="1"/>
  <c r="CL26" i="13" s="1"/>
  <c r="CL27" i="13" s="1"/>
  <c r="CL28" i="13" s="1"/>
  <c r="CL29" i="13" s="1"/>
  <c r="CK6" i="13"/>
  <c r="BB6" i="13"/>
  <c r="BB7" i="13" s="1"/>
  <c r="BB8" i="13" s="1"/>
  <c r="BB9" i="13" s="1"/>
  <c r="BB10" i="13" s="1"/>
  <c r="BB11" i="13" s="1"/>
  <c r="BB12" i="13" s="1"/>
  <c r="BB13" i="13" s="1"/>
  <c r="BB14" i="13" s="1"/>
  <c r="BB15" i="13" s="1"/>
  <c r="BB16" i="13" s="1"/>
  <c r="BB17" i="13" s="1"/>
  <c r="BB18" i="13" s="1"/>
  <c r="BB19" i="13" s="1"/>
  <c r="BB20" i="13" s="1"/>
  <c r="BB21" i="13" s="1"/>
  <c r="BB22" i="13" s="1"/>
  <c r="BB23" i="13" s="1"/>
  <c r="BB24" i="13" s="1"/>
  <c r="BB25" i="13" s="1"/>
  <c r="BB26" i="13" s="1"/>
  <c r="BB27" i="13" s="1"/>
  <c r="BB28" i="13" s="1"/>
  <c r="BB29" i="13" s="1"/>
  <c r="BA6" i="13"/>
  <c r="S6" i="13"/>
  <c r="Q6" i="13"/>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P6" i="13"/>
  <c r="M6" i="13"/>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L6" i="13"/>
  <c r="I6" i="13"/>
  <c r="I7" i="13" s="1"/>
  <c r="I8" i="13" s="1"/>
  <c r="I9" i="13" s="1"/>
  <c r="I10" i="13" s="1"/>
  <c r="I11" i="13" s="1"/>
  <c r="I12" i="13" s="1"/>
  <c r="I13" i="13" s="1"/>
  <c r="I14" i="13" s="1"/>
  <c r="I15" i="13" s="1"/>
  <c r="I16" i="13" s="1"/>
  <c r="I17" i="13" s="1"/>
  <c r="I18" i="13" s="1"/>
  <c r="I19" i="13" s="1"/>
  <c r="I20" i="13" s="1"/>
  <c r="I21" i="13" s="1"/>
  <c r="I22" i="13" s="1"/>
  <c r="I23" i="13" s="1"/>
  <c r="I24" i="13" s="1"/>
  <c r="I25" i="13" s="1"/>
  <c r="I26" i="13" s="1"/>
  <c r="I27" i="13" s="1"/>
  <c r="I28" i="13" s="1"/>
  <c r="I29" i="13" s="1"/>
  <c r="H6" i="13"/>
  <c r="E6" i="13"/>
  <c r="E7" i="13" s="1"/>
  <c r="E8" i="13" s="1"/>
  <c r="E9" i="13" s="1"/>
  <c r="E10" i="13" s="1"/>
  <c r="E11" i="13" s="1"/>
  <c r="E12" i="13" s="1"/>
  <c r="E13" i="13" s="1"/>
  <c r="E14" i="13" s="1"/>
  <c r="E15" i="13" s="1"/>
  <c r="E16" i="13" s="1"/>
  <c r="E17" i="13" s="1"/>
  <c r="E18" i="13" s="1"/>
  <c r="E19" i="13" s="1"/>
  <c r="E20" i="13" s="1"/>
  <c r="E21" i="13" s="1"/>
  <c r="E22" i="13" s="1"/>
  <c r="E23" i="13" s="1"/>
  <c r="E24" i="13" s="1"/>
  <c r="E25" i="13" s="1"/>
  <c r="E26" i="13" s="1"/>
  <c r="E27" i="13" s="1"/>
  <c r="E28" i="13" s="1"/>
  <c r="E29" i="13" s="1"/>
  <c r="D6" i="13"/>
  <c r="B6" i="13"/>
  <c r="S5" i="13"/>
  <c r="B5" i="13"/>
  <c r="S35" i="12"/>
  <c r="B35" i="12"/>
  <c r="S34" i="12"/>
  <c r="B34" i="12"/>
  <c r="S33" i="12"/>
  <c r="B33" i="12"/>
  <c r="S32" i="12"/>
  <c r="B32" i="12"/>
  <c r="S31" i="12"/>
  <c r="B31" i="12"/>
  <c r="S30" i="12"/>
  <c r="B30" i="12"/>
  <c r="S29" i="12"/>
  <c r="B29" i="12"/>
  <c r="S28" i="12"/>
  <c r="B28" i="12"/>
  <c r="S27" i="12"/>
  <c r="B27" i="12"/>
  <c r="S26" i="12"/>
  <c r="B26" i="12"/>
  <c r="S25" i="12"/>
  <c r="B25" i="12"/>
  <c r="S24" i="12"/>
  <c r="B24" i="12"/>
  <c r="S23" i="12"/>
  <c r="B23" i="12"/>
  <c r="S22" i="12"/>
  <c r="B22" i="12"/>
  <c r="S21" i="12"/>
  <c r="B21" i="12"/>
  <c r="S20" i="12"/>
  <c r="B20" i="12"/>
  <c r="S19" i="12"/>
  <c r="B19" i="12"/>
  <c r="S18" i="12"/>
  <c r="B18" i="12"/>
  <c r="S17" i="12"/>
  <c r="B17" i="12"/>
  <c r="S16" i="12"/>
  <c r="B16" i="12"/>
  <c r="S15" i="12"/>
  <c r="B15" i="12"/>
  <c r="S14" i="12"/>
  <c r="B14" i="12"/>
  <c r="S13" i="12"/>
  <c r="B13" i="12"/>
  <c r="S12" i="12"/>
  <c r="B12" i="12"/>
  <c r="S11" i="12"/>
  <c r="B11" i="12"/>
  <c r="S10" i="12"/>
  <c r="B10" i="12"/>
  <c r="S9" i="12"/>
  <c r="B9" i="12"/>
  <c r="S8" i="12"/>
  <c r="B8" i="12"/>
  <c r="S7" i="12"/>
  <c r="B7" i="12"/>
  <c r="ID6" i="12"/>
  <c r="ID7" i="12" s="1"/>
  <c r="ID8" i="12" s="1"/>
  <c r="ID9" i="12" s="1"/>
  <c r="ID10" i="12" s="1"/>
  <c r="ID11" i="12" s="1"/>
  <c r="ID12" i="12" s="1"/>
  <c r="ID13" i="12" s="1"/>
  <c r="ID14" i="12" s="1"/>
  <c r="ID15" i="12" s="1"/>
  <c r="ID16" i="12" s="1"/>
  <c r="ID17" i="12" s="1"/>
  <c r="ID18" i="12" s="1"/>
  <c r="ID19" i="12" s="1"/>
  <c r="ID20" i="12" s="1"/>
  <c r="ID21" i="12" s="1"/>
  <c r="ID22" i="12" s="1"/>
  <c r="ID23" i="12" s="1"/>
  <c r="ID24" i="12" s="1"/>
  <c r="ID25" i="12" s="1"/>
  <c r="ID26" i="12" s="1"/>
  <c r="ID27" i="12" s="1"/>
  <c r="ID28" i="12" s="1"/>
  <c r="ID29" i="12" s="1"/>
  <c r="IC6" i="12"/>
  <c r="HZ6" i="12"/>
  <c r="HZ7" i="12" s="1"/>
  <c r="HZ8" i="12" s="1"/>
  <c r="HZ9" i="12" s="1"/>
  <c r="HZ10" i="12" s="1"/>
  <c r="HZ11" i="12" s="1"/>
  <c r="HZ12" i="12" s="1"/>
  <c r="HZ13" i="12" s="1"/>
  <c r="HZ14" i="12" s="1"/>
  <c r="HZ15" i="12" s="1"/>
  <c r="HZ16" i="12" s="1"/>
  <c r="HZ17" i="12" s="1"/>
  <c r="HZ18" i="12" s="1"/>
  <c r="HZ19" i="12" s="1"/>
  <c r="HZ20" i="12" s="1"/>
  <c r="HZ21" i="12" s="1"/>
  <c r="HZ22" i="12" s="1"/>
  <c r="HZ23" i="12" s="1"/>
  <c r="HZ24" i="12" s="1"/>
  <c r="HZ25" i="12" s="1"/>
  <c r="HZ26" i="12" s="1"/>
  <c r="HZ27" i="12" s="1"/>
  <c r="HZ28" i="12" s="1"/>
  <c r="HZ29" i="12" s="1"/>
  <c r="HY6" i="12"/>
  <c r="GP6" i="12"/>
  <c r="GP7" i="12" s="1"/>
  <c r="GP8" i="12" s="1"/>
  <c r="GP9" i="12" s="1"/>
  <c r="GP10" i="12" s="1"/>
  <c r="GP11" i="12" s="1"/>
  <c r="GP12" i="12" s="1"/>
  <c r="GP13" i="12" s="1"/>
  <c r="GP14" i="12" s="1"/>
  <c r="GP15" i="12" s="1"/>
  <c r="GP16" i="12" s="1"/>
  <c r="GP17" i="12" s="1"/>
  <c r="GP18" i="12" s="1"/>
  <c r="GP19" i="12" s="1"/>
  <c r="GP20" i="12" s="1"/>
  <c r="GP21" i="12" s="1"/>
  <c r="GP22" i="12" s="1"/>
  <c r="GP23" i="12" s="1"/>
  <c r="GP24" i="12" s="1"/>
  <c r="GP25" i="12" s="1"/>
  <c r="GP26" i="12" s="1"/>
  <c r="GP27" i="12" s="1"/>
  <c r="GP28" i="12" s="1"/>
  <c r="GP29" i="12" s="1"/>
  <c r="GO6" i="12"/>
  <c r="FF6" i="12"/>
  <c r="FF7" i="12" s="1"/>
  <c r="FF8" i="12" s="1"/>
  <c r="FF9" i="12" s="1"/>
  <c r="FF10" i="12" s="1"/>
  <c r="FF11" i="12" s="1"/>
  <c r="FF12" i="12" s="1"/>
  <c r="FF13" i="12" s="1"/>
  <c r="FF14" i="12" s="1"/>
  <c r="FF15" i="12" s="1"/>
  <c r="FF16" i="12" s="1"/>
  <c r="FF17" i="12" s="1"/>
  <c r="FF18" i="12" s="1"/>
  <c r="FF19" i="12" s="1"/>
  <c r="FF20" i="12" s="1"/>
  <c r="FF21" i="12" s="1"/>
  <c r="FF22" i="12" s="1"/>
  <c r="FF23" i="12" s="1"/>
  <c r="FF24" i="12" s="1"/>
  <c r="FF25" i="12" s="1"/>
  <c r="FF26" i="12" s="1"/>
  <c r="FF27" i="12" s="1"/>
  <c r="FF28" i="12" s="1"/>
  <c r="FF29" i="12" s="1"/>
  <c r="FE6" i="12"/>
  <c r="DV6" i="12"/>
  <c r="DV7" i="12" s="1"/>
  <c r="DV8" i="12" s="1"/>
  <c r="DV9" i="12" s="1"/>
  <c r="DV10" i="12" s="1"/>
  <c r="DV11" i="12" s="1"/>
  <c r="DV12" i="12" s="1"/>
  <c r="DV13" i="12" s="1"/>
  <c r="DV14" i="12" s="1"/>
  <c r="DV15" i="12" s="1"/>
  <c r="DV16" i="12" s="1"/>
  <c r="DV17" i="12" s="1"/>
  <c r="DV18" i="12" s="1"/>
  <c r="DV19" i="12" s="1"/>
  <c r="DV20" i="12" s="1"/>
  <c r="DV21" i="12" s="1"/>
  <c r="DV22" i="12" s="1"/>
  <c r="DV23" i="12" s="1"/>
  <c r="DV24" i="12" s="1"/>
  <c r="DV25" i="12" s="1"/>
  <c r="DV26" i="12" s="1"/>
  <c r="DV27" i="12" s="1"/>
  <c r="DV28" i="12" s="1"/>
  <c r="DV29" i="12" s="1"/>
  <c r="DU6" i="12"/>
  <c r="CL6" i="12"/>
  <c r="CL7" i="12" s="1"/>
  <c r="CL8" i="12" s="1"/>
  <c r="CL9" i="12" s="1"/>
  <c r="CL10" i="12" s="1"/>
  <c r="CL11" i="12" s="1"/>
  <c r="CL12" i="12" s="1"/>
  <c r="CL13" i="12" s="1"/>
  <c r="CL14" i="12" s="1"/>
  <c r="CL15" i="12" s="1"/>
  <c r="CL16" i="12" s="1"/>
  <c r="CL17" i="12" s="1"/>
  <c r="CL18" i="12" s="1"/>
  <c r="CL19" i="12" s="1"/>
  <c r="CL20" i="12" s="1"/>
  <c r="CL21" i="12" s="1"/>
  <c r="CL22" i="12" s="1"/>
  <c r="CL23" i="12" s="1"/>
  <c r="CL24" i="12" s="1"/>
  <c r="CL25" i="12" s="1"/>
  <c r="CL26" i="12" s="1"/>
  <c r="CL27" i="12" s="1"/>
  <c r="CL28" i="12" s="1"/>
  <c r="CL29" i="12" s="1"/>
  <c r="CK6" i="12"/>
  <c r="BB6" i="12"/>
  <c r="BB7" i="12" s="1"/>
  <c r="BB8" i="12" s="1"/>
  <c r="BB9" i="12" s="1"/>
  <c r="BB10" i="12" s="1"/>
  <c r="BB11" i="12" s="1"/>
  <c r="BB12" i="12" s="1"/>
  <c r="BB13" i="12" s="1"/>
  <c r="BB14" i="12" s="1"/>
  <c r="BB15" i="12" s="1"/>
  <c r="BB16" i="12" s="1"/>
  <c r="BB17" i="12" s="1"/>
  <c r="BB18" i="12" s="1"/>
  <c r="BB19" i="12" s="1"/>
  <c r="BB20" i="12" s="1"/>
  <c r="BB21" i="12" s="1"/>
  <c r="BB22" i="12" s="1"/>
  <c r="BB23" i="12" s="1"/>
  <c r="BB24" i="12" s="1"/>
  <c r="BB25" i="12" s="1"/>
  <c r="BB26" i="12" s="1"/>
  <c r="BB27" i="12" s="1"/>
  <c r="BB28" i="12" s="1"/>
  <c r="BB29" i="12" s="1"/>
  <c r="BA6" i="12"/>
  <c r="S6" i="12"/>
  <c r="Q6" i="12"/>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P6" i="12"/>
  <c r="M6" i="12"/>
  <c r="M7" i="12" s="1"/>
  <c r="M8" i="12" s="1"/>
  <c r="M9" i="12" s="1"/>
  <c r="M10" i="12" s="1"/>
  <c r="M11" i="12" s="1"/>
  <c r="M12" i="12" s="1"/>
  <c r="M13" i="12" s="1"/>
  <c r="M14" i="12" s="1"/>
  <c r="M15" i="12" s="1"/>
  <c r="M16" i="12" s="1"/>
  <c r="M17" i="12" s="1"/>
  <c r="M18" i="12" s="1"/>
  <c r="M19" i="12" s="1"/>
  <c r="M20" i="12" s="1"/>
  <c r="M21" i="12" s="1"/>
  <c r="M22" i="12" s="1"/>
  <c r="M23" i="12" s="1"/>
  <c r="M24" i="12" s="1"/>
  <c r="M25" i="12" s="1"/>
  <c r="M26" i="12" s="1"/>
  <c r="M27" i="12" s="1"/>
  <c r="M28" i="12" s="1"/>
  <c r="M29" i="12" s="1"/>
  <c r="L6" i="12"/>
  <c r="I6" i="12"/>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H6" i="12"/>
  <c r="E6" i="12"/>
  <c r="E7" i="12" s="1"/>
  <c r="E8" i="12" s="1"/>
  <c r="E9" i="12" s="1"/>
  <c r="E10" i="12" s="1"/>
  <c r="E11" i="12" s="1"/>
  <c r="E12" i="12" s="1"/>
  <c r="E13" i="12" s="1"/>
  <c r="E14" i="12" s="1"/>
  <c r="E15" i="12" s="1"/>
  <c r="E16" i="12" s="1"/>
  <c r="E17" i="12" s="1"/>
  <c r="E18" i="12" s="1"/>
  <c r="E19" i="12" s="1"/>
  <c r="E20" i="12" s="1"/>
  <c r="E21" i="12" s="1"/>
  <c r="E22" i="12" s="1"/>
  <c r="E23" i="12" s="1"/>
  <c r="E24" i="12" s="1"/>
  <c r="E25" i="12" s="1"/>
  <c r="E26" i="12" s="1"/>
  <c r="E27" i="12" s="1"/>
  <c r="E28" i="12" s="1"/>
  <c r="E29" i="12" s="1"/>
  <c r="D6" i="12"/>
  <c r="B6" i="12"/>
  <c r="S5" i="12"/>
  <c r="B5" i="12"/>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S104" i="11"/>
  <c r="S103" i="11"/>
  <c r="S102" i="11"/>
  <c r="S101" i="11"/>
  <c r="S100" i="11"/>
  <c r="S99" i="11"/>
  <c r="S98" i="11"/>
  <c r="S97" i="11"/>
  <c r="S96" i="11"/>
  <c r="S95" i="11"/>
  <c r="S94" i="11"/>
  <c r="S93" i="11"/>
  <c r="S92" i="11"/>
  <c r="S91" i="1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B29" i="11"/>
  <c r="S28" i="11"/>
  <c r="B28" i="11"/>
  <c r="S27" i="11"/>
  <c r="B27" i="11"/>
  <c r="S26" i="11"/>
  <c r="B26" i="11"/>
  <c r="S25" i="11"/>
  <c r="B25" i="11"/>
  <c r="S24" i="11"/>
  <c r="B24" i="11"/>
  <c r="S23" i="11"/>
  <c r="B23" i="11"/>
  <c r="S22" i="11"/>
  <c r="B22" i="11"/>
  <c r="S21" i="11"/>
  <c r="B21" i="11"/>
  <c r="S20" i="11"/>
  <c r="B20" i="11"/>
  <c r="S19" i="11"/>
  <c r="B19" i="11"/>
  <c r="S18" i="11"/>
  <c r="B18" i="11"/>
  <c r="S17" i="11"/>
  <c r="B17" i="11"/>
  <c r="S16" i="11"/>
  <c r="B16" i="11"/>
  <c r="S15" i="11"/>
  <c r="B15" i="11"/>
  <c r="S14" i="11"/>
  <c r="B14" i="11"/>
  <c r="S13" i="11"/>
  <c r="B13" i="11"/>
  <c r="S12" i="11"/>
  <c r="B12" i="11"/>
  <c r="S11" i="11"/>
  <c r="B11" i="11"/>
  <c r="S10" i="11"/>
  <c r="B10" i="11"/>
  <c r="S9" i="11"/>
  <c r="B9" i="11"/>
  <c r="S8" i="11"/>
  <c r="B8" i="11"/>
  <c r="S7" i="11"/>
  <c r="B7" i="11"/>
  <c r="ID6" i="11"/>
  <c r="ID7" i="11" s="1"/>
  <c r="ID8" i="11" s="1"/>
  <c r="ID9" i="11" s="1"/>
  <c r="ID10" i="11" s="1"/>
  <c r="ID11" i="11" s="1"/>
  <c r="ID12" i="11" s="1"/>
  <c r="ID13" i="11" s="1"/>
  <c r="ID14" i="11" s="1"/>
  <c r="ID15" i="11" s="1"/>
  <c r="ID16" i="11" s="1"/>
  <c r="ID17" i="11" s="1"/>
  <c r="ID18" i="11" s="1"/>
  <c r="ID19" i="11" s="1"/>
  <c r="ID20" i="11" s="1"/>
  <c r="ID21" i="11" s="1"/>
  <c r="ID22" i="11" s="1"/>
  <c r="ID23" i="11" s="1"/>
  <c r="ID24" i="11" s="1"/>
  <c r="ID25" i="11" s="1"/>
  <c r="ID26" i="11" s="1"/>
  <c r="ID27" i="11" s="1"/>
  <c r="ID28" i="11" s="1"/>
  <c r="ID29" i="11" s="1"/>
  <c r="IC6" i="11"/>
  <c r="HZ6" i="11"/>
  <c r="HZ7" i="11" s="1"/>
  <c r="HZ8" i="11" s="1"/>
  <c r="HZ9" i="11" s="1"/>
  <c r="HZ10" i="11" s="1"/>
  <c r="HZ11" i="11" s="1"/>
  <c r="HZ12" i="11" s="1"/>
  <c r="HZ13" i="11" s="1"/>
  <c r="HZ14" i="11" s="1"/>
  <c r="HZ15" i="11" s="1"/>
  <c r="HZ16" i="11" s="1"/>
  <c r="HZ17" i="11" s="1"/>
  <c r="HZ18" i="11" s="1"/>
  <c r="HZ19" i="11" s="1"/>
  <c r="HZ20" i="11" s="1"/>
  <c r="HZ21" i="11" s="1"/>
  <c r="HZ22" i="11" s="1"/>
  <c r="HZ23" i="11" s="1"/>
  <c r="HZ24" i="11" s="1"/>
  <c r="HZ25" i="11" s="1"/>
  <c r="HZ26" i="11" s="1"/>
  <c r="HZ27" i="11" s="1"/>
  <c r="HZ28" i="11" s="1"/>
  <c r="HZ29" i="11" s="1"/>
  <c r="HY6" i="11"/>
  <c r="GP6" i="11"/>
  <c r="GP7" i="11" s="1"/>
  <c r="GP8" i="11" s="1"/>
  <c r="GP9" i="11" s="1"/>
  <c r="GP10" i="11" s="1"/>
  <c r="GP11" i="11" s="1"/>
  <c r="GP12" i="11" s="1"/>
  <c r="GP13" i="11" s="1"/>
  <c r="GP14" i="11" s="1"/>
  <c r="GP15" i="11" s="1"/>
  <c r="GP16" i="11" s="1"/>
  <c r="GP17" i="11" s="1"/>
  <c r="GP18" i="11" s="1"/>
  <c r="GP19" i="11" s="1"/>
  <c r="GP20" i="11" s="1"/>
  <c r="GP21" i="11" s="1"/>
  <c r="GP22" i="11" s="1"/>
  <c r="GP23" i="11" s="1"/>
  <c r="GP24" i="11" s="1"/>
  <c r="GP25" i="11" s="1"/>
  <c r="GP26" i="11" s="1"/>
  <c r="GP27" i="11" s="1"/>
  <c r="GP28" i="11" s="1"/>
  <c r="GP29" i="11" s="1"/>
  <c r="GO6" i="11"/>
  <c r="FF6" i="11"/>
  <c r="FF7" i="11" s="1"/>
  <c r="FF8" i="11" s="1"/>
  <c r="FF9" i="11" s="1"/>
  <c r="FF10" i="11" s="1"/>
  <c r="FF11" i="11" s="1"/>
  <c r="FF12" i="11" s="1"/>
  <c r="FF13" i="11" s="1"/>
  <c r="FF14" i="11" s="1"/>
  <c r="FF15" i="11" s="1"/>
  <c r="FF16" i="11" s="1"/>
  <c r="FF17" i="11" s="1"/>
  <c r="FF18" i="11" s="1"/>
  <c r="FF19" i="11" s="1"/>
  <c r="FF20" i="11" s="1"/>
  <c r="FF21" i="11" s="1"/>
  <c r="FF22" i="11" s="1"/>
  <c r="FF23" i="11" s="1"/>
  <c r="FF24" i="11" s="1"/>
  <c r="FF25" i="11" s="1"/>
  <c r="FF26" i="11" s="1"/>
  <c r="FF27" i="11" s="1"/>
  <c r="FF28" i="11" s="1"/>
  <c r="FF29" i="11" s="1"/>
  <c r="FE6" i="11"/>
  <c r="DV6" i="11"/>
  <c r="DV7" i="11" s="1"/>
  <c r="DV8" i="11" s="1"/>
  <c r="DV9" i="11" s="1"/>
  <c r="DV10" i="11" s="1"/>
  <c r="DV11" i="11" s="1"/>
  <c r="DV12" i="11" s="1"/>
  <c r="DV13" i="11" s="1"/>
  <c r="DV14" i="11" s="1"/>
  <c r="DV15" i="11" s="1"/>
  <c r="DV16" i="11" s="1"/>
  <c r="DV17" i="11" s="1"/>
  <c r="DV18" i="11" s="1"/>
  <c r="DV19" i="11" s="1"/>
  <c r="DV20" i="11" s="1"/>
  <c r="DV21" i="11" s="1"/>
  <c r="DV22" i="11" s="1"/>
  <c r="DV23" i="11" s="1"/>
  <c r="DV24" i="11" s="1"/>
  <c r="DV25" i="11" s="1"/>
  <c r="DV26" i="11" s="1"/>
  <c r="DV27" i="11" s="1"/>
  <c r="DV28" i="11" s="1"/>
  <c r="DV29" i="11" s="1"/>
  <c r="DU6" i="11"/>
  <c r="CL6" i="11"/>
  <c r="CL7" i="11" s="1"/>
  <c r="CL8" i="11" s="1"/>
  <c r="CL9" i="11" s="1"/>
  <c r="CL10" i="11" s="1"/>
  <c r="CL11" i="11" s="1"/>
  <c r="CL12" i="11" s="1"/>
  <c r="CL13" i="11" s="1"/>
  <c r="CL14" i="11" s="1"/>
  <c r="CL15" i="11" s="1"/>
  <c r="CL16" i="11" s="1"/>
  <c r="CL17" i="11" s="1"/>
  <c r="CL18" i="11" s="1"/>
  <c r="CL19" i="11" s="1"/>
  <c r="CL20" i="11" s="1"/>
  <c r="CL21" i="11" s="1"/>
  <c r="CL22" i="11" s="1"/>
  <c r="CL23" i="11" s="1"/>
  <c r="CL24" i="11" s="1"/>
  <c r="CL25" i="11" s="1"/>
  <c r="CL26" i="11" s="1"/>
  <c r="CL27" i="11" s="1"/>
  <c r="CL28" i="11" s="1"/>
  <c r="CL29" i="11" s="1"/>
  <c r="CK6" i="11"/>
  <c r="BB6" i="11"/>
  <c r="BB7" i="11" s="1"/>
  <c r="BB8" i="11" s="1"/>
  <c r="BB9" i="11" s="1"/>
  <c r="BB10" i="11" s="1"/>
  <c r="BB11" i="11" s="1"/>
  <c r="BB12" i="11" s="1"/>
  <c r="BB13" i="11" s="1"/>
  <c r="BB14" i="11" s="1"/>
  <c r="BB15" i="11" s="1"/>
  <c r="BB16" i="11" s="1"/>
  <c r="BB17" i="11" s="1"/>
  <c r="BB18" i="11" s="1"/>
  <c r="BB19" i="11" s="1"/>
  <c r="BB20" i="11" s="1"/>
  <c r="BB21" i="11" s="1"/>
  <c r="BB22" i="11" s="1"/>
  <c r="BB23" i="11" s="1"/>
  <c r="BB24" i="11" s="1"/>
  <c r="BB25" i="11" s="1"/>
  <c r="BB26" i="11" s="1"/>
  <c r="BB27" i="11" s="1"/>
  <c r="BB28" i="11" s="1"/>
  <c r="BB29" i="11" s="1"/>
  <c r="BA6" i="11"/>
  <c r="S6" i="11"/>
  <c r="Q6" i="11"/>
  <c r="Q7" i="11" s="1"/>
  <c r="Q8" i="11" s="1"/>
  <c r="Q9" i="11" s="1"/>
  <c r="Q10" i="11" s="1"/>
  <c r="Q11" i="11" s="1"/>
  <c r="Q12" i="11" s="1"/>
  <c r="Q13" i="11" s="1"/>
  <c r="Q14" i="11" s="1"/>
  <c r="Q15" i="11" s="1"/>
  <c r="Q16" i="11" s="1"/>
  <c r="Q17" i="11" s="1"/>
  <c r="Q18" i="11" s="1"/>
  <c r="Q19" i="11" s="1"/>
  <c r="Q20" i="11" s="1"/>
  <c r="Q21" i="11" s="1"/>
  <c r="Q22" i="11" s="1"/>
  <c r="Q23" i="11" s="1"/>
  <c r="Q24" i="11" s="1"/>
  <c r="Q25" i="11" s="1"/>
  <c r="Q26" i="11" s="1"/>
  <c r="Q27" i="11" s="1"/>
  <c r="Q28" i="11" s="1"/>
  <c r="Q29" i="11" s="1"/>
  <c r="P6" i="11"/>
  <c r="M6" i="11"/>
  <c r="M7" i="11" s="1"/>
  <c r="M8" i="11" s="1"/>
  <c r="M9" i="11" s="1"/>
  <c r="M10" i="11" s="1"/>
  <c r="M11" i="11" s="1"/>
  <c r="M12" i="11" s="1"/>
  <c r="M13" i="11" s="1"/>
  <c r="M14" i="11" s="1"/>
  <c r="M15" i="11" s="1"/>
  <c r="M16" i="11" s="1"/>
  <c r="M17" i="11" s="1"/>
  <c r="M18" i="11" s="1"/>
  <c r="M19" i="11" s="1"/>
  <c r="M20" i="11" s="1"/>
  <c r="M21" i="11" s="1"/>
  <c r="M22" i="11" s="1"/>
  <c r="M23" i="11" s="1"/>
  <c r="M24" i="11" s="1"/>
  <c r="M25" i="11" s="1"/>
  <c r="M26" i="11" s="1"/>
  <c r="M27" i="11" s="1"/>
  <c r="M28" i="11" s="1"/>
  <c r="M29" i="11" s="1"/>
  <c r="L6" i="11"/>
  <c r="I6" i="11"/>
  <c r="I7" i="11" s="1"/>
  <c r="I8" i="11" s="1"/>
  <c r="I9" i="11" s="1"/>
  <c r="I10" i="11" s="1"/>
  <c r="I11" i="11" s="1"/>
  <c r="I12" i="11" s="1"/>
  <c r="I13" i="11" s="1"/>
  <c r="I14" i="11" s="1"/>
  <c r="I15" i="11" s="1"/>
  <c r="I16" i="11" s="1"/>
  <c r="I17" i="11" s="1"/>
  <c r="I18" i="11" s="1"/>
  <c r="I19" i="11" s="1"/>
  <c r="I20" i="11" s="1"/>
  <c r="I21" i="11" s="1"/>
  <c r="I22" i="11" s="1"/>
  <c r="I23" i="11" s="1"/>
  <c r="I24" i="11" s="1"/>
  <c r="I25" i="11" s="1"/>
  <c r="I26" i="11" s="1"/>
  <c r="I27" i="11" s="1"/>
  <c r="I28" i="11" s="1"/>
  <c r="I29" i="11" s="1"/>
  <c r="H6" i="1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D6" i="11"/>
  <c r="B6" i="11"/>
  <c r="S5" i="11"/>
  <c r="B5" i="11"/>
  <c r="Q18" i="14" l="1"/>
  <c r="Q19" i="14" s="1"/>
  <c r="Q20" i="14" s="1"/>
  <c r="Q21" i="14" s="1"/>
  <c r="Q22" i="14" s="1"/>
  <c r="Q23" i="14" s="1"/>
  <c r="Q24" i="14" s="1"/>
  <c r="M18" i="14"/>
  <c r="M19" i="14" s="1"/>
  <c r="M20" i="14" s="1"/>
  <c r="M21" i="14" s="1"/>
  <c r="M22" i="14" s="1"/>
  <c r="M23" i="14" s="1"/>
  <c r="M24" i="14" s="1"/>
  <c r="ID6" i="2" l="1"/>
  <c r="ID7" i="2" s="1"/>
  <c r="ID8" i="2" s="1"/>
  <c r="ID9" i="2" s="1"/>
  <c r="ID10" i="2" s="1"/>
  <c r="ID11" i="2" s="1"/>
  <c r="ID12" i="2" s="1"/>
  <c r="ID13" i="2" s="1"/>
  <c r="ID14" i="2" s="1"/>
  <c r="ID15" i="2" s="1"/>
  <c r="ID16" i="2" s="1"/>
  <c r="ID17" i="2" s="1"/>
  <c r="ID18" i="2" s="1"/>
  <c r="ID19" i="2" s="1"/>
  <c r="ID20" i="2" s="1"/>
  <c r="ID21" i="2" s="1"/>
  <c r="ID22" i="2" s="1"/>
  <c r="ID23" i="2" s="1"/>
  <c r="ID24" i="2" s="1"/>
  <c r="ID25" i="2" s="1"/>
  <c r="ID26" i="2" s="1"/>
  <c r="ID27" i="2" s="1"/>
  <c r="ID28" i="2" s="1"/>
  <c r="ID29" i="2" s="1"/>
  <c r="HZ6" i="2"/>
  <c r="HZ7" i="2" s="1"/>
  <c r="HZ8" i="2" s="1"/>
  <c r="HZ9" i="2" s="1"/>
  <c r="HZ10" i="2" s="1"/>
  <c r="HZ11" i="2" s="1"/>
  <c r="HZ12" i="2" s="1"/>
  <c r="HZ13" i="2" s="1"/>
  <c r="HZ14" i="2" s="1"/>
  <c r="HZ15" i="2" s="1"/>
  <c r="HZ16" i="2" s="1"/>
  <c r="HZ17" i="2" s="1"/>
  <c r="HZ18" i="2" s="1"/>
  <c r="HZ19" i="2" s="1"/>
  <c r="HZ20" i="2" s="1"/>
  <c r="HZ21" i="2" s="1"/>
  <c r="HZ22" i="2" s="1"/>
  <c r="HZ23" i="2" s="1"/>
  <c r="HZ24" i="2" s="1"/>
  <c r="HZ25" i="2" s="1"/>
  <c r="HZ26" i="2" s="1"/>
  <c r="HZ27" i="2" s="1"/>
  <c r="HZ28" i="2" s="1"/>
  <c r="HZ29" i="2" s="1"/>
  <c r="GP6" i="2"/>
  <c r="GP7" i="2" s="1"/>
  <c r="GP8" i="2" s="1"/>
  <c r="GP9" i="2" s="1"/>
  <c r="GP10" i="2" s="1"/>
  <c r="GP11" i="2" s="1"/>
  <c r="GP12" i="2" s="1"/>
  <c r="GP13" i="2" s="1"/>
  <c r="GP14" i="2" s="1"/>
  <c r="GP15" i="2" s="1"/>
  <c r="GP16" i="2" s="1"/>
  <c r="GP17" i="2" s="1"/>
  <c r="GP18" i="2" s="1"/>
  <c r="GP19" i="2" s="1"/>
  <c r="GP20" i="2" s="1"/>
  <c r="GP21" i="2" s="1"/>
  <c r="GP22" i="2" s="1"/>
  <c r="GP23" i="2" s="1"/>
  <c r="GP24" i="2" s="1"/>
  <c r="GP25" i="2" s="1"/>
  <c r="GP26" i="2" s="1"/>
  <c r="GP27" i="2" s="1"/>
  <c r="GP28" i="2" s="1"/>
  <c r="GP29" i="2" s="1"/>
  <c r="FF6" i="2"/>
  <c r="FF7" i="2" s="1"/>
  <c r="FF8" i="2" s="1"/>
  <c r="FF9" i="2" s="1"/>
  <c r="FF10" i="2" s="1"/>
  <c r="FF11" i="2" s="1"/>
  <c r="FF12" i="2" s="1"/>
  <c r="FF13" i="2" s="1"/>
  <c r="FF14" i="2" s="1"/>
  <c r="FF15" i="2" s="1"/>
  <c r="FF16" i="2" s="1"/>
  <c r="FF17" i="2" s="1"/>
  <c r="FF18" i="2" s="1"/>
  <c r="FF19" i="2" s="1"/>
  <c r="FF20" i="2" s="1"/>
  <c r="FF21" i="2" s="1"/>
  <c r="FF22" i="2" s="1"/>
  <c r="FF23" i="2" s="1"/>
  <c r="FF24" i="2" s="1"/>
  <c r="FF25" i="2" s="1"/>
  <c r="FF26" i="2" s="1"/>
  <c r="FF27" i="2" s="1"/>
  <c r="FF28" i="2" s="1"/>
  <c r="FF29" i="2" s="1"/>
  <c r="DV6" i="2"/>
  <c r="DV7" i="2" s="1"/>
  <c r="DV8" i="2" s="1"/>
  <c r="DV9" i="2" s="1"/>
  <c r="DV10" i="2" s="1"/>
  <c r="DV11" i="2" s="1"/>
  <c r="DV12" i="2" s="1"/>
  <c r="DV13" i="2" s="1"/>
  <c r="DV14" i="2" s="1"/>
  <c r="DV15" i="2" s="1"/>
  <c r="DV16" i="2" s="1"/>
  <c r="DV17" i="2" s="1"/>
  <c r="DV18" i="2" s="1"/>
  <c r="DV19" i="2" s="1"/>
  <c r="DV20" i="2" s="1"/>
  <c r="DV21" i="2" s="1"/>
  <c r="DV22" i="2" s="1"/>
  <c r="DV23" i="2" s="1"/>
  <c r="DV24" i="2" s="1"/>
  <c r="DV25" i="2" s="1"/>
  <c r="DV26" i="2" s="1"/>
  <c r="DV27" i="2" s="1"/>
  <c r="DV28" i="2" s="1"/>
  <c r="DV29" i="2" s="1"/>
  <c r="CL6" i="2"/>
  <c r="CL7" i="2" s="1"/>
  <c r="CL8" i="2" s="1"/>
  <c r="CL9" i="2" s="1"/>
  <c r="CL10" i="2" s="1"/>
  <c r="CL11" i="2" s="1"/>
  <c r="CL12" i="2" s="1"/>
  <c r="CL13" i="2" s="1"/>
  <c r="CL14" i="2" s="1"/>
  <c r="CL15" i="2" s="1"/>
  <c r="CL16" i="2" s="1"/>
  <c r="CL17" i="2" s="1"/>
  <c r="CL18" i="2" s="1"/>
  <c r="CL19" i="2" s="1"/>
  <c r="CL20" i="2" s="1"/>
  <c r="CL21" i="2" s="1"/>
  <c r="CL22" i="2" s="1"/>
  <c r="CL23" i="2" s="1"/>
  <c r="CL24" i="2" s="1"/>
  <c r="CL25" i="2" s="1"/>
  <c r="CL26" i="2" s="1"/>
  <c r="CL27" i="2" s="1"/>
  <c r="CL28" i="2" s="1"/>
  <c r="CL29" i="2" s="1"/>
  <c r="BB6" i="2"/>
  <c r="BB7" i="2" s="1"/>
  <c r="BB8" i="2" s="1"/>
  <c r="BB9" i="2" s="1"/>
  <c r="BB10" i="2" s="1"/>
  <c r="BB11" i="2" s="1"/>
  <c r="BB12" i="2" s="1"/>
  <c r="BB13" i="2" s="1"/>
  <c r="BB14" i="2" s="1"/>
  <c r="BB15" i="2" s="1"/>
  <c r="BB16" i="2" s="1"/>
  <c r="BB17" i="2" s="1"/>
  <c r="BB18" i="2" s="1"/>
  <c r="BB19" i="2" s="1"/>
  <c r="BB20" i="2" s="1"/>
  <c r="BB21" i="2" s="1"/>
  <c r="BB22" i="2" s="1"/>
  <c r="BB23" i="2" s="1"/>
  <c r="BB24" i="2" s="1"/>
  <c r="BB25" i="2" s="1"/>
  <c r="BB26" i="2" s="1"/>
  <c r="BB27" i="2" s="1"/>
  <c r="BB28" i="2" s="1"/>
  <c r="BB29" i="2" s="1"/>
  <c r="Q6" i="2"/>
  <c r="Q7" i="2" s="1"/>
  <c r="Q8" i="2" s="1"/>
  <c r="Q9" i="2" s="1"/>
  <c r="Q10" i="2" s="1"/>
  <c r="Q11" i="2" s="1"/>
  <c r="Q12" i="2" s="1"/>
  <c r="Q13" i="2" s="1"/>
  <c r="Q14" i="2" s="1"/>
  <c r="Q15" i="2" s="1"/>
  <c r="Q16" i="2" s="1"/>
  <c r="Q17" i="2" s="1"/>
  <c r="Q18" i="2" s="1"/>
  <c r="Q19" i="2" s="1"/>
  <c r="Q20" i="2" s="1"/>
  <c r="Q21" i="2" s="1"/>
  <c r="Q22" i="2" s="1"/>
  <c r="Q23" i="2" s="1"/>
  <c r="Q24" i="2" s="1"/>
  <c r="Q25" i="2" s="1"/>
  <c r="Q26" i="2" s="1"/>
  <c r="Q27" i="2" s="1"/>
  <c r="Q28" i="2" s="1"/>
  <c r="Q29" i="2" s="1"/>
  <c r="M6" i="2"/>
  <c r="M7" i="2" s="1"/>
  <c r="M8" i="2" s="1"/>
  <c r="M9" i="2" s="1"/>
  <c r="M10" i="2" s="1"/>
  <c r="M11" i="2" s="1"/>
  <c r="M12" i="2" s="1"/>
  <c r="M13" i="2" s="1"/>
  <c r="M14" i="2" s="1"/>
  <c r="M15" i="2" s="1"/>
  <c r="M16" i="2" s="1"/>
  <c r="M17" i="2" s="1"/>
  <c r="M18" i="2" s="1"/>
  <c r="M19" i="2" s="1"/>
  <c r="M20" i="2" s="1"/>
  <c r="M21" i="2" s="1"/>
  <c r="M22" i="2" s="1"/>
  <c r="M23" i="2" s="1"/>
  <c r="M24" i="2" s="1"/>
  <c r="M25" i="2" s="1"/>
  <c r="M26" i="2" s="1"/>
  <c r="M27" i="2" s="1"/>
  <c r="M28" i="2" s="1"/>
  <c r="M29" i="2" s="1"/>
  <c r="I6" i="2"/>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E6" i="2"/>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HX35" i="13" a="1"/>
  <c r="HX34" i="13" a="1"/>
  <c r="HX33" i="13" a="1"/>
  <c r="HX32" i="13" a="1"/>
  <c r="HX31" i="13" a="1"/>
  <c r="HX30" i="13" a="1"/>
  <c r="HX29" i="13" a="1"/>
  <c r="HX28" i="13" a="1"/>
  <c r="HX27" i="13" a="1"/>
  <c r="HX26" i="13" a="1"/>
  <c r="HX25" i="13" a="1"/>
  <c r="HX24" i="13" a="1"/>
  <c r="HX23" i="13" a="1"/>
  <c r="HX22" i="13" a="1"/>
  <c r="HX21" i="13" a="1"/>
  <c r="HX20" i="13" a="1"/>
  <c r="HX19" i="13" a="1"/>
  <c r="HX18" i="13" a="1"/>
  <c r="HX17" i="13" a="1"/>
  <c r="HX16" i="13" a="1"/>
  <c r="HX15" i="13" a="1"/>
  <c r="HX14" i="13" a="1"/>
  <c r="HX13" i="13" a="1"/>
  <c r="HX12" i="13" a="1"/>
  <c r="HX11" i="13" a="1"/>
  <c r="HX10" i="13" a="1"/>
  <c r="HX9" i="13" a="1"/>
  <c r="HX8" i="13" a="1"/>
  <c r="HX7" i="13" a="1"/>
  <c r="HX6" i="13" a="1"/>
  <c r="HX5" i="13" a="1"/>
  <c r="HX35" i="12" a="1"/>
  <c r="HX34" i="12" a="1"/>
  <c r="HX33" i="12" a="1"/>
  <c r="HX32" i="12" a="1"/>
  <c r="HX31" i="12" a="1"/>
  <c r="HX30" i="12" a="1"/>
  <c r="HX29" i="12" a="1"/>
  <c r="HX28" i="12" a="1"/>
  <c r="HX27" i="12" a="1"/>
  <c r="HX26" i="12" a="1"/>
  <c r="HX25" i="12" a="1"/>
  <c r="HX24" i="12" a="1"/>
  <c r="HX23" i="12" a="1"/>
  <c r="HX22" i="12" a="1"/>
  <c r="HX21" i="12" a="1"/>
  <c r="HX20" i="12" a="1"/>
  <c r="HX19" i="12" a="1"/>
  <c r="HX18" i="12" a="1"/>
  <c r="HX17" i="12" a="1"/>
  <c r="HX16" i="12" a="1"/>
  <c r="HX15" i="12" a="1"/>
  <c r="HX14" i="12" a="1"/>
  <c r="HX13" i="12" a="1"/>
  <c r="HX12" i="12" a="1"/>
  <c r="HX11" i="12" a="1"/>
  <c r="HX10" i="12" a="1"/>
  <c r="HX9" i="12" a="1"/>
  <c r="HX8" i="12" a="1"/>
  <c r="HX7" i="12" a="1"/>
  <c r="HX6" i="12" a="1"/>
  <c r="HX5" i="12" a="1"/>
  <c r="HX24" i="14" a="1"/>
  <c r="HX23" i="14" a="1"/>
  <c r="HX22" i="14" a="1"/>
  <c r="HX21" i="14" a="1"/>
  <c r="HX20" i="14" a="1"/>
  <c r="HX19" i="14" a="1"/>
  <c r="HX18" i="14" a="1"/>
  <c r="HX17" i="14" a="1"/>
  <c r="HX16" i="14" a="1"/>
  <c r="HX15" i="14" a="1"/>
  <c r="HX14" i="14" a="1"/>
  <c r="HX13" i="14" a="1"/>
  <c r="HX12" i="14" a="1"/>
  <c r="HX11" i="14" a="1"/>
  <c r="HX10" i="14" a="1"/>
  <c r="HX9" i="14" a="1"/>
  <c r="HX8" i="14" a="1"/>
  <c r="HX7" i="14" a="1"/>
  <c r="HX6" i="14" a="1"/>
  <c r="HX5" i="14" a="1"/>
  <c r="HX24" i="15" a="1"/>
  <c r="HX23" i="15" a="1"/>
  <c r="HX22" i="15" a="1"/>
  <c r="HX21" i="15" a="1"/>
  <c r="HX20" i="15" a="1"/>
  <c r="HX19" i="15" a="1"/>
  <c r="HX18" i="15" a="1"/>
  <c r="HX17" i="15" a="1"/>
  <c r="HX16" i="15" a="1"/>
  <c r="HX15" i="15" a="1"/>
  <c r="HX14" i="15" a="1"/>
  <c r="HX13" i="15" a="1"/>
  <c r="HX12" i="15" a="1"/>
  <c r="HX11" i="15" a="1"/>
  <c r="HX10" i="15" a="1"/>
  <c r="HX9" i="15" a="1"/>
  <c r="HX8" i="15" a="1"/>
  <c r="HX7" i="15" a="1"/>
  <c r="HX6" i="15" a="1"/>
  <c r="HX5" i="15" a="1"/>
  <c r="HX104" i="11" a="1"/>
  <c r="HX103" i="11" a="1"/>
  <c r="HX102" i="11" a="1"/>
  <c r="HX101" i="11" a="1"/>
  <c r="HX100" i="11" a="1"/>
  <c r="HX99" i="11" a="1"/>
  <c r="HX98" i="11" a="1"/>
  <c r="HX97" i="11" a="1"/>
  <c r="HX96" i="11" a="1"/>
  <c r="HX95" i="11" a="1"/>
  <c r="HX94" i="11" a="1"/>
  <c r="HX93" i="11" a="1"/>
  <c r="HX92" i="11" a="1"/>
  <c r="HX91" i="11" a="1"/>
  <c r="HX90" i="11" a="1"/>
  <c r="HX89" i="11" a="1"/>
  <c r="HX88" i="11" a="1"/>
  <c r="HX87" i="11" a="1"/>
  <c r="HX86" i="11" a="1"/>
  <c r="HX85" i="11" a="1"/>
  <c r="HX84" i="11" a="1"/>
  <c r="HX83" i="11" a="1"/>
  <c r="HX82" i="11" a="1"/>
  <c r="HX81" i="11" a="1"/>
  <c r="HX80" i="11" a="1"/>
  <c r="HX79" i="11" a="1"/>
  <c r="HX78" i="11" a="1"/>
  <c r="HX77" i="11" a="1"/>
  <c r="HX76" i="11" a="1"/>
  <c r="HX75" i="11" a="1"/>
  <c r="HX74" i="11" a="1"/>
  <c r="HX73" i="11" a="1"/>
  <c r="HX72" i="11" a="1"/>
  <c r="HX71" i="11" a="1"/>
  <c r="HX70" i="11" a="1"/>
  <c r="HX69" i="11" a="1"/>
  <c r="HX68" i="11" a="1"/>
  <c r="HX67" i="11" a="1"/>
  <c r="HX66" i="11" a="1"/>
  <c r="HX65" i="11" a="1"/>
  <c r="HX64" i="11" a="1"/>
  <c r="HX63" i="11" a="1"/>
  <c r="HX62" i="11" a="1"/>
  <c r="HX61" i="11" a="1"/>
  <c r="HX60" i="11" a="1"/>
  <c r="HX59" i="11" a="1"/>
  <c r="HX58" i="11" a="1"/>
  <c r="HX57" i="11" a="1"/>
  <c r="HX56" i="11" a="1"/>
  <c r="HX55" i="11" a="1"/>
  <c r="HX54" i="11" a="1"/>
  <c r="HX53" i="11" a="1"/>
  <c r="HX52" i="11" a="1"/>
  <c r="HX51" i="11" a="1"/>
  <c r="HX50" i="11" a="1"/>
  <c r="HX49" i="11" a="1"/>
  <c r="HX48" i="11" a="1"/>
  <c r="HX47" i="11" a="1"/>
  <c r="HX46" i="11" a="1"/>
  <c r="HX45" i="11" a="1"/>
  <c r="HX44" i="11" a="1"/>
  <c r="HX43" i="11" a="1"/>
  <c r="HX42" i="11" a="1"/>
  <c r="HX41" i="11" a="1"/>
  <c r="HX40" i="11" a="1"/>
  <c r="HX39" i="11" a="1"/>
  <c r="HX38" i="11" a="1"/>
  <c r="HX37" i="11" a="1"/>
  <c r="HX36" i="11" a="1"/>
  <c r="HX35" i="11" a="1"/>
  <c r="HX34" i="11" a="1"/>
  <c r="HX33" i="11" a="1"/>
  <c r="HX32" i="11" a="1"/>
  <c r="HX31" i="11" a="1"/>
  <c r="HX30" i="11" a="1"/>
  <c r="HX29" i="11" a="1"/>
  <c r="HX28" i="11" a="1"/>
  <c r="HX27" i="11" a="1"/>
  <c r="HX26" i="11" a="1"/>
  <c r="HX25" i="11" a="1"/>
  <c r="HX24" i="11" a="1"/>
  <c r="HX23" i="11" a="1"/>
  <c r="HX22" i="11" a="1"/>
  <c r="HX21" i="11" a="1"/>
  <c r="HX20" i="11" a="1"/>
  <c r="HX19" i="11" a="1"/>
  <c r="HX18" i="11" a="1"/>
  <c r="HX17" i="11" a="1"/>
  <c r="HX16" i="11" a="1"/>
  <c r="HX15" i="11" a="1"/>
  <c r="HX14" i="11" a="1"/>
  <c r="HX13" i="11" a="1"/>
  <c r="HX12" i="11" a="1"/>
  <c r="HX11" i="11" a="1"/>
  <c r="HX10" i="11" a="1"/>
  <c r="HX9" i="11" a="1"/>
  <c r="HX8" i="11" a="1"/>
  <c r="HX7" i="11" a="1"/>
  <c r="HX6" i="11" a="1"/>
  <c r="HX5" i="11" a="1"/>
  <c r="GN35" i="13" a="1"/>
  <c r="GN34" i="13" a="1"/>
  <c r="GN33" i="13" a="1"/>
  <c r="GN32" i="13" a="1"/>
  <c r="GN31" i="13" a="1"/>
  <c r="GN30" i="13" a="1"/>
  <c r="GN29" i="13" a="1"/>
  <c r="GN28" i="13" a="1"/>
  <c r="GN27" i="13" a="1"/>
  <c r="GN26" i="13" a="1"/>
  <c r="GN25" i="13" a="1"/>
  <c r="GN24" i="13" a="1"/>
  <c r="GN23" i="13" a="1"/>
  <c r="GN22" i="13" a="1"/>
  <c r="GN21" i="13" a="1"/>
  <c r="GN20" i="13" a="1"/>
  <c r="GN19" i="13" a="1"/>
  <c r="GN18" i="13" a="1"/>
  <c r="GN17" i="13" a="1"/>
  <c r="GN16" i="13" a="1"/>
  <c r="GN15" i="13" a="1"/>
  <c r="GN14" i="13" a="1"/>
  <c r="GN13" i="13" a="1"/>
  <c r="GN12" i="13" a="1"/>
  <c r="GN11" i="13" a="1"/>
  <c r="GN10" i="13" a="1"/>
  <c r="GN9" i="13" a="1"/>
  <c r="GN8" i="13" a="1"/>
  <c r="GN7" i="13" a="1"/>
  <c r="GN6" i="13" a="1"/>
  <c r="GN5" i="13" a="1"/>
  <c r="GN35" i="12" a="1"/>
  <c r="GN34" i="12" a="1"/>
  <c r="GN33" i="12" a="1"/>
  <c r="GN32" i="12" a="1"/>
  <c r="GN31" i="12" a="1"/>
  <c r="GN30" i="12" a="1"/>
  <c r="GN29" i="12" a="1"/>
  <c r="GN28" i="12" a="1"/>
  <c r="GN27" i="12" a="1"/>
  <c r="GN26" i="12" a="1"/>
  <c r="GN25" i="12" a="1"/>
  <c r="GN24" i="12" a="1"/>
  <c r="GN23" i="12" a="1"/>
  <c r="GN22" i="12" a="1"/>
  <c r="GN21" i="12" a="1"/>
  <c r="GN20" i="12" a="1"/>
  <c r="GN19" i="12" a="1"/>
  <c r="GN18" i="12" a="1"/>
  <c r="GN17" i="12" a="1"/>
  <c r="GN16" i="12" a="1"/>
  <c r="GN15" i="12" a="1"/>
  <c r="GN14" i="12" a="1"/>
  <c r="GN13" i="12" a="1"/>
  <c r="GN12" i="12" a="1"/>
  <c r="GN11" i="12" a="1"/>
  <c r="GN10" i="12" a="1"/>
  <c r="GN9" i="12" a="1"/>
  <c r="GN8" i="12" a="1"/>
  <c r="GN7" i="12" a="1"/>
  <c r="GN6" i="12" a="1"/>
  <c r="GN5" i="12" a="1"/>
  <c r="GN24" i="14" a="1"/>
  <c r="GN23" i="14" a="1"/>
  <c r="GN22" i="14" a="1"/>
  <c r="GN21" i="14" a="1"/>
  <c r="GN20" i="14" a="1"/>
  <c r="GN19" i="14" a="1"/>
  <c r="GN18" i="14" a="1"/>
  <c r="GN17" i="14" a="1"/>
  <c r="GN16" i="14" a="1"/>
  <c r="GN15" i="14" a="1"/>
  <c r="GN14" i="14" a="1"/>
  <c r="GN13" i="14" a="1"/>
  <c r="GN12" i="14" a="1"/>
  <c r="GN11" i="14" a="1"/>
  <c r="GN10" i="14" a="1"/>
  <c r="GN9" i="14" a="1"/>
  <c r="GN8" i="14" a="1"/>
  <c r="GN7" i="14" a="1"/>
  <c r="GN6" i="14" a="1"/>
  <c r="GN5" i="14" a="1"/>
  <c r="GN24" i="15" a="1"/>
  <c r="GN23" i="15" a="1"/>
  <c r="GN22" i="15" a="1"/>
  <c r="GN21" i="15" a="1"/>
  <c r="GN20" i="15" a="1"/>
  <c r="GN19" i="15" a="1"/>
  <c r="GN18" i="15" a="1"/>
  <c r="GN17" i="15" a="1"/>
  <c r="GN16" i="15" a="1"/>
  <c r="GN15" i="15" a="1"/>
  <c r="GN14" i="15" a="1"/>
  <c r="GN13" i="15" a="1"/>
  <c r="GN12" i="15" a="1"/>
  <c r="GN11" i="15" a="1"/>
  <c r="GN10" i="15" a="1"/>
  <c r="GN9" i="15" a="1"/>
  <c r="GN8" i="15" a="1"/>
  <c r="GN7" i="15" a="1"/>
  <c r="GN6" i="15" a="1"/>
  <c r="GN5" i="15" a="1"/>
  <c r="GN104" i="11" a="1"/>
  <c r="GN103" i="11" a="1"/>
  <c r="GN102" i="11" a="1"/>
  <c r="GN101" i="11" a="1"/>
  <c r="GN100" i="11" a="1"/>
  <c r="GN99" i="11" a="1"/>
  <c r="GN98" i="11" a="1"/>
  <c r="GN97" i="11" a="1"/>
  <c r="GN96" i="11" a="1"/>
  <c r="GN95" i="11" a="1"/>
  <c r="GN94" i="11" a="1"/>
  <c r="GN93" i="11" a="1"/>
  <c r="GN92" i="11" a="1"/>
  <c r="GN91" i="11" a="1"/>
  <c r="GN90" i="11" a="1"/>
  <c r="GN89" i="11" a="1"/>
  <c r="GN88" i="11" a="1"/>
  <c r="GN87" i="11" a="1"/>
  <c r="GN86" i="11" a="1"/>
  <c r="GN85" i="11" a="1"/>
  <c r="GN84" i="11" a="1"/>
  <c r="GN83" i="11" a="1"/>
  <c r="GN82" i="11" a="1"/>
  <c r="GN81" i="11" a="1"/>
  <c r="GN80" i="11" a="1"/>
  <c r="GN79" i="11" a="1"/>
  <c r="GN78" i="11" a="1"/>
  <c r="GN77" i="11" a="1"/>
  <c r="GN76" i="11" a="1"/>
  <c r="GN75" i="11" a="1"/>
  <c r="GN74" i="11" a="1"/>
  <c r="GN73" i="11" a="1"/>
  <c r="GN72" i="11" a="1"/>
  <c r="GN71" i="11" a="1"/>
  <c r="GN70" i="11" a="1"/>
  <c r="GN69" i="11" a="1"/>
  <c r="GN68" i="11" a="1"/>
  <c r="GN67" i="11" a="1"/>
  <c r="GN66" i="11" a="1"/>
  <c r="GN65" i="11" a="1"/>
  <c r="GN64" i="11" a="1"/>
  <c r="GN63" i="11" a="1"/>
  <c r="GN62" i="11" a="1"/>
  <c r="GN61" i="11" a="1"/>
  <c r="GN60" i="11" a="1"/>
  <c r="GN59" i="11" a="1"/>
  <c r="GN58" i="11" a="1"/>
  <c r="GN57" i="11" a="1"/>
  <c r="GN56" i="11" a="1"/>
  <c r="GN55" i="11" a="1"/>
  <c r="GN54" i="11" a="1"/>
  <c r="GN53" i="11" a="1"/>
  <c r="GN52" i="11" a="1"/>
  <c r="GN51" i="11" a="1"/>
  <c r="GN50" i="11" a="1"/>
  <c r="GN49" i="11" a="1"/>
  <c r="GN48" i="11" a="1"/>
  <c r="GN47" i="11" a="1"/>
  <c r="GN46" i="11" a="1"/>
  <c r="GN45" i="11" a="1"/>
  <c r="GN44" i="11" a="1"/>
  <c r="GN43" i="11" a="1"/>
  <c r="GN42" i="11" a="1"/>
  <c r="GN41" i="11" a="1"/>
  <c r="GN40" i="11" a="1"/>
  <c r="GN39" i="11" a="1"/>
  <c r="GN38" i="11" a="1"/>
  <c r="GN37" i="11" a="1"/>
  <c r="GN36" i="11" a="1"/>
  <c r="GN35" i="11" a="1"/>
  <c r="GN34" i="11" a="1"/>
  <c r="GN33" i="11" a="1"/>
  <c r="GN32" i="11" a="1"/>
  <c r="GN31" i="11" a="1"/>
  <c r="GN30" i="11" a="1"/>
  <c r="GN29" i="11" a="1"/>
  <c r="GN28" i="11" a="1"/>
  <c r="GN27" i="11" a="1"/>
  <c r="GN26" i="11" a="1"/>
  <c r="GN25" i="11" a="1"/>
  <c r="GN24" i="11" a="1"/>
  <c r="GN23" i="11" a="1"/>
  <c r="GN22" i="11" a="1"/>
  <c r="GN21" i="11" a="1"/>
  <c r="GN20" i="11" a="1"/>
  <c r="GN19" i="11" a="1"/>
  <c r="GN18" i="11" a="1"/>
  <c r="GN17" i="11" a="1"/>
  <c r="GN16" i="11" a="1"/>
  <c r="GN15" i="11" a="1"/>
  <c r="GN14" i="11" a="1"/>
  <c r="GN13" i="11" a="1"/>
  <c r="GN12" i="11" a="1"/>
  <c r="GN11" i="11" a="1"/>
  <c r="GN10" i="11" a="1"/>
  <c r="GN9" i="11" a="1"/>
  <c r="GN8" i="11" a="1"/>
  <c r="GN7" i="11" a="1"/>
  <c r="GN6" i="11" a="1"/>
  <c r="GN5" i="11" a="1"/>
  <c r="FD35" i="13" a="1"/>
  <c r="FD34" i="13" a="1"/>
  <c r="FD33" i="13" a="1"/>
  <c r="FD32" i="13" a="1"/>
  <c r="FD31" i="13" a="1"/>
  <c r="FD30" i="13" a="1"/>
  <c r="FD29" i="13" a="1"/>
  <c r="FD28" i="13" a="1"/>
  <c r="FD27" i="13" a="1"/>
  <c r="FD26" i="13" a="1"/>
  <c r="FD25" i="13" a="1"/>
  <c r="FD24" i="13" a="1"/>
  <c r="FD23" i="13" a="1"/>
  <c r="FD22" i="13" a="1"/>
  <c r="FD21" i="13" a="1"/>
  <c r="FD20" i="13" a="1"/>
  <c r="FD19" i="13" a="1"/>
  <c r="FD18" i="13" a="1"/>
  <c r="FD17" i="13" a="1"/>
  <c r="FD16" i="13" a="1"/>
  <c r="FD15" i="13" a="1"/>
  <c r="FD14" i="13" a="1"/>
  <c r="FD13" i="13" a="1"/>
  <c r="FD12" i="13" a="1"/>
  <c r="FD11" i="13" a="1"/>
  <c r="FD10" i="13" a="1"/>
  <c r="FD9" i="13" a="1"/>
  <c r="FD8" i="13" a="1"/>
  <c r="FD7" i="13" a="1"/>
  <c r="FD6" i="13" a="1"/>
  <c r="FD5" i="13" a="1"/>
  <c r="FD35" i="12" a="1"/>
  <c r="FD34" i="12" a="1"/>
  <c r="FD33" i="12" a="1"/>
  <c r="FD32" i="12" a="1"/>
  <c r="FD31" i="12" a="1"/>
  <c r="FD30" i="12" a="1"/>
  <c r="FD29" i="12" a="1"/>
  <c r="FD28" i="12" a="1"/>
  <c r="FD27" i="12" a="1"/>
  <c r="FD26" i="12" a="1"/>
  <c r="FD25" i="12" a="1"/>
  <c r="FD24" i="12" a="1"/>
  <c r="FD23" i="12" a="1"/>
  <c r="FD22" i="12" a="1"/>
  <c r="FD21" i="12" a="1"/>
  <c r="FD20" i="12" a="1"/>
  <c r="FD19" i="12" a="1"/>
  <c r="FD18" i="12" a="1"/>
  <c r="FD17" i="12" a="1"/>
  <c r="FD16" i="12" a="1"/>
  <c r="FD15" i="12" a="1"/>
  <c r="FD14" i="12" a="1"/>
  <c r="FD13" i="12" a="1"/>
  <c r="FD12" i="12" a="1"/>
  <c r="FD11" i="12" a="1"/>
  <c r="FD10" i="12" a="1"/>
  <c r="FD9" i="12" a="1"/>
  <c r="FD8" i="12" a="1"/>
  <c r="FD7" i="12" a="1"/>
  <c r="FD6" i="12" a="1"/>
  <c r="FD5" i="12" a="1"/>
  <c r="FD24" i="14" a="1"/>
  <c r="FD23" i="14" a="1"/>
  <c r="FD22" i="14" a="1"/>
  <c r="FD21" i="14" a="1"/>
  <c r="FD20" i="14" a="1"/>
  <c r="FD19" i="14" a="1"/>
  <c r="FD18" i="14" a="1"/>
  <c r="FD17" i="14" a="1"/>
  <c r="FD16" i="14" a="1"/>
  <c r="FD15" i="14" a="1"/>
  <c r="FD14" i="14" a="1"/>
  <c r="FD13" i="14" a="1"/>
  <c r="FD12" i="14" a="1"/>
  <c r="FD11" i="14" a="1"/>
  <c r="FD10" i="14" a="1"/>
  <c r="FD9" i="14" a="1"/>
  <c r="FD8" i="14" a="1"/>
  <c r="FD7" i="14" a="1"/>
  <c r="FD6" i="14" a="1"/>
  <c r="FD5" i="14" a="1"/>
  <c r="FD24" i="15" a="1"/>
  <c r="FD23" i="15" a="1"/>
  <c r="FD22" i="15" a="1"/>
  <c r="FD21" i="15" a="1"/>
  <c r="FD20" i="15" a="1"/>
  <c r="FD19" i="15" a="1"/>
  <c r="FD18" i="15" a="1"/>
  <c r="FD17" i="15" a="1"/>
  <c r="FD16" i="15" a="1"/>
  <c r="FD15" i="15" a="1"/>
  <c r="FD14" i="15" a="1"/>
  <c r="FD13" i="15" a="1"/>
  <c r="FD12" i="15" a="1"/>
  <c r="FD11" i="15" a="1"/>
  <c r="FD10" i="15" a="1"/>
  <c r="FD9" i="15" a="1"/>
  <c r="FD8" i="15" a="1"/>
  <c r="FD7" i="15" a="1"/>
  <c r="FD6" i="15" a="1"/>
  <c r="FD5" i="15" a="1"/>
  <c r="FD104" i="11" a="1"/>
  <c r="FD103" i="11" a="1"/>
  <c r="FD102" i="11" a="1"/>
  <c r="FD101" i="11" a="1"/>
  <c r="FD100" i="11" a="1"/>
  <c r="FD99" i="11" a="1"/>
  <c r="FD98" i="11" a="1"/>
  <c r="FD97" i="11" a="1"/>
  <c r="FD96" i="11" a="1"/>
  <c r="FD95" i="11" a="1"/>
  <c r="FD94" i="11" a="1"/>
  <c r="FD93" i="11" a="1"/>
  <c r="FD92" i="11" a="1"/>
  <c r="FD91" i="11" a="1"/>
  <c r="FD90" i="11" a="1"/>
  <c r="FD89" i="11" a="1"/>
  <c r="FD88" i="11" a="1"/>
  <c r="FD87" i="11" a="1"/>
  <c r="FD86" i="11" a="1"/>
  <c r="FD85" i="11" a="1"/>
  <c r="FD84" i="11" a="1"/>
  <c r="FD83" i="11" a="1"/>
  <c r="FD82" i="11" a="1"/>
  <c r="FD81" i="11" a="1"/>
  <c r="FD80" i="11" a="1"/>
  <c r="FD79" i="11" a="1"/>
  <c r="FD78" i="11" a="1"/>
  <c r="FD77" i="11" a="1"/>
  <c r="FD76" i="11" a="1"/>
  <c r="FD75" i="11" a="1"/>
  <c r="FD74" i="11" a="1"/>
  <c r="FD73" i="11" a="1"/>
  <c r="FD72" i="11" a="1"/>
  <c r="FD71" i="11" a="1"/>
  <c r="FD70" i="11" a="1"/>
  <c r="FD69" i="11" a="1"/>
  <c r="FD68" i="11" a="1"/>
  <c r="FD67" i="11" a="1"/>
  <c r="FD66" i="11" a="1"/>
  <c r="FD65" i="11" a="1"/>
  <c r="FD64" i="11" a="1"/>
  <c r="FD63" i="11" a="1"/>
  <c r="FD62" i="11" a="1"/>
  <c r="FD61" i="11" a="1"/>
  <c r="FD60" i="11" a="1"/>
  <c r="FD59" i="11" a="1"/>
  <c r="FD58" i="11" a="1"/>
  <c r="FD57" i="11" a="1"/>
  <c r="FD56" i="11" a="1"/>
  <c r="FD55" i="11" a="1"/>
  <c r="FD54" i="11" a="1"/>
  <c r="FD53" i="11" a="1"/>
  <c r="FD52" i="11" a="1"/>
  <c r="FD51" i="11" a="1"/>
  <c r="FD50" i="11" a="1"/>
  <c r="FD49" i="11" a="1"/>
  <c r="FD48" i="11" a="1"/>
  <c r="FD47" i="11" a="1"/>
  <c r="FD46" i="11" a="1"/>
  <c r="FD45" i="11" a="1"/>
  <c r="FD44" i="11" a="1"/>
  <c r="FD43" i="11" a="1"/>
  <c r="FD42" i="11" a="1"/>
  <c r="FD41" i="11" a="1"/>
  <c r="FD40" i="11" a="1"/>
  <c r="FD39" i="11" a="1"/>
  <c r="FD38" i="11" a="1"/>
  <c r="FD37" i="11" a="1"/>
  <c r="FD36" i="11" a="1"/>
  <c r="FD35" i="11" a="1"/>
  <c r="FD34" i="11" a="1"/>
  <c r="FD33" i="11" a="1"/>
  <c r="FD32" i="11" a="1"/>
  <c r="FD31" i="11" a="1"/>
  <c r="FD30" i="11" a="1"/>
  <c r="FD29" i="11" a="1"/>
  <c r="FD28" i="11" a="1"/>
  <c r="FD27" i="11" a="1"/>
  <c r="FD26" i="11" a="1"/>
  <c r="FD25" i="11" a="1"/>
  <c r="FD24" i="11" a="1"/>
  <c r="FD23" i="11" a="1"/>
  <c r="FD22" i="11" a="1"/>
  <c r="FD21" i="11" a="1"/>
  <c r="FD20" i="11" a="1"/>
  <c r="FD19" i="11" a="1"/>
  <c r="FD18" i="11" a="1"/>
  <c r="FD17" i="11" a="1"/>
  <c r="FD16" i="11" a="1"/>
  <c r="FD15" i="11" a="1"/>
  <c r="FD14" i="11" a="1"/>
  <c r="FD13" i="11" a="1"/>
  <c r="FD12" i="11" a="1"/>
  <c r="FD11" i="11" a="1"/>
  <c r="FD10" i="11" a="1"/>
  <c r="FD9" i="11" a="1"/>
  <c r="FD8" i="11" a="1"/>
  <c r="FD7" i="11" a="1"/>
  <c r="FD6" i="11" a="1"/>
  <c r="FD5" i="11" a="1"/>
  <c r="DT35" i="13" a="1"/>
  <c r="DT34" i="13" a="1"/>
  <c r="DT33" i="13" a="1"/>
  <c r="DT32" i="13" a="1"/>
  <c r="DT31" i="13" a="1"/>
  <c r="DT30" i="13" a="1"/>
  <c r="DT29" i="13" a="1"/>
  <c r="DT28" i="13" a="1"/>
  <c r="DT27" i="13" a="1"/>
  <c r="DT26" i="13" a="1"/>
  <c r="DT25" i="13" a="1"/>
  <c r="DT24" i="13" a="1"/>
  <c r="DT23" i="13" a="1"/>
  <c r="DT22" i="13" a="1"/>
  <c r="DT21" i="13" a="1"/>
  <c r="DT20" i="13" a="1"/>
  <c r="DT19" i="13" a="1"/>
  <c r="DT18" i="13" a="1"/>
  <c r="DT17" i="13" a="1"/>
  <c r="DT16" i="13" a="1"/>
  <c r="DT15" i="13" a="1"/>
  <c r="DT14" i="13" a="1"/>
  <c r="DT13" i="13" a="1"/>
  <c r="DT12" i="13" a="1"/>
  <c r="DT11" i="13" a="1"/>
  <c r="DT10" i="13" a="1"/>
  <c r="DT9" i="13" a="1"/>
  <c r="DT8" i="13" a="1"/>
  <c r="DT7" i="13" a="1"/>
  <c r="DT6" i="13" a="1"/>
  <c r="DT5" i="13" a="1"/>
  <c r="DT35" i="12" a="1"/>
  <c r="DT34" i="12" a="1"/>
  <c r="DT33" i="12" a="1"/>
  <c r="DT32" i="12" a="1"/>
  <c r="DT31" i="12" a="1"/>
  <c r="DT30" i="12" a="1"/>
  <c r="DT29" i="12" a="1"/>
  <c r="DT28" i="12" a="1"/>
  <c r="DT27" i="12" a="1"/>
  <c r="DT26" i="12" a="1"/>
  <c r="DT25" i="12" a="1"/>
  <c r="DT24" i="12" a="1"/>
  <c r="DT23" i="12" a="1"/>
  <c r="DT22" i="12" a="1"/>
  <c r="DT21" i="12" a="1"/>
  <c r="DT20" i="12" a="1"/>
  <c r="DT19" i="12" a="1"/>
  <c r="DT18" i="12" a="1"/>
  <c r="DT17" i="12" a="1"/>
  <c r="DT16" i="12" a="1"/>
  <c r="DT15" i="12" a="1"/>
  <c r="DT14" i="12" a="1"/>
  <c r="DT13" i="12" a="1"/>
  <c r="DT12" i="12" a="1"/>
  <c r="DT11" i="12" a="1"/>
  <c r="DT10" i="12" a="1"/>
  <c r="DT9" i="12" a="1"/>
  <c r="DT8" i="12" a="1"/>
  <c r="DT7" i="12" a="1"/>
  <c r="DT6" i="12" a="1"/>
  <c r="DT5" i="12" a="1"/>
  <c r="DT24" i="14" a="1"/>
  <c r="DT23" i="14" a="1"/>
  <c r="DT22" i="14" a="1"/>
  <c r="DT21" i="14" a="1"/>
  <c r="DT20" i="14" a="1"/>
  <c r="DT19" i="14" a="1"/>
  <c r="DT18" i="14" a="1"/>
  <c r="DT17" i="14" a="1"/>
  <c r="DT16" i="14" a="1"/>
  <c r="DT15" i="14" a="1"/>
  <c r="DT14" i="14" a="1"/>
  <c r="DT13" i="14" a="1"/>
  <c r="DT12" i="14" a="1"/>
  <c r="DT11" i="14" a="1"/>
  <c r="DT10" i="14" a="1"/>
  <c r="DT9" i="14" a="1"/>
  <c r="DT8" i="14" a="1"/>
  <c r="DT7" i="14" a="1"/>
  <c r="DT6" i="14" a="1"/>
  <c r="DT5" i="14" a="1"/>
  <c r="DT24" i="15" a="1"/>
  <c r="DT23" i="15" a="1"/>
  <c r="DT22" i="15" a="1"/>
  <c r="DT21" i="15" a="1"/>
  <c r="DT20" i="15" a="1"/>
  <c r="DT19" i="15" a="1"/>
  <c r="DT18" i="15" a="1"/>
  <c r="DT17" i="15" a="1"/>
  <c r="DT16" i="15" a="1"/>
  <c r="DT15" i="15" a="1"/>
  <c r="DT14" i="15" a="1"/>
  <c r="DT13" i="15" a="1"/>
  <c r="DT12" i="15" a="1"/>
  <c r="DT11" i="15" a="1"/>
  <c r="DT10" i="15" a="1"/>
  <c r="DT9" i="15" a="1"/>
  <c r="DT8" i="15" a="1"/>
  <c r="DT7" i="15" a="1"/>
  <c r="DT6" i="15" a="1"/>
  <c r="DT5" i="15" a="1"/>
  <c r="DT104" i="11" a="1"/>
  <c r="DT103" i="11" a="1"/>
  <c r="DT102" i="11" a="1"/>
  <c r="DT101" i="11" a="1"/>
  <c r="DT100" i="11" a="1"/>
  <c r="DT99" i="11" a="1"/>
  <c r="DT98" i="11" a="1"/>
  <c r="DT97" i="11" a="1"/>
  <c r="DT96" i="11" a="1"/>
  <c r="DT95" i="11" a="1"/>
  <c r="DT94" i="11" a="1"/>
  <c r="DT93" i="11" a="1"/>
  <c r="DT92" i="11" a="1"/>
  <c r="DT91" i="11" a="1"/>
  <c r="DT90" i="11" a="1"/>
  <c r="DT89" i="11" a="1"/>
  <c r="DT88" i="11" a="1"/>
  <c r="DT87" i="11" a="1"/>
  <c r="DT86" i="11" a="1"/>
  <c r="DT85" i="11" a="1"/>
  <c r="DT84" i="11" a="1"/>
  <c r="DT83" i="11" a="1"/>
  <c r="DT82" i="11" a="1"/>
  <c r="DT81" i="11" a="1"/>
  <c r="DT80" i="11" a="1"/>
  <c r="DT79" i="11" a="1"/>
  <c r="DT78" i="11" a="1"/>
  <c r="DT77" i="11" a="1"/>
  <c r="DT76" i="11" a="1"/>
  <c r="DT75" i="11" a="1"/>
  <c r="DT74" i="11" a="1"/>
  <c r="DT73" i="11" a="1"/>
  <c r="DT72" i="11" a="1"/>
  <c r="DT71" i="11" a="1"/>
  <c r="DT70" i="11" a="1"/>
  <c r="DT69" i="11" a="1"/>
  <c r="DT68" i="11" a="1"/>
  <c r="DT67" i="11" a="1"/>
  <c r="DT66" i="11" a="1"/>
  <c r="DT65" i="11" a="1"/>
  <c r="DT64" i="11" a="1"/>
  <c r="DT63" i="11" a="1"/>
  <c r="DT62" i="11" a="1"/>
  <c r="DT61" i="11" a="1"/>
  <c r="DT60" i="11" a="1"/>
  <c r="DT59" i="11" a="1"/>
  <c r="DT58" i="11" a="1"/>
  <c r="DT57" i="11" a="1"/>
  <c r="DT56" i="11" a="1"/>
  <c r="DT55" i="11" a="1"/>
  <c r="DT54" i="11" a="1"/>
  <c r="DT53" i="11" a="1"/>
  <c r="DT52" i="11" a="1"/>
  <c r="DT51" i="11" a="1"/>
  <c r="DT50" i="11" a="1"/>
  <c r="DT49" i="11" a="1"/>
  <c r="DT48" i="11" a="1"/>
  <c r="DT47" i="11" a="1"/>
  <c r="DT46" i="11" a="1"/>
  <c r="DT45" i="11" a="1"/>
  <c r="DT44" i="11" a="1"/>
  <c r="DT43" i="11" a="1"/>
  <c r="DT42" i="11" a="1"/>
  <c r="DT41" i="11" a="1"/>
  <c r="DT40" i="11" a="1"/>
  <c r="DT39" i="11" a="1"/>
  <c r="DT38" i="11" a="1"/>
  <c r="DT37" i="11" a="1"/>
  <c r="DT36" i="11" a="1"/>
  <c r="DT35" i="11" a="1"/>
  <c r="DT34" i="11" a="1"/>
  <c r="DT33" i="11" a="1"/>
  <c r="DT32" i="11" a="1"/>
  <c r="DT31" i="11" a="1"/>
  <c r="DT30" i="11" a="1"/>
  <c r="DT29" i="11" a="1"/>
  <c r="DT28" i="11" a="1"/>
  <c r="DT27" i="11" a="1"/>
  <c r="DT26" i="11" a="1"/>
  <c r="DT25" i="11" a="1"/>
  <c r="DT24" i="11" a="1"/>
  <c r="DT23" i="11" a="1"/>
  <c r="DT22" i="11" a="1"/>
  <c r="DT21" i="11" a="1"/>
  <c r="DT20" i="11" a="1"/>
  <c r="DT19" i="11" a="1"/>
  <c r="DT18" i="11" a="1"/>
  <c r="DT17" i="11" a="1"/>
  <c r="DT16" i="11" a="1"/>
  <c r="DT15" i="11" a="1"/>
  <c r="DT14" i="11" a="1"/>
  <c r="DT13" i="11" a="1"/>
  <c r="DT12" i="11" a="1"/>
  <c r="DT11" i="11" a="1"/>
  <c r="DT10" i="11" a="1"/>
  <c r="DT9" i="11" a="1"/>
  <c r="DT8" i="11" a="1"/>
  <c r="DT7" i="11" a="1"/>
  <c r="DT6" i="11" a="1"/>
  <c r="DT5" i="11" a="1"/>
  <c r="CJ35" i="13" a="1"/>
  <c r="CJ34" i="13" a="1"/>
  <c r="CJ33" i="13" a="1"/>
  <c r="CJ32" i="13" a="1"/>
  <c r="CJ31" i="13" a="1"/>
  <c r="CJ30" i="13" a="1"/>
  <c r="CJ29" i="13" a="1"/>
  <c r="CJ28" i="13" a="1"/>
  <c r="CJ27" i="13" a="1"/>
  <c r="CJ26" i="13" a="1"/>
  <c r="CJ25" i="13" a="1"/>
  <c r="CJ24" i="13" a="1"/>
  <c r="CJ23" i="13" a="1"/>
  <c r="CJ22" i="13" a="1"/>
  <c r="CJ21" i="13" a="1"/>
  <c r="CJ20" i="13" a="1"/>
  <c r="CJ19" i="13" a="1"/>
  <c r="CJ18" i="13" a="1"/>
  <c r="CJ17" i="13" a="1"/>
  <c r="CJ16" i="13" a="1"/>
  <c r="CJ15" i="13" a="1"/>
  <c r="CJ14" i="13" a="1"/>
  <c r="CJ13" i="13" a="1"/>
  <c r="CJ12" i="13" a="1"/>
  <c r="CJ11" i="13" a="1"/>
  <c r="CJ10" i="13" a="1"/>
  <c r="CJ9" i="13" a="1"/>
  <c r="CJ8" i="13" a="1"/>
  <c r="CJ7" i="13" a="1"/>
  <c r="CJ6" i="13" a="1"/>
  <c r="CJ5" i="13" a="1"/>
  <c r="CJ35" i="12" a="1"/>
  <c r="CJ34" i="12" a="1"/>
  <c r="CJ33" i="12" a="1"/>
  <c r="CJ32" i="12" a="1"/>
  <c r="CJ31" i="12" a="1"/>
  <c r="CJ30" i="12" a="1"/>
  <c r="CJ29" i="12" a="1"/>
  <c r="CJ28" i="12" a="1"/>
  <c r="CJ27" i="12" a="1"/>
  <c r="CJ26" i="12" a="1"/>
  <c r="CJ25" i="12" a="1"/>
  <c r="CJ24" i="12" a="1"/>
  <c r="CJ23" i="12" a="1"/>
  <c r="CJ22" i="12" a="1"/>
  <c r="CJ21" i="12" a="1"/>
  <c r="CJ20" i="12" a="1"/>
  <c r="CJ19" i="12" a="1"/>
  <c r="CJ18" i="12" a="1"/>
  <c r="CJ17" i="12" a="1"/>
  <c r="CJ16" i="12" a="1"/>
  <c r="CJ15" i="12" a="1"/>
  <c r="CJ14" i="12" a="1"/>
  <c r="CJ13" i="12" a="1"/>
  <c r="CJ12" i="12" a="1"/>
  <c r="CJ11" i="12" a="1"/>
  <c r="CJ10" i="12" a="1"/>
  <c r="CJ9" i="12" a="1"/>
  <c r="CJ8" i="12" a="1"/>
  <c r="CJ7" i="12" a="1"/>
  <c r="CJ6" i="12" a="1"/>
  <c r="CJ5" i="12" a="1"/>
  <c r="CJ24" i="14" a="1"/>
  <c r="CJ23" i="14" a="1"/>
  <c r="CJ22" i="14" a="1"/>
  <c r="CJ21" i="14" a="1"/>
  <c r="CJ20" i="14" a="1"/>
  <c r="CJ19" i="14" a="1"/>
  <c r="CJ18" i="14" a="1"/>
  <c r="CJ17" i="14" a="1"/>
  <c r="CJ16" i="14" a="1"/>
  <c r="CJ15" i="14" a="1"/>
  <c r="CJ14" i="14" a="1"/>
  <c r="CJ13" i="14" a="1"/>
  <c r="CJ12" i="14" a="1"/>
  <c r="CJ11" i="14" a="1"/>
  <c r="CJ10" i="14" a="1"/>
  <c r="CJ9" i="14" a="1"/>
  <c r="CJ8" i="14" a="1"/>
  <c r="CJ7" i="14" a="1"/>
  <c r="CJ6" i="14" a="1"/>
  <c r="CJ5" i="14" a="1"/>
  <c r="CJ104" i="11" a="1"/>
  <c r="CJ103" i="11" a="1"/>
  <c r="CJ102" i="11" a="1"/>
  <c r="CJ101" i="11" a="1"/>
  <c r="CJ100" i="11" a="1"/>
  <c r="CJ99" i="11" a="1"/>
  <c r="CJ98" i="11" a="1"/>
  <c r="CJ97" i="11" a="1"/>
  <c r="CJ96" i="11" a="1"/>
  <c r="CJ95" i="11" a="1"/>
  <c r="CJ94" i="11" a="1"/>
  <c r="CJ93" i="11" a="1"/>
  <c r="CJ92" i="11" a="1"/>
  <c r="CJ91" i="11" a="1"/>
  <c r="CJ90" i="11" a="1"/>
  <c r="CJ89" i="11" a="1"/>
  <c r="CJ88" i="11" a="1"/>
  <c r="CJ87" i="11" a="1"/>
  <c r="CJ86" i="11" a="1"/>
  <c r="CJ85" i="11" a="1"/>
  <c r="CJ84" i="11" a="1"/>
  <c r="CJ83" i="11" a="1"/>
  <c r="CJ82" i="11" a="1"/>
  <c r="CJ81" i="11" a="1"/>
  <c r="CJ80" i="11" a="1"/>
  <c r="CJ79" i="11" a="1"/>
  <c r="CJ78" i="11" a="1"/>
  <c r="CJ77" i="11" a="1"/>
  <c r="CJ76" i="11" a="1"/>
  <c r="CJ75" i="11" a="1"/>
  <c r="CJ74" i="11" a="1"/>
  <c r="CJ73" i="11" a="1"/>
  <c r="CJ72" i="11" a="1"/>
  <c r="CJ71" i="11" a="1"/>
  <c r="CJ70" i="11" a="1"/>
  <c r="CJ69" i="11" a="1"/>
  <c r="CJ68" i="11" a="1"/>
  <c r="CJ67" i="11" a="1"/>
  <c r="CJ66" i="11" a="1"/>
  <c r="CJ65" i="11" a="1"/>
  <c r="CJ64" i="11" a="1"/>
  <c r="CJ63" i="11" a="1"/>
  <c r="CJ62" i="11" a="1"/>
  <c r="CJ61" i="11" a="1"/>
  <c r="CJ60" i="11" a="1"/>
  <c r="CJ59" i="11" a="1"/>
  <c r="CJ58" i="11" a="1"/>
  <c r="CJ57" i="11" a="1"/>
  <c r="CJ56" i="11" a="1"/>
  <c r="CJ55" i="11" a="1"/>
  <c r="CJ54" i="11" a="1"/>
  <c r="CJ53" i="11" a="1"/>
  <c r="CJ52" i="11" a="1"/>
  <c r="CJ51" i="11" a="1"/>
  <c r="CJ50" i="11" a="1"/>
  <c r="CJ49" i="11" a="1"/>
  <c r="CJ48" i="11" a="1"/>
  <c r="CJ47" i="11" a="1"/>
  <c r="CJ46" i="11" a="1"/>
  <c r="CJ45" i="11" a="1"/>
  <c r="CJ44" i="11" a="1"/>
  <c r="CJ43" i="11" a="1"/>
  <c r="CJ42" i="11" a="1"/>
  <c r="CJ41" i="11" a="1"/>
  <c r="CJ40" i="11" a="1"/>
  <c r="CJ39" i="11" a="1"/>
  <c r="CJ38" i="11" a="1"/>
  <c r="CJ37" i="11" a="1"/>
  <c r="CJ36" i="11" a="1"/>
  <c r="CJ35" i="11" a="1"/>
  <c r="CJ34" i="11" a="1"/>
  <c r="CJ33" i="11" a="1"/>
  <c r="CJ32" i="11" a="1"/>
  <c r="CJ31" i="11" a="1"/>
  <c r="CJ30" i="11" a="1"/>
  <c r="CJ29" i="11" a="1"/>
  <c r="CJ28" i="11" a="1"/>
  <c r="CJ27" i="11" a="1"/>
  <c r="CJ26" i="11" a="1"/>
  <c r="CJ25" i="11" a="1"/>
  <c r="CJ24" i="11" a="1"/>
  <c r="CJ23" i="11" a="1"/>
  <c r="CJ22" i="11" a="1"/>
  <c r="CJ21" i="11" a="1"/>
  <c r="CJ20" i="11" a="1"/>
  <c r="CJ19" i="11" a="1"/>
  <c r="CJ18" i="11" a="1"/>
  <c r="CJ17" i="11" a="1"/>
  <c r="CJ16" i="11" a="1"/>
  <c r="CJ15" i="11" a="1"/>
  <c r="CJ14" i="11" a="1"/>
  <c r="CJ13" i="11" a="1"/>
  <c r="CJ12" i="11" a="1"/>
  <c r="CJ11" i="11" a="1"/>
  <c r="CJ10" i="11" a="1"/>
  <c r="CJ9" i="11" a="1"/>
  <c r="CJ8" i="11" a="1"/>
  <c r="CJ7" i="11" a="1"/>
  <c r="CJ6" i="11" a="1"/>
  <c r="CJ5" i="11" a="1"/>
  <c r="AZ35" i="13" a="1"/>
  <c r="AZ34" i="13" a="1"/>
  <c r="AZ33" i="13" a="1"/>
  <c r="AZ32" i="13" a="1"/>
  <c r="AZ31" i="13" a="1"/>
  <c r="AZ30" i="13" a="1"/>
  <c r="AZ29" i="13" a="1"/>
  <c r="AZ28" i="13" a="1"/>
  <c r="AZ27" i="13" a="1"/>
  <c r="AZ26" i="13" a="1"/>
  <c r="AZ25" i="13" a="1"/>
  <c r="AZ24" i="13" a="1"/>
  <c r="AZ23" i="13" a="1"/>
  <c r="AZ22" i="13" a="1"/>
  <c r="AZ21" i="13" a="1"/>
  <c r="AZ20" i="13" a="1"/>
  <c r="AZ19" i="13" a="1"/>
  <c r="AZ18" i="13" a="1"/>
  <c r="AZ17" i="13" a="1"/>
  <c r="AZ16" i="13" a="1"/>
  <c r="AZ15" i="13" a="1"/>
  <c r="AZ14" i="13" a="1"/>
  <c r="AZ13" i="13" a="1"/>
  <c r="AZ12" i="13" a="1"/>
  <c r="AZ11" i="13" a="1"/>
  <c r="AZ10" i="13" a="1"/>
  <c r="AZ9" i="13" a="1"/>
  <c r="AZ8" i="13" a="1"/>
  <c r="AZ7" i="13" a="1"/>
  <c r="AZ6" i="13" a="1"/>
  <c r="AZ5" i="13" a="1"/>
  <c r="AZ35" i="12" a="1"/>
  <c r="AZ34" i="12" a="1"/>
  <c r="AZ33" i="12" a="1"/>
  <c r="AZ32" i="12" a="1"/>
  <c r="AZ31" i="12" a="1"/>
  <c r="AZ30" i="12" a="1"/>
  <c r="AZ29" i="12" a="1"/>
  <c r="AZ28" i="12" a="1"/>
  <c r="AZ27" i="12" a="1"/>
  <c r="AZ26" i="12" a="1"/>
  <c r="AZ25" i="12" a="1"/>
  <c r="AZ24" i="12" a="1"/>
  <c r="AZ23" i="12" a="1"/>
  <c r="AZ22" i="12" a="1"/>
  <c r="AZ21" i="12" a="1"/>
  <c r="AZ20" i="12" a="1"/>
  <c r="AZ19" i="12" a="1"/>
  <c r="AZ18" i="12" a="1"/>
  <c r="AZ17" i="12" a="1"/>
  <c r="AZ16" i="12" a="1"/>
  <c r="AZ15" i="12" a="1"/>
  <c r="AZ14" i="12" a="1"/>
  <c r="AZ13" i="12" a="1"/>
  <c r="AZ12" i="12" a="1"/>
  <c r="AZ11" i="12" a="1"/>
  <c r="AZ10" i="12" a="1"/>
  <c r="AZ9" i="12" a="1"/>
  <c r="AZ8" i="12" a="1"/>
  <c r="AZ7" i="12" a="1"/>
  <c r="AZ6" i="12" a="1"/>
  <c r="AZ5" i="12" a="1"/>
  <c r="AZ24" i="14" a="1"/>
  <c r="AZ23" i="14" a="1"/>
  <c r="AZ22" i="14" a="1"/>
  <c r="AZ21" i="14" a="1"/>
  <c r="AZ20" i="14" a="1"/>
  <c r="AZ19" i="14" a="1"/>
  <c r="AZ18" i="14" a="1"/>
  <c r="AZ17" i="14" a="1"/>
  <c r="AZ16" i="14" a="1"/>
  <c r="AZ15" i="14" a="1"/>
  <c r="AZ14" i="14" a="1"/>
  <c r="AZ13" i="14" a="1"/>
  <c r="AZ12" i="14" a="1"/>
  <c r="AZ11" i="14" a="1"/>
  <c r="AZ10" i="14" a="1"/>
  <c r="AZ9" i="14" a="1"/>
  <c r="AZ8" i="14" a="1"/>
  <c r="AZ7" i="14" a="1"/>
  <c r="AZ6" i="14" a="1"/>
  <c r="AZ5" i="14" a="1"/>
  <c r="AZ24" i="15" a="1"/>
  <c r="AZ23" i="15" a="1"/>
  <c r="AZ22" i="15" a="1"/>
  <c r="AZ21" i="15" a="1"/>
  <c r="AZ20" i="15" a="1"/>
  <c r="AZ19" i="15" a="1"/>
  <c r="AZ18" i="15" a="1"/>
  <c r="AZ17" i="15" a="1"/>
  <c r="AZ16" i="15" a="1"/>
  <c r="AZ15" i="15" a="1"/>
  <c r="AZ14" i="15" a="1"/>
  <c r="AZ13" i="15" a="1"/>
  <c r="AZ12" i="15" a="1"/>
  <c r="AZ11" i="15" a="1"/>
  <c r="AZ10" i="15" a="1"/>
  <c r="AZ9" i="15" a="1"/>
  <c r="AZ8" i="15" a="1"/>
  <c r="AZ7" i="15" a="1"/>
  <c r="AZ6" i="15" a="1"/>
  <c r="AZ5" i="15" a="1"/>
  <c r="AZ104" i="11" a="1"/>
  <c r="AZ103" i="11" a="1"/>
  <c r="AZ102" i="11" a="1"/>
  <c r="AZ101" i="11" a="1"/>
  <c r="AZ100" i="11" a="1"/>
  <c r="AZ99" i="11" a="1"/>
  <c r="AZ98" i="11" a="1"/>
  <c r="AZ97" i="11" a="1"/>
  <c r="AZ96" i="11" a="1"/>
  <c r="AZ95" i="11" a="1"/>
  <c r="AZ94" i="11" a="1"/>
  <c r="AZ93" i="11" a="1"/>
  <c r="AZ92" i="11" a="1"/>
  <c r="AZ91" i="11" a="1"/>
  <c r="AZ90" i="11" a="1"/>
  <c r="AZ89" i="11" a="1"/>
  <c r="AZ88" i="11" a="1"/>
  <c r="AZ87" i="11" a="1"/>
  <c r="AZ86" i="11" a="1"/>
  <c r="AZ85" i="11" a="1"/>
  <c r="AZ84" i="11" a="1"/>
  <c r="AZ83" i="11" a="1"/>
  <c r="AZ82" i="11" a="1"/>
  <c r="AZ81" i="11" a="1"/>
  <c r="AZ80" i="11" a="1"/>
  <c r="AZ79" i="11" a="1"/>
  <c r="AZ78" i="11" a="1"/>
  <c r="AZ77" i="11" a="1"/>
  <c r="AZ76" i="11" a="1"/>
  <c r="AZ75" i="11" a="1"/>
  <c r="AZ74" i="11" a="1"/>
  <c r="AZ73" i="11" a="1"/>
  <c r="AZ72" i="11" a="1"/>
  <c r="AZ71" i="11" a="1"/>
  <c r="AZ70" i="11" a="1"/>
  <c r="AZ69" i="11" a="1"/>
  <c r="AZ68" i="11" a="1"/>
  <c r="AZ67" i="11" a="1"/>
  <c r="AZ66" i="11" a="1"/>
  <c r="AZ65" i="11" a="1"/>
  <c r="AZ64" i="11" a="1"/>
  <c r="AZ63" i="11" a="1"/>
  <c r="AZ62" i="11" a="1"/>
  <c r="AZ61" i="11" a="1"/>
  <c r="AZ60" i="11" a="1"/>
  <c r="AZ59" i="11" a="1"/>
  <c r="AZ58" i="11" a="1"/>
  <c r="AZ57" i="11" a="1"/>
  <c r="AZ56" i="11" a="1"/>
  <c r="AZ55" i="11" a="1"/>
  <c r="AZ54" i="11" a="1"/>
  <c r="AZ53" i="11" a="1"/>
  <c r="AZ52" i="11" a="1"/>
  <c r="AZ51" i="11" a="1"/>
  <c r="AZ50" i="11" a="1"/>
  <c r="AZ49" i="11" a="1"/>
  <c r="AZ48" i="11" a="1"/>
  <c r="AZ47" i="11" a="1"/>
  <c r="AZ46" i="11" a="1"/>
  <c r="AZ45" i="11" a="1"/>
  <c r="AZ44" i="11" a="1"/>
  <c r="AZ43" i="11" a="1"/>
  <c r="AZ42" i="11" a="1"/>
  <c r="AZ41" i="11" a="1"/>
  <c r="AZ40" i="11" a="1"/>
  <c r="AZ39" i="11" a="1"/>
  <c r="AZ38" i="11" a="1"/>
  <c r="AZ37" i="11" a="1"/>
  <c r="AZ36" i="11" a="1"/>
  <c r="AZ35" i="11" a="1"/>
  <c r="AZ34" i="11" a="1"/>
  <c r="AZ33" i="11" a="1"/>
  <c r="AZ32" i="11" a="1"/>
  <c r="AZ31" i="11" a="1"/>
  <c r="AZ30" i="11" a="1"/>
  <c r="AZ29" i="11" a="1"/>
  <c r="AZ28" i="11" a="1"/>
  <c r="AZ27" i="11" a="1"/>
  <c r="AZ26" i="11" a="1"/>
  <c r="AZ25" i="11" a="1"/>
  <c r="AZ24" i="11" a="1"/>
  <c r="AZ23" i="11" a="1"/>
  <c r="AZ22" i="11" a="1"/>
  <c r="AZ21" i="11" a="1"/>
  <c r="AZ20" i="11" a="1"/>
  <c r="AZ19" i="11" a="1"/>
  <c r="AZ18" i="11" a="1"/>
  <c r="AZ17" i="11" a="1"/>
  <c r="AZ16" i="11" a="1"/>
  <c r="AZ15" i="11" a="1"/>
  <c r="AZ14" i="11" a="1"/>
  <c r="AZ13" i="11" a="1"/>
  <c r="AZ12" i="11" a="1"/>
  <c r="AZ11" i="11" a="1"/>
  <c r="AZ10" i="11" a="1"/>
  <c r="AZ9" i="11" a="1"/>
  <c r="AZ8" i="11" a="1"/>
  <c r="AZ7" i="11" a="1"/>
  <c r="AZ6" i="11" a="1"/>
  <c r="AZ5" i="11" a="1"/>
  <c r="GN11" i="15" l="1"/>
  <c r="FD19" i="14"/>
  <c r="DT40" i="11"/>
  <c r="FD61" i="11"/>
  <c r="FD23" i="13"/>
  <c r="HX102" i="11"/>
  <c r="CJ75" i="11"/>
  <c r="FD86" i="11"/>
  <c r="HX55" i="11"/>
  <c r="AZ81" i="11"/>
  <c r="DT30" i="11"/>
  <c r="GN72" i="11"/>
  <c r="AZ19" i="11"/>
  <c r="FD23" i="12"/>
  <c r="DT32" i="11"/>
  <c r="FD19" i="11"/>
  <c r="FD12" i="15"/>
  <c r="AZ24" i="11"/>
  <c r="AZ23" i="14"/>
  <c r="CJ24" i="12"/>
  <c r="DT10" i="15"/>
  <c r="CJ23" i="13"/>
  <c r="DT52" i="11"/>
  <c r="GN12" i="14"/>
  <c r="FD13" i="11"/>
  <c r="FD73" i="11"/>
  <c r="GN6" i="15"/>
  <c r="GN82" i="11"/>
  <c r="GN16" i="13"/>
  <c r="HX30" i="11"/>
  <c r="HX26" i="13"/>
  <c r="DT17" i="14"/>
  <c r="CJ13" i="12"/>
  <c r="DT23" i="15"/>
  <c r="GN13" i="14"/>
  <c r="DT34" i="13"/>
  <c r="FD24" i="13"/>
  <c r="HX103" i="11"/>
  <c r="AZ16" i="15"/>
  <c r="AZ9" i="12"/>
  <c r="CJ88" i="11"/>
  <c r="DT78" i="11"/>
  <c r="FD99" i="11"/>
  <c r="GN20" i="12"/>
  <c r="HX68" i="11"/>
  <c r="AZ33" i="13"/>
  <c r="AZ70" i="11"/>
  <c r="CJ29" i="11"/>
  <c r="DT19" i="11"/>
  <c r="FD40" i="11"/>
  <c r="GN61" i="11"/>
  <c r="HX5" i="13"/>
  <c r="FD53" i="11"/>
  <c r="AZ49" i="11"/>
  <c r="GN40" i="11"/>
  <c r="CJ21" i="11"/>
  <c r="CJ91" i="11"/>
  <c r="GN42" i="11"/>
  <c r="CJ22" i="12"/>
  <c r="CJ15" i="14"/>
  <c r="FD20" i="12"/>
  <c r="GN58" i="11"/>
  <c r="AZ79" i="11"/>
  <c r="GN7" i="12"/>
  <c r="AZ12" i="13"/>
  <c r="GN13" i="11"/>
  <c r="FD30" i="13"/>
  <c r="CJ17" i="12"/>
  <c r="DT22" i="15"/>
  <c r="FD16" i="15"/>
  <c r="FD85" i="11"/>
  <c r="GN6" i="12"/>
  <c r="CJ86" i="11"/>
  <c r="GN11" i="11"/>
  <c r="CJ26" i="12"/>
  <c r="HX16" i="14"/>
  <c r="CJ18" i="14"/>
  <c r="GN9" i="12"/>
  <c r="GN74" i="11"/>
  <c r="HX19" i="12"/>
  <c r="DT11" i="11"/>
  <c r="HX50" i="11"/>
  <c r="FD33" i="13"/>
  <c r="CJ62" i="11"/>
  <c r="DT100" i="11"/>
  <c r="DT33" i="13"/>
  <c r="HX6" i="11"/>
  <c r="AZ92" i="11"/>
  <c r="DT65" i="11"/>
  <c r="AZ9" i="13"/>
  <c r="CJ40" i="11"/>
  <c r="FD51" i="11"/>
  <c r="HX20" i="11"/>
  <c r="AZ22" i="11"/>
  <c r="FD22" i="14"/>
  <c r="HX12" i="15"/>
  <c r="DT93" i="11"/>
  <c r="AZ62" i="11"/>
  <c r="DT30" i="13"/>
  <c r="AZ31" i="11"/>
  <c r="AZ21" i="13"/>
  <c r="CJ35" i="13"/>
  <c r="DT64" i="11"/>
  <c r="FD25" i="11"/>
  <c r="GN10" i="11"/>
  <c r="HX9" i="15"/>
  <c r="HX54" i="11"/>
  <c r="AZ14" i="13"/>
  <c r="AZ10" i="13"/>
  <c r="FD20" i="14"/>
  <c r="FD21" i="12"/>
  <c r="HX10" i="15"/>
  <c r="CJ29" i="12"/>
  <c r="AZ5" i="15"/>
  <c r="DT16" i="12"/>
  <c r="FD6" i="15"/>
  <c r="GN6" i="13"/>
  <c r="HX16" i="13"/>
  <c r="AZ8" i="11"/>
  <c r="CJ77" i="11"/>
  <c r="DT67" i="11"/>
  <c r="FD88" i="11"/>
  <c r="AZ83" i="11"/>
  <c r="CJ8" i="11"/>
  <c r="AZ51" i="11"/>
  <c r="DT31" i="12"/>
  <c r="AZ91" i="11"/>
  <c r="CJ50" i="11"/>
  <c r="DT14" i="12"/>
  <c r="DT16" i="11"/>
  <c r="DT88" i="11"/>
  <c r="FD8" i="12"/>
  <c r="FD37" i="11"/>
  <c r="DT9" i="13"/>
  <c r="GN34" i="11"/>
  <c r="GN30" i="12"/>
  <c r="HX13" i="12"/>
  <c r="HX78" i="11"/>
  <c r="GN27" i="11"/>
  <c r="AZ24" i="14"/>
  <c r="CJ27" i="11"/>
  <c r="DT17" i="11"/>
  <c r="FD38" i="11"/>
  <c r="GN59" i="11"/>
  <c r="HX7" i="11"/>
  <c r="AZ43" i="11"/>
  <c r="AZ33" i="11"/>
  <c r="AZ23" i="13"/>
  <c r="CJ13" i="13"/>
  <c r="FD34" i="12"/>
  <c r="GN24" i="11"/>
  <c r="HX23" i="15"/>
  <c r="CJ19" i="11"/>
  <c r="AZ14" i="14"/>
  <c r="CJ15" i="12"/>
  <c r="DT5" i="12"/>
  <c r="GN15" i="14"/>
  <c r="HX5" i="14"/>
  <c r="FD26" i="13"/>
  <c r="CJ42" i="11"/>
  <c r="HX22" i="11"/>
  <c r="CJ29" i="13"/>
  <c r="DT19" i="12"/>
  <c r="FD80" i="11"/>
  <c r="CJ70" i="11"/>
  <c r="AZ64" i="11"/>
  <c r="DT9" i="15"/>
  <c r="DT21" i="13"/>
  <c r="GN18" i="15"/>
  <c r="GN46" i="11"/>
  <c r="GN94" i="11"/>
  <c r="FD11" i="13"/>
  <c r="GN28" i="13"/>
  <c r="HX25" i="12"/>
  <c r="HX42" i="11"/>
  <c r="HX90" i="11"/>
  <c r="AZ84" i="11"/>
  <c r="AZ7" i="11"/>
  <c r="CJ26" i="11"/>
  <c r="AZ20" i="11"/>
  <c r="AZ104" i="11"/>
  <c r="CJ25" i="12"/>
  <c r="AZ22" i="13"/>
  <c r="CJ39" i="11"/>
  <c r="CJ87" i="11"/>
  <c r="DT15" i="12"/>
  <c r="CJ12" i="13"/>
  <c r="DT29" i="11"/>
  <c r="DT77" i="11"/>
  <c r="FD5" i="15"/>
  <c r="FD33" i="12"/>
  <c r="FD50" i="11"/>
  <c r="FD98" i="11"/>
  <c r="HX15" i="14"/>
  <c r="GN23" i="11"/>
  <c r="GN71" i="11"/>
  <c r="GN19" i="12"/>
  <c r="GN5" i="13"/>
  <c r="HX22" i="15"/>
  <c r="HX19" i="11"/>
  <c r="HX67" i="11"/>
  <c r="HX15" i="13"/>
  <c r="FD12" i="14"/>
  <c r="AZ103" i="11"/>
  <c r="CJ38" i="11"/>
  <c r="AZ32" i="11"/>
  <c r="AZ17" i="15"/>
  <c r="AZ45" i="11"/>
  <c r="AZ93" i="11"/>
  <c r="AZ21" i="12"/>
  <c r="DT7" i="14"/>
  <c r="AZ35" i="13"/>
  <c r="CJ52" i="11"/>
  <c r="CJ100" i="11"/>
  <c r="DT28" i="12"/>
  <c r="CJ25" i="13"/>
  <c r="DT42" i="11"/>
  <c r="DT90" i="11"/>
  <c r="FD18" i="15"/>
  <c r="FD15" i="11"/>
  <c r="FD63" i="11"/>
  <c r="DT11" i="13"/>
  <c r="GN8" i="15"/>
  <c r="GN36" i="11"/>
  <c r="GN84" i="11"/>
  <c r="GN32" i="12"/>
  <c r="GN18" i="13"/>
  <c r="HX15" i="12"/>
  <c r="HX32" i="11"/>
  <c r="HX80" i="11"/>
  <c r="HX28" i="13"/>
  <c r="CJ16" i="13"/>
  <c r="AZ67" i="11"/>
  <c r="CJ74" i="11"/>
  <c r="AZ56" i="11"/>
  <c r="AZ6" i="15"/>
  <c r="AZ34" i="11"/>
  <c r="AZ82" i="11"/>
  <c r="AZ10" i="12"/>
  <c r="CJ27" i="12"/>
  <c r="AZ24" i="13"/>
  <c r="CJ41" i="11"/>
  <c r="CJ89" i="11"/>
  <c r="DT17" i="12"/>
  <c r="CJ14" i="13"/>
  <c r="DT31" i="11"/>
  <c r="DT79" i="11"/>
  <c r="FD7" i="15"/>
  <c r="FD35" i="12"/>
  <c r="FD52" i="11"/>
  <c r="FD100" i="11"/>
  <c r="HX17" i="14"/>
  <c r="GN25" i="11"/>
  <c r="GN73" i="11"/>
  <c r="GN21" i="12"/>
  <c r="GN7" i="13"/>
  <c r="HX28" i="12"/>
  <c r="DT26" i="13"/>
  <c r="AZ11" i="12"/>
  <c r="CJ90" i="11"/>
  <c r="DT80" i="11"/>
  <c r="FD101" i="11"/>
  <c r="GN22" i="12"/>
  <c r="HX70" i="11"/>
  <c r="GN51" i="11"/>
  <c r="AZ97" i="11"/>
  <c r="CJ56" i="11"/>
  <c r="DT46" i="11"/>
  <c r="FD67" i="11"/>
  <c r="GN88" i="11"/>
  <c r="HX36" i="11"/>
  <c r="HX7" i="14"/>
  <c r="CJ10" i="14"/>
  <c r="CJ69" i="11"/>
  <c r="DT59" i="11"/>
  <c r="HX9" i="14"/>
  <c r="HX20" i="12"/>
  <c r="FD78" i="11"/>
  <c r="CJ11" i="14"/>
  <c r="DT22" i="12"/>
  <c r="FD21" i="11"/>
  <c r="GN102" i="11"/>
  <c r="HX22" i="13"/>
  <c r="CJ9" i="12"/>
  <c r="FD20" i="13"/>
  <c r="DT12" i="12"/>
  <c r="HX12" i="13"/>
  <c r="DT99" i="11"/>
  <c r="AZ44" i="11"/>
  <c r="AZ8" i="12"/>
  <c r="DT6" i="14"/>
  <c r="AZ34" i="13"/>
  <c r="CJ51" i="11"/>
  <c r="CJ99" i="11"/>
  <c r="DT27" i="12"/>
  <c r="CJ24" i="13"/>
  <c r="DT41" i="11"/>
  <c r="DT89" i="11"/>
  <c r="FD17" i="15"/>
  <c r="FD14" i="11"/>
  <c r="FD62" i="11"/>
  <c r="DT10" i="13"/>
  <c r="GN7" i="15"/>
  <c r="GN35" i="11"/>
  <c r="GN83" i="11"/>
  <c r="GN31" i="12"/>
  <c r="GN17" i="13"/>
  <c r="HX14" i="12"/>
  <c r="HX31" i="11"/>
  <c r="HX79" i="11"/>
  <c r="HX27" i="13"/>
  <c r="GN23" i="15"/>
  <c r="AZ7" i="12"/>
  <c r="CJ98" i="11"/>
  <c r="AZ68" i="11"/>
  <c r="AZ9" i="11"/>
  <c r="AZ57" i="11"/>
  <c r="CJ5" i="14"/>
  <c r="AZ33" i="12"/>
  <c r="DT19" i="14"/>
  <c r="CJ16" i="11"/>
  <c r="CJ64" i="11"/>
  <c r="DT12" i="15"/>
  <c r="FD9" i="14"/>
  <c r="DT6" i="11"/>
  <c r="DT54" i="11"/>
  <c r="DT102" i="11"/>
  <c r="FD10" i="12"/>
  <c r="FD27" i="11"/>
  <c r="FD75" i="11"/>
  <c r="DT23" i="13"/>
  <c r="GN20" i="15"/>
  <c r="GN48" i="11"/>
  <c r="GN96" i="11"/>
  <c r="FD13" i="13"/>
  <c r="GN30" i="13"/>
  <c r="HX27" i="12"/>
  <c r="HX44" i="11"/>
  <c r="HX92" i="11"/>
  <c r="AZ12" i="11"/>
  <c r="HX19" i="14"/>
  <c r="AZ19" i="12"/>
  <c r="DT26" i="12"/>
  <c r="AZ20" i="12"/>
  <c r="AZ18" i="15"/>
  <c r="AZ46" i="11"/>
  <c r="AZ94" i="11"/>
  <c r="AZ22" i="12"/>
  <c r="DT8" i="14"/>
  <c r="CJ5" i="11"/>
  <c r="CJ53" i="11"/>
  <c r="CJ101" i="11"/>
  <c r="DT29" i="12"/>
  <c r="CJ26" i="13"/>
  <c r="DT43" i="11"/>
  <c r="DT91" i="11"/>
  <c r="FD19" i="15"/>
  <c r="FD16" i="11"/>
  <c r="FD64" i="11"/>
  <c r="DT12" i="13"/>
  <c r="GN9" i="15"/>
  <c r="GN37" i="11"/>
  <c r="GN85" i="11"/>
  <c r="GN33" i="12"/>
  <c r="GN19" i="13"/>
  <c r="HX9" i="11"/>
  <c r="AZ7" i="15"/>
  <c r="CJ28" i="12"/>
  <c r="DT18" i="12"/>
  <c r="FD8" i="15"/>
  <c r="HX18" i="14"/>
  <c r="GN8" i="13"/>
  <c r="HX18" i="13"/>
  <c r="HX19" i="13"/>
  <c r="AZ25" i="12"/>
  <c r="CJ104" i="11"/>
  <c r="DT94" i="11"/>
  <c r="DT15" i="13"/>
  <c r="FD5" i="13"/>
  <c r="HX84" i="11"/>
  <c r="HX11" i="11"/>
  <c r="CJ7" i="12"/>
  <c r="DT17" i="15"/>
  <c r="GN19" i="14"/>
  <c r="GN41" i="11"/>
  <c r="HX49" i="11"/>
  <c r="HX47" i="11"/>
  <c r="CJ32" i="12"/>
  <c r="CJ31" i="13"/>
  <c r="FD81" i="11"/>
  <c r="GN12" i="13"/>
  <c r="CJ103" i="11"/>
  <c r="DT19" i="15"/>
  <c r="HX99" i="11"/>
  <c r="GN22" i="14"/>
  <c r="AZ13" i="15"/>
  <c r="DT20" i="13"/>
  <c r="DT28" i="11"/>
  <c r="DT76" i="11"/>
  <c r="GN24" i="14"/>
  <c r="FD32" i="12"/>
  <c r="FD49" i="11"/>
  <c r="FD97" i="11"/>
  <c r="HX14" i="14"/>
  <c r="GN22" i="11"/>
  <c r="GN70" i="11"/>
  <c r="GN18" i="12"/>
  <c r="FD35" i="13"/>
  <c r="HX21" i="15"/>
  <c r="HX18" i="11"/>
  <c r="HX66" i="11"/>
  <c r="HX14" i="13"/>
  <c r="CJ28" i="13"/>
  <c r="AZ31" i="12"/>
  <c r="FD7" i="14"/>
  <c r="AZ80" i="11"/>
  <c r="AZ32" i="12"/>
  <c r="DT18" i="14"/>
  <c r="CJ15" i="11"/>
  <c r="CJ63" i="11"/>
  <c r="DT11" i="15"/>
  <c r="FD8" i="14"/>
  <c r="DT5" i="11"/>
  <c r="DT53" i="11"/>
  <c r="DT101" i="11"/>
  <c r="FD9" i="12"/>
  <c r="FD26" i="11"/>
  <c r="FD74" i="11"/>
  <c r="DT22" i="13"/>
  <c r="GN19" i="15"/>
  <c r="GN47" i="11"/>
  <c r="GN95" i="11"/>
  <c r="FD12" i="13"/>
  <c r="GN29" i="13"/>
  <c r="HX26" i="12"/>
  <c r="HX43" i="11"/>
  <c r="HX91" i="11"/>
  <c r="AZ36" i="11"/>
  <c r="AZ15" i="15"/>
  <c r="CJ12" i="12"/>
  <c r="CJ11" i="13"/>
  <c r="CJ16" i="14"/>
  <c r="AZ21" i="11"/>
  <c r="AZ69" i="11"/>
  <c r="CJ17" i="14"/>
  <c r="CJ14" i="12"/>
  <c r="AZ11" i="13"/>
  <c r="CJ28" i="11"/>
  <c r="CJ76" i="11"/>
  <c r="DT24" i="15"/>
  <c r="FD21" i="14"/>
  <c r="DT18" i="11"/>
  <c r="DT66" i="11"/>
  <c r="GN14" i="14"/>
  <c r="FD22" i="12"/>
  <c r="FD39" i="11"/>
  <c r="FD87" i="11"/>
  <c r="DT35" i="13"/>
  <c r="GN12" i="11"/>
  <c r="GN60" i="11"/>
  <c r="GN8" i="12"/>
  <c r="FD25" i="13"/>
  <c r="HX11" i="15"/>
  <c r="HX8" i="11"/>
  <c r="HX56" i="11"/>
  <c r="HX104" i="11"/>
  <c r="CJ20" i="14"/>
  <c r="AZ11" i="14"/>
  <c r="DT5" i="14"/>
  <c r="AZ12" i="14"/>
  <c r="AZ13" i="14"/>
  <c r="AZ10" i="11"/>
  <c r="AZ58" i="11"/>
  <c r="CJ6" i="14"/>
  <c r="AZ34" i="12"/>
  <c r="DT20" i="14"/>
  <c r="CJ17" i="11"/>
  <c r="CJ65" i="11"/>
  <c r="DT13" i="15"/>
  <c r="FD10" i="14"/>
  <c r="DT7" i="11"/>
  <c r="DT55" i="11"/>
  <c r="DT103" i="11"/>
  <c r="FD11" i="12"/>
  <c r="FD28" i="11"/>
  <c r="FD76" i="11"/>
  <c r="DT24" i="13"/>
  <c r="GN21" i="15"/>
  <c r="GN49" i="11"/>
  <c r="GN97" i="11"/>
  <c r="FD14" i="13"/>
  <c r="GN31" i="13"/>
  <c r="HX57" i="11"/>
  <c r="AZ35" i="11"/>
  <c r="AZ25" i="13"/>
  <c r="CJ15" i="13"/>
  <c r="FD5" i="11"/>
  <c r="GN26" i="11"/>
  <c r="HX5" i="12"/>
  <c r="CJ5" i="12"/>
  <c r="AZ21" i="15"/>
  <c r="DT11" i="14"/>
  <c r="DT32" i="12"/>
  <c r="FD22" i="15"/>
  <c r="GN12" i="15"/>
  <c r="GN22" i="13"/>
  <c r="HX32" i="13"/>
  <c r="AZ14" i="11"/>
  <c r="DT24" i="14"/>
  <c r="FD14" i="14"/>
  <c r="FD20" i="11"/>
  <c r="GN101" i="11"/>
  <c r="HX9" i="13"/>
  <c r="AZ11" i="15"/>
  <c r="CJ10" i="11"/>
  <c r="DT60" i="11"/>
  <c r="HX22" i="14"/>
  <c r="HX21" i="12"/>
  <c r="HX35" i="11"/>
  <c r="GN9" i="14"/>
  <c r="AZ20" i="14"/>
  <c r="HX12" i="14"/>
  <c r="AZ30" i="12"/>
  <c r="FD10" i="13"/>
  <c r="HX24" i="15"/>
  <c r="HX21" i="11"/>
  <c r="HX69" i="11"/>
  <c r="HX17" i="13"/>
  <c r="AZ55" i="11"/>
  <c r="AZ19" i="15"/>
  <c r="AZ47" i="11"/>
  <c r="AZ95" i="11"/>
  <c r="AZ23" i="12"/>
  <c r="DT9" i="14"/>
  <c r="CJ6" i="11"/>
  <c r="CJ54" i="11"/>
  <c r="CJ102" i="11"/>
  <c r="DT30" i="12"/>
  <c r="CJ27" i="13"/>
  <c r="DT44" i="11"/>
  <c r="DT92" i="11"/>
  <c r="FD20" i="15"/>
  <c r="FD17" i="11"/>
  <c r="FD65" i="11"/>
  <c r="DT13" i="13"/>
  <c r="GN10" i="15"/>
  <c r="GN38" i="11"/>
  <c r="GN86" i="11"/>
  <c r="GN34" i="12"/>
  <c r="GN20" i="13"/>
  <c r="HX17" i="12"/>
  <c r="HX34" i="11"/>
  <c r="HX82" i="11"/>
  <c r="HX30" i="13"/>
  <c r="CJ55" i="11"/>
  <c r="FD13" i="12"/>
  <c r="GN11" i="12"/>
  <c r="AZ5" i="14"/>
  <c r="AZ13" i="11"/>
  <c r="AZ61" i="11"/>
  <c r="CJ9" i="14"/>
  <c r="CJ6" i="12"/>
  <c r="DT23" i="14"/>
  <c r="CJ20" i="11"/>
  <c r="CJ68" i="11"/>
  <c r="DT16" i="15"/>
  <c r="FD13" i="14"/>
  <c r="DT10" i="11"/>
  <c r="DT58" i="11"/>
  <c r="GN6" i="14"/>
  <c r="FD14" i="12"/>
  <c r="FD31" i="11"/>
  <c r="FD79" i="11"/>
  <c r="DT27" i="13"/>
  <c r="GN24" i="15"/>
  <c r="GN52" i="11"/>
  <c r="GN100" i="11"/>
  <c r="FD17" i="13"/>
  <c r="GN34" i="13"/>
  <c r="HX31" i="12"/>
  <c r="HX48" i="11"/>
  <c r="HX96" i="11"/>
  <c r="AZ20" i="15"/>
  <c r="DT57" i="11"/>
  <c r="GN75" i="11"/>
  <c r="HX71" i="11"/>
  <c r="AZ26" i="11"/>
  <c r="AZ74" i="11"/>
  <c r="CJ22" i="14"/>
  <c r="CJ19" i="12"/>
  <c r="AZ16" i="13"/>
  <c r="CJ33" i="11"/>
  <c r="CJ81" i="11"/>
  <c r="DT9" i="12"/>
  <c r="CJ6" i="13"/>
  <c r="DT23" i="11"/>
  <c r="DT71" i="11"/>
  <c r="FD23" i="15"/>
  <c r="FD32" i="11"/>
  <c r="FD92" i="11"/>
  <c r="GN13" i="15"/>
  <c r="GN53" i="11"/>
  <c r="GN13" i="12"/>
  <c r="GN23" i="13"/>
  <c r="HX32" i="12"/>
  <c r="HX61" i="11"/>
  <c r="HX33" i="13"/>
  <c r="DT9" i="11"/>
  <c r="GN15" i="11"/>
  <c r="AZ18" i="14"/>
  <c r="AZ23" i="15"/>
  <c r="AZ63" i="11"/>
  <c r="AZ15" i="12"/>
  <c r="DT13" i="14"/>
  <c r="CJ22" i="11"/>
  <c r="CJ94" i="11"/>
  <c r="DT34" i="12"/>
  <c r="DT12" i="11"/>
  <c r="DT84" i="11"/>
  <c r="FD24" i="15"/>
  <c r="FD33" i="11"/>
  <c r="DT5" i="13"/>
  <c r="GN14" i="15"/>
  <c r="GN54" i="11"/>
  <c r="GN26" i="12"/>
  <c r="GN24" i="13"/>
  <c r="HX33" i="12"/>
  <c r="HX74" i="11"/>
  <c r="HX34" i="13"/>
  <c r="FD30" i="11"/>
  <c r="AZ24" i="15"/>
  <c r="AZ100" i="11"/>
  <c r="AZ6" i="13"/>
  <c r="FD16" i="14"/>
  <c r="FD17" i="12"/>
  <c r="GN7" i="11"/>
  <c r="HX6" i="15"/>
  <c r="AZ72" i="11"/>
  <c r="AZ29" i="11"/>
  <c r="AZ19" i="13"/>
  <c r="CJ9" i="13"/>
  <c r="FD30" i="12"/>
  <c r="GN20" i="11"/>
  <c r="HX19" i="15"/>
  <c r="DT22" i="14"/>
  <c r="AZ6" i="11"/>
  <c r="DT16" i="14"/>
  <c r="FD6" i="14"/>
  <c r="FD7" i="12"/>
  <c r="GN17" i="15"/>
  <c r="GN27" i="13"/>
  <c r="HX16" i="12"/>
  <c r="HX33" i="11"/>
  <c r="HX81" i="11"/>
  <c r="HX29" i="13"/>
  <c r="CJ14" i="11"/>
  <c r="AZ11" i="11"/>
  <c r="AZ59" i="11"/>
  <c r="CJ7" i="14"/>
  <c r="AZ35" i="12"/>
  <c r="DT21" i="14"/>
  <c r="CJ18" i="11"/>
  <c r="CJ66" i="11"/>
  <c r="DT14" i="15"/>
  <c r="FD11" i="14"/>
  <c r="DT8" i="11"/>
  <c r="DT56" i="11"/>
  <c r="DT104" i="11"/>
  <c r="FD12" i="12"/>
  <c r="FD29" i="11"/>
  <c r="FD77" i="11"/>
  <c r="DT25" i="13"/>
  <c r="GN22" i="15"/>
  <c r="GN50" i="11"/>
  <c r="GN98" i="11"/>
  <c r="FD15" i="13"/>
  <c r="GN32" i="13"/>
  <c r="HX29" i="12"/>
  <c r="HX46" i="11"/>
  <c r="HX94" i="11"/>
  <c r="HX31" i="13"/>
  <c r="DT15" i="15"/>
  <c r="FD42" i="11"/>
  <c r="GN21" i="13"/>
  <c r="AZ17" i="14"/>
  <c r="AZ25" i="11"/>
  <c r="AZ73" i="11"/>
  <c r="CJ21" i="14"/>
  <c r="CJ18" i="12"/>
  <c r="AZ15" i="13"/>
  <c r="CJ32" i="11"/>
  <c r="CJ80" i="11"/>
  <c r="DT8" i="12"/>
  <c r="CJ5" i="13"/>
  <c r="DT22" i="11"/>
  <c r="DT70" i="11"/>
  <c r="GN18" i="14"/>
  <c r="FD26" i="12"/>
  <c r="FD43" i="11"/>
  <c r="FD91" i="11"/>
  <c r="HX8" i="14"/>
  <c r="GN16" i="11"/>
  <c r="GN64" i="11"/>
  <c r="GN12" i="12"/>
  <c r="FD29" i="13"/>
  <c r="HX15" i="15"/>
  <c r="HX12" i="11"/>
  <c r="HX60" i="11"/>
  <c r="HX8" i="13"/>
  <c r="AZ12" i="12"/>
  <c r="FD21" i="15"/>
  <c r="GN35" i="12"/>
  <c r="AZ6" i="14"/>
  <c r="AZ38" i="11"/>
  <c r="AZ86" i="11"/>
  <c r="AZ14" i="12"/>
  <c r="CJ31" i="12"/>
  <c r="AZ28" i="13"/>
  <c r="CJ45" i="11"/>
  <c r="CJ93" i="11"/>
  <c r="DT21" i="12"/>
  <c r="CJ18" i="13"/>
  <c r="DT35" i="11"/>
  <c r="DT95" i="11"/>
  <c r="FD15" i="12"/>
  <c r="FD44" i="11"/>
  <c r="DT16" i="13"/>
  <c r="GN5" i="11"/>
  <c r="GN65" i="11"/>
  <c r="FD6" i="13"/>
  <c r="GN35" i="13"/>
  <c r="HX13" i="11"/>
  <c r="HX85" i="11"/>
  <c r="AZ48" i="11"/>
  <c r="DT69" i="11"/>
  <c r="GN9" i="13"/>
  <c r="AZ22" i="15"/>
  <c r="AZ15" i="11"/>
  <c r="AZ87" i="11"/>
  <c r="AZ27" i="12"/>
  <c r="AZ5" i="13"/>
  <c r="CJ46" i="11"/>
  <c r="DT6" i="15"/>
  <c r="FD15" i="14"/>
  <c r="DT36" i="11"/>
  <c r="DT96" i="11"/>
  <c r="FD16" i="12"/>
  <c r="FD57" i="11"/>
  <c r="DT17" i="13"/>
  <c r="GN6" i="11"/>
  <c r="GN78" i="11"/>
  <c r="FD7" i="13"/>
  <c r="HX5" i="15"/>
  <c r="HX26" i="11"/>
  <c r="HX86" i="11"/>
  <c r="AZ16" i="14"/>
  <c r="FD102" i="11"/>
  <c r="AZ16" i="11"/>
  <c r="CJ12" i="14"/>
  <c r="CJ23" i="11"/>
  <c r="DT13" i="11"/>
  <c r="FD34" i="11"/>
  <c r="GN55" i="11"/>
  <c r="HX34" i="12"/>
  <c r="DT33" i="11"/>
  <c r="AZ77" i="11"/>
  <c r="CJ36" i="11"/>
  <c r="DT26" i="11"/>
  <c r="FD47" i="11"/>
  <c r="GN68" i="11"/>
  <c r="HX16" i="11"/>
  <c r="FD25" i="12"/>
  <c r="AZ54" i="11"/>
  <c r="CJ13" i="11"/>
  <c r="CJ34" i="13"/>
  <c r="FD24" i="11"/>
  <c r="GN45" i="11"/>
  <c r="HX24" i="12"/>
  <c r="HX45" i="11"/>
  <c r="HX93" i="11"/>
  <c r="CJ7" i="11"/>
  <c r="AZ15" i="14"/>
  <c r="AZ23" i="11"/>
  <c r="AZ71" i="11"/>
  <c r="CJ19" i="14"/>
  <c r="CJ16" i="12"/>
  <c r="AZ13" i="13"/>
  <c r="CJ30" i="11"/>
  <c r="CJ78" i="11"/>
  <c r="DT6" i="12"/>
  <c r="FD23" i="14"/>
  <c r="DT20" i="11"/>
  <c r="DT68" i="11"/>
  <c r="GN16" i="14"/>
  <c r="FD24" i="12"/>
  <c r="FD41" i="11"/>
  <c r="FD89" i="11"/>
  <c r="HX6" i="14"/>
  <c r="GN14" i="11"/>
  <c r="GN62" i="11"/>
  <c r="GN10" i="12"/>
  <c r="FD27" i="13"/>
  <c r="HX13" i="15"/>
  <c r="HX10" i="11"/>
  <c r="HX58" i="11"/>
  <c r="HX6" i="13"/>
  <c r="AZ60" i="11"/>
  <c r="DT21" i="11"/>
  <c r="FD90" i="11"/>
  <c r="HX23" i="11"/>
  <c r="AZ9" i="15"/>
  <c r="AZ37" i="11"/>
  <c r="AZ85" i="11"/>
  <c r="AZ13" i="12"/>
  <c r="CJ30" i="12"/>
  <c r="AZ27" i="13"/>
  <c r="CJ44" i="11"/>
  <c r="CJ92" i="11"/>
  <c r="DT20" i="12"/>
  <c r="CJ17" i="13"/>
  <c r="DT34" i="11"/>
  <c r="DT82" i="11"/>
  <c r="FD10" i="15"/>
  <c r="FD7" i="11"/>
  <c r="FD55" i="11"/>
  <c r="FD103" i="11"/>
  <c r="HX20" i="14"/>
  <c r="GN28" i="11"/>
  <c r="GN76" i="11"/>
  <c r="GN24" i="12"/>
  <c r="GN10" i="13"/>
  <c r="HX7" i="12"/>
  <c r="HX24" i="11"/>
  <c r="HX72" i="11"/>
  <c r="HX20" i="13"/>
  <c r="CJ43" i="11"/>
  <c r="FD54" i="11"/>
  <c r="GN33" i="13"/>
  <c r="AZ10" i="15"/>
  <c r="AZ50" i="11"/>
  <c r="AZ98" i="11"/>
  <c r="AZ26" i="12"/>
  <c r="DT12" i="14"/>
  <c r="CJ9" i="11"/>
  <c r="CJ57" i="11"/>
  <c r="DT5" i="15"/>
  <c r="DT33" i="12"/>
  <c r="CJ30" i="13"/>
  <c r="DT47" i="11"/>
  <c r="GN7" i="14"/>
  <c r="FD27" i="12"/>
  <c r="FD68" i="11"/>
  <c r="DT28" i="13"/>
  <c r="GN17" i="11"/>
  <c r="GN89" i="11"/>
  <c r="FD18" i="13"/>
  <c r="HX16" i="15"/>
  <c r="HX37" i="11"/>
  <c r="HX97" i="11"/>
  <c r="AZ24" i="12"/>
  <c r="FD6" i="11"/>
  <c r="HX18" i="12"/>
  <c r="AZ7" i="14"/>
  <c r="AZ39" i="11"/>
  <c r="AZ99" i="11"/>
  <c r="CJ8" i="12"/>
  <c r="AZ29" i="13"/>
  <c r="CJ58" i="11"/>
  <c r="DT18" i="15"/>
  <c r="CJ19" i="13"/>
  <c r="DT48" i="11"/>
  <c r="GN8" i="14"/>
  <c r="FD9" i="11"/>
  <c r="FD69" i="11"/>
  <c r="DT29" i="13"/>
  <c r="GN30" i="11"/>
  <c r="GN90" i="11"/>
  <c r="FD19" i="13"/>
  <c r="HX9" i="12"/>
  <c r="HX38" i="11"/>
  <c r="HX98" i="11"/>
  <c r="AZ26" i="13"/>
  <c r="HX6" i="12"/>
  <c r="AZ52" i="11"/>
  <c r="AZ28" i="12"/>
  <c r="CJ71" i="11"/>
  <c r="DT61" i="11"/>
  <c r="FD82" i="11"/>
  <c r="GN103" i="11"/>
  <c r="HX51" i="11"/>
  <c r="GN87" i="11"/>
  <c r="AZ5" i="12"/>
  <c r="CJ84" i="11"/>
  <c r="DT74" i="11"/>
  <c r="FD95" i="11"/>
  <c r="GN16" i="12"/>
  <c r="HX64" i="11"/>
  <c r="HX14" i="15"/>
  <c r="AZ102" i="11"/>
  <c r="CJ61" i="11"/>
  <c r="DT51" i="11"/>
  <c r="FD72" i="11"/>
  <c r="GN93" i="11"/>
  <c r="HX41" i="11"/>
  <c r="DT83" i="11"/>
  <c r="FD11" i="15"/>
  <c r="FD8" i="11"/>
  <c r="FD56" i="11"/>
  <c r="FD104" i="11"/>
  <c r="HX21" i="14"/>
  <c r="GN29" i="11"/>
  <c r="GN77" i="11"/>
  <c r="GN25" i="12"/>
  <c r="GN11" i="13"/>
  <c r="HX8" i="12"/>
  <c r="HX25" i="11"/>
  <c r="HX73" i="11"/>
  <c r="HX21" i="13"/>
  <c r="CJ31" i="11"/>
  <c r="FD9" i="15"/>
  <c r="GN99" i="11"/>
  <c r="HX83" i="11"/>
  <c r="AZ19" i="14"/>
  <c r="AZ27" i="11"/>
  <c r="AZ75" i="11"/>
  <c r="CJ23" i="14"/>
  <c r="CJ20" i="12"/>
  <c r="AZ17" i="13"/>
  <c r="CJ34" i="11"/>
  <c r="CJ82" i="11"/>
  <c r="DT10" i="12"/>
  <c r="CJ7" i="13"/>
  <c r="DT24" i="11"/>
  <c r="DT72" i="11"/>
  <c r="GN20" i="14"/>
  <c r="FD28" i="12"/>
  <c r="FD45" i="11"/>
  <c r="FD93" i="11"/>
  <c r="HX10" i="14"/>
  <c r="GN18" i="11"/>
  <c r="GN66" i="11"/>
  <c r="GN14" i="12"/>
  <c r="FD31" i="13"/>
  <c r="HX17" i="15"/>
  <c r="HX14" i="11"/>
  <c r="HX62" i="11"/>
  <c r="HX10" i="13"/>
  <c r="CJ8" i="14"/>
  <c r="GN17" i="14"/>
  <c r="FD16" i="13"/>
  <c r="AZ8" i="14"/>
  <c r="AZ40" i="11"/>
  <c r="AZ88" i="11"/>
  <c r="AZ16" i="12"/>
  <c r="CJ33" i="12"/>
  <c r="AZ30" i="13"/>
  <c r="CJ47" i="11"/>
  <c r="CJ95" i="11"/>
  <c r="DT23" i="12"/>
  <c r="CJ20" i="13"/>
  <c r="DT37" i="11"/>
  <c r="DT85" i="11"/>
  <c r="FD13" i="15"/>
  <c r="FD10" i="11"/>
  <c r="FD58" i="11"/>
  <c r="DT6" i="13"/>
  <c r="HX23" i="14"/>
  <c r="GN31" i="11"/>
  <c r="GN79" i="11"/>
  <c r="GN27" i="12"/>
  <c r="GN13" i="13"/>
  <c r="HX10" i="12"/>
  <c r="HX27" i="11"/>
  <c r="HX75" i="11"/>
  <c r="HX23" i="13"/>
  <c r="CJ67" i="11"/>
  <c r="FD18" i="11"/>
  <c r="HX30" i="12"/>
  <c r="AZ5" i="11"/>
  <c r="AZ53" i="11"/>
  <c r="AZ101" i="11"/>
  <c r="AZ29" i="12"/>
  <c r="DT15" i="14"/>
  <c r="CJ12" i="11"/>
  <c r="CJ60" i="11"/>
  <c r="DT8" i="15"/>
  <c r="FD5" i="14"/>
  <c r="CJ33" i="13"/>
  <c r="DT50" i="11"/>
  <c r="DT98" i="11"/>
  <c r="FD6" i="12"/>
  <c r="FD23" i="11"/>
  <c r="FD71" i="11"/>
  <c r="DT19" i="13"/>
  <c r="GN16" i="15"/>
  <c r="GN44" i="11"/>
  <c r="GN92" i="11"/>
  <c r="FD9" i="13"/>
  <c r="GN26" i="13"/>
  <c r="HX23" i="12"/>
  <c r="HX40" i="11"/>
  <c r="HX88" i="11"/>
  <c r="AZ8" i="15"/>
  <c r="FD24" i="14"/>
  <c r="GN39" i="11"/>
  <c r="AZ12" i="15"/>
  <c r="AZ22" i="14"/>
  <c r="AZ30" i="11"/>
  <c r="AZ78" i="11"/>
  <c r="AZ6" i="12"/>
  <c r="CJ23" i="12"/>
  <c r="AZ20" i="13"/>
  <c r="CJ37" i="11"/>
  <c r="CJ85" i="11"/>
  <c r="DT13" i="12"/>
  <c r="CJ10" i="13"/>
  <c r="DT27" i="11"/>
  <c r="DT75" i="11"/>
  <c r="GN23" i="14"/>
  <c r="FD31" i="12"/>
  <c r="FD48" i="11"/>
  <c r="FD96" i="11"/>
  <c r="HX13" i="14"/>
  <c r="GN21" i="11"/>
  <c r="GN69" i="11"/>
  <c r="GN17" i="12"/>
  <c r="FD34" i="13"/>
  <c r="HX20" i="15"/>
  <c r="HX17" i="11"/>
  <c r="HX65" i="11"/>
  <c r="HX13" i="13"/>
  <c r="DT14" i="14"/>
  <c r="CJ11" i="11"/>
  <c r="CJ59" i="11"/>
  <c r="DT7" i="15"/>
  <c r="DT35" i="12"/>
  <c r="CJ32" i="13"/>
  <c r="DT49" i="11"/>
  <c r="DT97" i="11"/>
  <c r="FD5" i="12"/>
  <c r="FD22" i="11"/>
  <c r="FD70" i="11"/>
  <c r="DT18" i="13"/>
  <c r="GN15" i="15"/>
  <c r="GN43" i="11"/>
  <c r="GN91" i="11"/>
  <c r="FD8" i="13"/>
  <c r="GN25" i="13"/>
  <c r="HX22" i="12"/>
  <c r="HX39" i="11"/>
  <c r="HX87" i="11"/>
  <c r="HX35" i="13"/>
  <c r="DT7" i="12"/>
  <c r="DT14" i="13"/>
  <c r="HX7" i="13"/>
  <c r="AZ17" i="11"/>
  <c r="AZ65" i="11"/>
  <c r="CJ13" i="14"/>
  <c r="CJ10" i="12"/>
  <c r="AZ7" i="13"/>
  <c r="CJ24" i="11"/>
  <c r="CJ72" i="11"/>
  <c r="DT20" i="15"/>
  <c r="FD17" i="14"/>
  <c r="DT14" i="11"/>
  <c r="DT62" i="11"/>
  <c r="GN10" i="14"/>
  <c r="FD18" i="12"/>
  <c r="FD35" i="11"/>
  <c r="FD83" i="11"/>
  <c r="DT31" i="13"/>
  <c r="GN8" i="11"/>
  <c r="GN56" i="11"/>
  <c r="GN104" i="11"/>
  <c r="FD21" i="13"/>
  <c r="HX7" i="15"/>
  <c r="HX35" i="12"/>
  <c r="HX52" i="11"/>
  <c r="HX100" i="11"/>
  <c r="AZ96" i="11"/>
  <c r="DT81" i="11"/>
  <c r="GN23" i="12"/>
  <c r="AZ9" i="14"/>
  <c r="AZ14" i="15"/>
  <c r="AZ42" i="11"/>
  <c r="AZ90" i="11"/>
  <c r="AZ18" i="12"/>
  <c r="CJ35" i="12"/>
  <c r="AZ32" i="13"/>
  <c r="CJ49" i="11"/>
  <c r="CJ97" i="11"/>
  <c r="DT25" i="12"/>
  <c r="CJ22" i="13"/>
  <c r="DT39" i="11"/>
  <c r="DT87" i="11"/>
  <c r="FD15" i="15"/>
  <c r="FD12" i="11"/>
  <c r="FD60" i="11"/>
  <c r="DT8" i="13"/>
  <c r="GN5" i="15"/>
  <c r="GN33" i="11"/>
  <c r="GN81" i="11"/>
  <c r="GN29" i="12"/>
  <c r="GN15" i="13"/>
  <c r="HX12" i="12"/>
  <c r="HX29" i="11"/>
  <c r="HX77" i="11"/>
  <c r="HX25" i="13"/>
  <c r="HX89" i="11"/>
  <c r="DT45" i="11"/>
  <c r="GN63" i="11"/>
  <c r="HX59" i="11"/>
  <c r="AZ28" i="11"/>
  <c r="AZ76" i="11"/>
  <c r="CJ24" i="14"/>
  <c r="CJ21" i="12"/>
  <c r="AZ18" i="13"/>
  <c r="CJ35" i="11"/>
  <c r="CJ83" i="11"/>
  <c r="DT11" i="12"/>
  <c r="CJ8" i="13"/>
  <c r="DT25" i="11"/>
  <c r="DT73" i="11"/>
  <c r="GN21" i="14"/>
  <c r="FD29" i="12"/>
  <c r="FD46" i="11"/>
  <c r="FD94" i="11"/>
  <c r="HX11" i="14"/>
  <c r="GN19" i="11"/>
  <c r="GN67" i="11"/>
  <c r="GN15" i="12"/>
  <c r="FD32" i="13"/>
  <c r="HX18" i="15"/>
  <c r="HX15" i="11"/>
  <c r="HX63" i="11"/>
  <c r="HX11" i="13"/>
  <c r="DT10" i="14"/>
  <c r="GN5" i="14"/>
  <c r="FD28" i="13"/>
  <c r="AZ21" i="14"/>
  <c r="AZ41" i="11"/>
  <c r="AZ89" i="11"/>
  <c r="AZ17" i="12"/>
  <c r="CJ34" i="12"/>
  <c r="AZ31" i="13"/>
  <c r="CJ48" i="11"/>
  <c r="CJ96" i="11"/>
  <c r="DT24" i="12"/>
  <c r="CJ21" i="13"/>
  <c r="DT38" i="11"/>
  <c r="DT86" i="11"/>
  <c r="FD14" i="15"/>
  <c r="FD11" i="11"/>
  <c r="FD59" i="11"/>
  <c r="DT7" i="13"/>
  <c r="HX24" i="14"/>
  <c r="GN32" i="11"/>
  <c r="GN80" i="11"/>
  <c r="GN28" i="12"/>
  <c r="GN14" i="13"/>
  <c r="HX11" i="12"/>
  <c r="HX28" i="11"/>
  <c r="HX76" i="11"/>
  <c r="HX24" i="13"/>
  <c r="CJ79" i="11"/>
  <c r="FD66" i="11"/>
  <c r="HX95" i="11"/>
  <c r="AZ10" i="14"/>
  <c r="AZ18" i="11"/>
  <c r="AZ66" i="11"/>
  <c r="CJ14" i="14"/>
  <c r="CJ11" i="12"/>
  <c r="AZ8" i="13"/>
  <c r="CJ25" i="11"/>
  <c r="CJ73" i="11"/>
  <c r="DT21" i="15"/>
  <c r="FD18" i="14"/>
  <c r="DT15" i="11"/>
  <c r="DT63" i="11"/>
  <c r="GN11" i="14"/>
  <c r="FD19" i="12"/>
  <c r="FD36" i="11"/>
  <c r="FD84" i="11"/>
  <c r="DT32" i="13"/>
  <c r="GN9" i="11"/>
  <c r="GN57" i="11"/>
  <c r="GN5" i="12"/>
  <c r="FD22" i="13"/>
  <c r="HX8" i="15"/>
  <c r="HX5" i="11"/>
  <c r="HX53" i="11"/>
  <c r="HX101" i="11"/>
  <c r="D6" i="2"/>
  <c r="P6" i="2"/>
  <c r="L6" i="2"/>
  <c r="H6" i="2"/>
  <c r="HY7" i="2"/>
  <c r="HY6" i="2"/>
  <c r="GO7" i="2"/>
  <c r="GO6" i="2"/>
  <c r="DU7" i="2"/>
  <c r="DU6" i="2"/>
  <c r="CK7" i="2"/>
  <c r="CK6" i="2"/>
  <c r="S29" i="2"/>
  <c r="S28" i="2"/>
  <c r="S27" i="2"/>
  <c r="S26" i="2"/>
  <c r="S25" i="2"/>
  <c r="S24" i="2"/>
  <c r="S23" i="2"/>
  <c r="S22" i="2"/>
  <c r="S21" i="2"/>
  <c r="S20" i="2"/>
  <c r="S19" i="2"/>
  <c r="S18" i="2"/>
  <c r="S17" i="2"/>
  <c r="S16" i="2"/>
  <c r="S15" i="2"/>
  <c r="S14" i="2"/>
  <c r="S13" i="2"/>
  <c r="S12" i="2"/>
  <c r="S11" i="2"/>
  <c r="S10" i="2"/>
  <c r="S9" i="2"/>
  <c r="S8" i="2"/>
  <c r="S7" i="2"/>
  <c r="S6" i="2"/>
  <c r="S5" i="2"/>
  <c r="HX29" i="2" a="1"/>
  <c r="HX28" i="2" a="1"/>
  <c r="HX27" i="2" a="1"/>
  <c r="HX26" i="2" a="1"/>
  <c r="HX25" i="2" a="1"/>
  <c r="HX24" i="2" a="1"/>
  <c r="HX23" i="2" a="1"/>
  <c r="HX22" i="2" a="1"/>
  <c r="HX21" i="2" a="1"/>
  <c r="HX20" i="2" a="1"/>
  <c r="HX19" i="2" a="1"/>
  <c r="HX18" i="2" a="1"/>
  <c r="HX17" i="2" a="1"/>
  <c r="HX16" i="2" a="1"/>
  <c r="HX15" i="2" a="1"/>
  <c r="HX14" i="2" a="1"/>
  <c r="HX13" i="2" a="1"/>
  <c r="HX12" i="2" a="1"/>
  <c r="HX11" i="2" a="1"/>
  <c r="HX10" i="2" a="1"/>
  <c r="HX9" i="2" a="1"/>
  <c r="HX8" i="2" a="1"/>
  <c r="HX7" i="2" a="1"/>
  <c r="HX6" i="2" a="1"/>
  <c r="HX5" i="2" a="1"/>
  <c r="GN29" i="2" a="1"/>
  <c r="GN28" i="2" a="1"/>
  <c r="GN27" i="2" a="1"/>
  <c r="GN26" i="2" a="1"/>
  <c r="GN25" i="2" a="1"/>
  <c r="GN24" i="2" a="1"/>
  <c r="GN23" i="2" a="1"/>
  <c r="GN22" i="2" a="1"/>
  <c r="GN21" i="2" a="1"/>
  <c r="GN20" i="2" a="1"/>
  <c r="GN19" i="2" a="1"/>
  <c r="GN18" i="2" a="1"/>
  <c r="GN17" i="2" a="1"/>
  <c r="GN16" i="2" a="1"/>
  <c r="GN15" i="2" a="1"/>
  <c r="GN14" i="2" a="1"/>
  <c r="GN13" i="2" a="1"/>
  <c r="GN12" i="2" a="1"/>
  <c r="GN11" i="2" a="1"/>
  <c r="GN10" i="2" a="1"/>
  <c r="GN9" i="2" a="1"/>
  <c r="GN8" i="2" a="1"/>
  <c r="GN7" i="2" a="1"/>
  <c r="GN6" i="2" a="1"/>
  <c r="GN5" i="2" a="1"/>
  <c r="DT29" i="2" a="1"/>
  <c r="DT28" i="2" a="1"/>
  <c r="DT27" i="2" a="1"/>
  <c r="DT26" i="2" a="1"/>
  <c r="DT25" i="2" a="1"/>
  <c r="DT24" i="2" a="1"/>
  <c r="DT23" i="2" a="1"/>
  <c r="DT22" i="2" a="1"/>
  <c r="DT21" i="2" a="1"/>
  <c r="DT20" i="2" a="1"/>
  <c r="DT19" i="2" a="1"/>
  <c r="DT18" i="2" a="1"/>
  <c r="DT17" i="2" a="1"/>
  <c r="DT16" i="2" a="1"/>
  <c r="DT15" i="2" a="1"/>
  <c r="DT14" i="2" a="1"/>
  <c r="DT13" i="2" a="1"/>
  <c r="DT12" i="2" a="1"/>
  <c r="DT11" i="2" a="1"/>
  <c r="DT10" i="2" a="1"/>
  <c r="DT9" i="2" a="1"/>
  <c r="DT8" i="2" a="1"/>
  <c r="DT7" i="2" a="1"/>
  <c r="DT6" i="2" a="1"/>
  <c r="DT5" i="2" a="1"/>
  <c r="CJ29" i="2" a="1"/>
  <c r="CJ28" i="2" a="1"/>
  <c r="CJ27" i="2" a="1"/>
  <c r="CJ26" i="2" a="1"/>
  <c r="CJ25" i="2" a="1"/>
  <c r="CJ24" i="2" a="1"/>
  <c r="CJ23" i="2" a="1"/>
  <c r="CJ22" i="2" a="1"/>
  <c r="CJ21" i="2" a="1"/>
  <c r="CJ20" i="2" a="1"/>
  <c r="CJ19" i="2" a="1"/>
  <c r="CJ18" i="2" a="1"/>
  <c r="CJ17" i="2" a="1"/>
  <c r="CJ16" i="2" a="1"/>
  <c r="CJ15" i="2" a="1"/>
  <c r="CJ14" i="2" a="1"/>
  <c r="CJ13" i="2" a="1"/>
  <c r="CJ12" i="2" a="1"/>
  <c r="CJ11" i="2" a="1"/>
  <c r="CJ10" i="2" a="1"/>
  <c r="CJ9" i="2" a="1"/>
  <c r="CJ8" i="2" a="1"/>
  <c r="CJ7" i="2" a="1"/>
  <c r="CJ6" i="2" a="1"/>
  <c r="CJ5" i="2" a="1"/>
  <c r="HX7" i="2" l="1"/>
  <c r="HX20" i="2"/>
  <c r="HX9" i="2"/>
  <c r="HX15" i="2"/>
  <c r="HX21" i="2"/>
  <c r="HX27" i="2"/>
  <c r="HX13" i="2"/>
  <c r="HX25" i="2"/>
  <c r="HX14" i="2"/>
  <c r="HX22" i="2"/>
  <c r="HX28" i="2"/>
  <c r="HX11" i="2"/>
  <c r="HX17" i="2"/>
  <c r="HX23" i="2"/>
  <c r="HX16" i="2"/>
  <c r="HX19" i="2"/>
  <c r="HX26" i="2"/>
  <c r="HX10" i="2"/>
  <c r="HX6" i="2"/>
  <c r="HX12" i="2"/>
  <c r="HX18" i="2"/>
  <c r="HX24" i="2"/>
  <c r="HX8" i="2"/>
  <c r="HX29" i="2"/>
  <c r="HX5" i="2"/>
  <c r="GN14" i="2"/>
  <c r="GN29" i="2"/>
  <c r="GN27" i="2"/>
  <c r="GN10" i="2"/>
  <c r="GN16" i="2"/>
  <c r="GN22" i="2"/>
  <c r="GN28" i="2"/>
  <c r="GN8" i="2"/>
  <c r="GN20" i="2"/>
  <c r="GN9" i="2"/>
  <c r="GN17" i="2"/>
  <c r="GN15" i="2"/>
  <c r="GN11" i="2"/>
  <c r="GN23" i="2"/>
  <c r="GN6" i="2"/>
  <c r="GN12" i="2"/>
  <c r="GN18" i="2"/>
  <c r="GN24" i="2"/>
  <c r="GN26" i="2"/>
  <c r="GN21" i="2"/>
  <c r="GN7" i="2"/>
  <c r="GN13" i="2"/>
  <c r="GN19" i="2"/>
  <c r="GN25" i="2"/>
  <c r="GN5" i="2"/>
  <c r="DT15" i="2"/>
  <c r="DT16" i="2"/>
  <c r="DT11" i="2"/>
  <c r="DT27" i="2"/>
  <c r="DT28" i="2"/>
  <c r="DT17" i="2"/>
  <c r="DT23" i="2"/>
  <c r="DT10" i="2"/>
  <c r="DT6" i="2"/>
  <c r="DT9" i="2"/>
  <c r="DT21" i="2"/>
  <c r="DT18" i="2"/>
  <c r="DT22" i="2"/>
  <c r="DT24" i="2"/>
  <c r="DT7" i="2"/>
  <c r="DT13" i="2"/>
  <c r="DT19" i="2"/>
  <c r="DT25" i="2"/>
  <c r="DT12" i="2"/>
  <c r="DT8" i="2"/>
  <c r="DT14" i="2"/>
  <c r="DT20" i="2"/>
  <c r="DT26" i="2"/>
  <c r="DT29" i="2"/>
  <c r="DT5" i="2"/>
  <c r="CJ15" i="2"/>
  <c r="CJ16" i="2"/>
  <c r="CJ22" i="2"/>
  <c r="CJ28" i="2"/>
  <c r="CJ27" i="2"/>
  <c r="CJ21" i="2"/>
  <c r="CJ11" i="2"/>
  <c r="CJ23" i="2"/>
  <c r="CJ9" i="2"/>
  <c r="CJ10" i="2"/>
  <c r="CJ17" i="2"/>
  <c r="CJ6" i="2"/>
  <c r="CJ12" i="2"/>
  <c r="CJ18" i="2"/>
  <c r="CJ24" i="2"/>
  <c r="CJ7" i="2"/>
  <c r="CJ13" i="2"/>
  <c r="CJ19" i="2"/>
  <c r="CJ25" i="2"/>
  <c r="CJ8" i="2"/>
  <c r="CJ14" i="2"/>
  <c r="CJ20" i="2"/>
  <c r="CJ26" i="2"/>
  <c r="CJ29" i="2"/>
  <c r="CJ5" i="2"/>
  <c r="B29" i="2" l="1"/>
  <c r="B28" i="2"/>
  <c r="B27" i="2"/>
  <c r="B26" i="2"/>
  <c r="B25" i="2"/>
  <c r="B24" i="2"/>
  <c r="B23" i="2"/>
  <c r="B22" i="2"/>
  <c r="B21" i="2"/>
  <c r="B20" i="2"/>
  <c r="B19" i="2"/>
  <c r="B18" i="2"/>
  <c r="B17" i="2"/>
  <c r="B16" i="2"/>
  <c r="B15" i="2"/>
  <c r="B14" i="2"/>
  <c r="B13" i="2"/>
  <c r="B12" i="2"/>
  <c r="B11" i="2"/>
  <c r="B10" i="2"/>
  <c r="B9" i="2"/>
  <c r="B8" i="2"/>
  <c r="IC7" i="2"/>
  <c r="FE7" i="2"/>
  <c r="BA7" i="2"/>
  <c r="B7" i="2"/>
  <c r="IC6" i="2"/>
  <c r="FE6" i="2"/>
  <c r="BA6" i="2"/>
  <c r="B6" i="2"/>
  <c r="B5" i="2"/>
  <c r="FD29" i="2" a="1"/>
  <c r="FD28" i="2" a="1"/>
  <c r="FD27" i="2" a="1"/>
  <c r="FD26" i="2" a="1"/>
  <c r="FD25" i="2" a="1"/>
  <c r="FD24" i="2" a="1"/>
  <c r="FD23" i="2" a="1"/>
  <c r="FD22" i="2" a="1"/>
  <c r="FD21" i="2" a="1"/>
  <c r="FD20" i="2" a="1"/>
  <c r="FD19" i="2" a="1"/>
  <c r="FD18" i="2" a="1"/>
  <c r="FD17" i="2" a="1"/>
  <c r="FD16" i="2" a="1"/>
  <c r="FD15" i="2" a="1"/>
  <c r="FD14" i="2" a="1"/>
  <c r="FD13" i="2" a="1"/>
  <c r="FD12" i="2" a="1"/>
  <c r="FD11" i="2" a="1"/>
  <c r="FD10" i="2" a="1"/>
  <c r="FD9" i="2" a="1"/>
  <c r="FD8" i="2" a="1"/>
  <c r="FD7" i="2" a="1"/>
  <c r="FD6" i="2" a="1"/>
  <c r="FD5" i="2" a="1"/>
  <c r="AZ29" i="2" a="1"/>
  <c r="AZ28" i="2" a="1"/>
  <c r="AZ27" i="2" a="1"/>
  <c r="AZ26" i="2" a="1"/>
  <c r="AZ25" i="2" a="1"/>
  <c r="AZ24" i="2" a="1"/>
  <c r="AZ23" i="2" a="1"/>
  <c r="AZ22" i="2" a="1"/>
  <c r="AZ21" i="2" a="1"/>
  <c r="AZ20" i="2" a="1"/>
  <c r="AZ19" i="2" a="1"/>
  <c r="AZ18" i="2" a="1"/>
  <c r="AZ17" i="2" a="1"/>
  <c r="AZ16" i="2" a="1"/>
  <c r="AZ15" i="2" a="1"/>
  <c r="AZ14" i="2" a="1"/>
  <c r="AZ13" i="2" a="1"/>
  <c r="AZ12" i="2" a="1"/>
  <c r="AZ11" i="2" a="1"/>
  <c r="AZ10" i="2" a="1"/>
  <c r="AZ9" i="2" a="1"/>
  <c r="AZ8" i="2" a="1"/>
  <c r="AZ7" i="2" a="1"/>
  <c r="AZ6" i="2" a="1"/>
  <c r="AZ5" i="2" a="1"/>
  <c r="FD10" i="2" l="1"/>
  <c r="AZ7" i="2"/>
  <c r="AZ13" i="2"/>
  <c r="FD20" i="2"/>
  <c r="FD14" i="2"/>
  <c r="FD19" i="2"/>
  <c r="AZ24" i="2"/>
  <c r="FD25" i="2"/>
  <c r="FD8" i="2"/>
  <c r="FD7" i="2"/>
  <c r="AZ12" i="2"/>
  <c r="AZ18" i="2"/>
  <c r="AZ23" i="2"/>
  <c r="AZ5" i="2"/>
  <c r="FD21" i="2"/>
  <c r="AZ6" i="2"/>
  <c r="FD13" i="2"/>
  <c r="FD24" i="2"/>
  <c r="AZ11" i="2"/>
  <c r="AZ17" i="2"/>
  <c r="FD18" i="2"/>
  <c r="AZ28" i="2"/>
  <c r="FD6" i="2"/>
  <c r="FD12" i="2"/>
  <c r="FD23" i="2"/>
  <c r="FD11" i="2"/>
  <c r="FD28" i="2"/>
  <c r="AZ29" i="2"/>
  <c r="AZ10" i="2"/>
  <c r="FD17" i="2"/>
  <c r="AZ21" i="2"/>
  <c r="FD22" i="2"/>
  <c r="AZ22" i="2"/>
  <c r="AZ16" i="2"/>
  <c r="AZ27" i="2"/>
  <c r="AZ9" i="2"/>
  <c r="AZ15" i="2"/>
  <c r="FD16" i="2"/>
  <c r="AZ26" i="2"/>
  <c r="FD29" i="2"/>
  <c r="AZ8" i="2"/>
  <c r="AZ20" i="2"/>
  <c r="FD27" i="2"/>
  <c r="AZ25" i="2"/>
  <c r="FD26" i="2"/>
  <c r="FD5" i="2"/>
  <c r="FD9" i="2"/>
  <c r="AZ14" i="2"/>
  <c r="FD15" i="2"/>
  <c r="AZ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<sst xmlns="http://schemas.openxmlformats.org/spreadsheetml/2006/main" count="4019" uniqueCount="442">
  <si>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</si>
  <si>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</si>
  <si>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</si>
  <si>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</si>
  <si>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</si>
  <si>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</si>
  <si>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</si>
  <si>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</si>
  <si>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</si>
  <si>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</si>
  <si>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</si>
  <si>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</si>
  <si>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</si>
  <si>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</si>
  <si>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</si>
  <si>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</si>
  <si>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</si>
  <si>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</si>
  <si>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</si>
  <si>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</si>
  <si>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</si>
  <si>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</si>
  <si>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</si>
  <si>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</si>
  <si>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</si>
  <si>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</si>
  <si>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</si>
  <si>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</si>
  <si>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</si>
  <si>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</si>
  <si>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</si>
  <si>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</si>
  <si>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</si>
  <si>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</si>
  <si>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</si>
  <si>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</si>
  <si>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</si>
  <si>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</si>
  <si>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</si>
  <si>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</si>
  <si>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</si>
  <si>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</si>
  <si>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</si>
  <si>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</si>
  <si>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</si>
  <si>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</si>
  <si>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</si>
  <si>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</si>
  <si>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</si>
  <si>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</si>
  <si>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</si>
  <si>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</si>
  <si>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</si>
  <si>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</si>
  <si>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</si>
  <si>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</si>
  <si>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</si>
  <si>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</si>
  <si>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</si>
  <si>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</si>
  <si>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</si>
  <si>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</si>
  <si>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</si>
  <si>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</si>
  <si>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</si>
  <si>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</si>
  <si>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</si>
  <si>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</si>
  <si>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</si>
  <si>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</si>
  <si>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</si>
  <si>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</si>
  <si>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</si>
  <si>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</si>
  <si>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</si>
  <si>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</si>
  <si>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</si>
  <si>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</si>
  <si>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</si>
  <si>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</si>
  <si>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</si>
  <si>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</si>
  <si>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</si>
  <si>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</si>
  <si>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</si>
  <si>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</si>
  <si>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</si>
  <si>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</si>
  <si>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</si>
  <si>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</si>
  <si>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</si>
  <si>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</si>
  <si>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</si>
  <si>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</si>
  <si>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</si>
  <si>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</si>
  <si>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</si>
  <si>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</si>
  <si>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</si>
  <si>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</si>
  <si>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</si>
  <si>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</si>
  <si>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</si>
  <si>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</si>
  <si>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</si>
  <si>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</si>
  <si>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</si>
  <si>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</si>
  <si>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</si>
  <si>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</si>
  <si>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</si>
  <si>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</si>
  <si>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</si>
  <si>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</si>
  <si>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</si>
  <si>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</si>
  <si>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</si>
  <si>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</si>
  <si>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</si>
  <si>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</si>
  <si>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</si>
  <si>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</si>
  <si>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</si>
  <si>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</si>
  <si>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</si>
  <si>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</si>
  <si>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</si>
  <si>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</si>
  <si>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</si>
  <si>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</si>
  <si>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</si>
  <si>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</si>
  <si>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</si>
  <si>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</si>
  <si>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</si>
  <si>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</si>
  <si>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</si>
  <si>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</si>
  <si>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</si>
  <si>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</si>
  <si>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</si>
  <si>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</si>
  <si>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</si>
  <si>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</si>
  <si>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</si>
  <si>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</si>
  <si>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</si>
  <si>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</si>
  <si>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</si>
  <si>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</si>
  <si>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</si>
  <si>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</si>
  <si>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</si>
  <si>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</si>
  <si>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</si>
  <si>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</si>
  <si>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</si>
  <si>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</si>
  <si>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</si>
  <si>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</si>
  <si>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</si>
  <si>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</si>
  <si>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</si>
  <si>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</si>
  <si>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</si>
  <si>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</si>
  <si>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</si>
  <si>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</si>
  <si>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</si>
  <si>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</si>
  <si>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</si>
  <si>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</si>
  <si>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</si>
  <si>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</si>
  <si>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</si>
  <si>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</si>
  <si>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</si>
  <si>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</si>
  <si>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</si>
  <si>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</si>
  <si>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</si>
  <si>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</si>
  <si>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</si>
  <si>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</si>
  <si>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</si>
  <si>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</si>
  <si>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</si>
  <si>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</si>
  <si>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</si>
  <si>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</si>
  <si>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</si>
  <si>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</si>
  <si>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</si>
  <si>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</si>
  <si>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</si>
  <si>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</si>
  <si>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</si>
  <si>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</si>
  <si>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</si>
  <si>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</si>
  <si>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</si>
  <si>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</si>
  <si>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</si>
  <si>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</si>
  <si>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</si>
  <si>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</si>
  <si>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</si>
  <si>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</si>
  <si>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</si>
  <si>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</si>
  <si>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</si>
  <si>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</si>
  <si>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</si>
  <si>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</si>
  <si>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</si>
  <si>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</si>
  <si>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</si>
  <si>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</si>
  <si>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</si>
  <si>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</si>
  <si>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</si>
  <si>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</si>
  <si>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</si>
  <si>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</si>
  <si>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</si>
  <si>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</si>
  <si>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</si>
  <si>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</si>
  <si>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</si>
  <si>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</si>
  <si>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</si>
  <si>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</si>
  <si>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</si>
  <si>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</si>
  <si>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</si>
  <si>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</si>
  <si>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</si>
  <si>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</si>
  <si>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</si>
  <si>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</si>
  <si>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</si>
  <si>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</si>
  <si>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</si>
  <si>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</si>
  <si>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</si>
  <si>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</si>
  <si>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</si>
  <si>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</si>
  <si>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</si>
  <si>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</si>
  <si>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</si>
  <si>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</si>
  <si>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</si>
  <si>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</si>
  <si>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</si>
  <si>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</si>
  <si>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</si>
  <si>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</si>
  <si>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</si>
  <si>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</si>
  <si>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</si>
  <si>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</si>
  <si>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</si>
  <si>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</si>
  <si>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</si>
  <si>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</si>
  <si>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</si>
  <si>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</si>
  <si>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</si>
  <si>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</si>
  <si>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</si>
  <si>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</si>
  <si>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</si>
  <si>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</si>
  <si>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</si>
  <si>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</si>
  <si>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</si>
  <si>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</si>
  <si>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</si>
  <si>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</si>
  <si>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</si>
  <si>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</si>
  <si>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</si>
  <si>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</si>
  <si>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</si>
  <si>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</si>
  <si>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</si>
  <si>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</si>
  <si>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</si>
  <si>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</si>
  <si>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</si>
  <si>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</si>
  <si>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</si>
  <si>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</si>
  <si>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</si>
  <si>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</si>
  <si>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</si>
  <si>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</si>
  <si>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</si>
  <si>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</si>
  <si>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</si>
  <si>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</si>
  <si>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</si>
  <si>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</si>
  <si>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</si>
  <si>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</si>
  <si>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</si>
  <si>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</si>
  <si>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</si>
  <si>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</si>
  <si>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</si>
  <si>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</si>
  <si>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</si>
  <si>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</si>
  <si>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</si>
  <si>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</si>
  <si>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</si>
  <si>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</si>
  <si>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</si>
  <si>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</si>
  <si>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</si>
  <si>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</si>
  <si>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</si>
  <si>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</si>
  <si>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</si>
  <si>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</si>
  <si>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</si>
  <si>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</si>
  <si>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</si>
  <si>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</si>
  <si>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</si>
  <si>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</si>
  <si>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</si>
  <si>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</si>
  <si>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</si>
  <si>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</si>
  <si>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</si>
  <si>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</si>
  <si>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</si>
  <si>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</si>
  <si>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</si>
  <si>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</si>
  <si>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</si>
  <si>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</si>
  <si>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</si>
  <si>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</si>
  <si>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</si>
  <si>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</si>
  <si>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</si>
  <si>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</si>
  <si>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</si>
  <si>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</si>
  <si>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</si>
  <si>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</si>
  <si>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</si>
  <si>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</si>
  <si>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</si>
  <si>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</si>
  <si>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</si>
  <si>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</si>
  <si>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</si>
  <si>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</si>
  <si>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</si>
  <si>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</si>
  <si>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</si>
  <si>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</si>
  <si>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</si>
  <si>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</si>
  <si>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</si>
  <si>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</si>
  <si>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</si>
  <si>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</si>
  <si>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</si>
  <si>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</si>
  <si>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</si>
  <si>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</si>
  <si>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</si>
  <si>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</si>
  <si>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</si>
  <si>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</si>
  <si>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</si>
  <si>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</si>
  <si>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</si>
  <si>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</si>
  <si>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</si>
  <si>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</si>
  <si>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</si>
  <si>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</si>
  <si>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</si>
  <si>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</si>
  <si>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</si>
  <si>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</si>
  <si>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</si>
  <si>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</si>
  <si>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</si>
  <si>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</si>
  <si>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</si>
  <si>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</si>
  <si>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</si>
  <si>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</si>
  <si>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</si>
  <si>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</si>
  <si>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</si>
  <si>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</si>
  <si>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</si>
  <si>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</si>
  <si>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</si>
  <si>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</si>
  <si>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</si>
  <si>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</si>
  <si>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</si>
  <si>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</si>
  <si>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</si>
  <si>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</si>
  <si>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</si>
  <si>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</si>
  <si>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</si>
  <si>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</si>
  <si>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</si>
  <si>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</si>
  <si>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</si>
  <si>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</si>
  <si>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</si>
  <si>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</si>
  <si>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</si>
  <si>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</si>
  <si>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</si>
  <si>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</si>
  <si>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</si>
  <si>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</si>
  <si>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</si>
  <si>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</si>
  <si>
    <t>Upload / Download Individual or a group of sheets</t>
  </si>
  <si>
    <t>Sheet List: Separated by a comma</t>
  </si>
  <si>
    <t>PINCHART-PROC, PINCHART-CIP</t>
  </si>
  <si>
    <t>Python 3 Path</t>
  </si>
  <si>
    <t>PC5 Sheet List: Separated by a comma</t>
  </si>
  <si>
    <t>C:\Program Files (x86)\Python39-32\python.exe</t>
  </si>
  <si>
    <t>C:\CCS\MTPyPinchart\main.py</t>
  </si>
  <si>
    <t>IP Address</t>
  </si>
  <si>
    <t>Slot</t>
  </si>
  <si>
    <t>192.168.59.211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</si>
</sst>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5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230">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23" xfId="0" applyBorder="1" applyAlignment="1" applyProtection="1">
      <alignment textRotation="90"/>
      <protection locked="0"/>
    </xf>
    <xf numFmtId="0" fontId="0" fillId="0" borderId="0" xfId="0" applyAlignment="1">
      <alignment horizontal="center"/>
    </xf>
    <xf numFmtId="0" fontId="0" fillId="0" borderId="13" xfId="0" applyBorder="1" applyAlignment="1">
      <alignment horizontal="center"/>
    </xf>
    <xf numFmtId="0" fontId="0" fillId="0" borderId="10" xfId="0" applyBorder="1"/>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7" xfId="0" applyBorder="1" applyAlignment="1">
      <alignment horizontal="center"/>
    </xf>
    <xf numFmtId="0" fontId="0" fillId="0" borderId="23" xfId="0" applyBorder="1"/>
    <xf numFmtId="0" fontId="0" fillId="0" borderId="0" xfId="0"/>
    <xf numFmtId="0" fontId="0" fillId="0" borderId="7" xfId="0" applyBorder="1" applyAlignment="1">
      <alignment horizontal="center"/>
    </xf>
    <xf numFmtId="0" fontId="0" fillId="0" borderId="23" xfId="0" applyBorder="1"/>
    <xf numFmtId="0" fontId="0" fillId="0" borderId="30" xfId="0" applyBorder="1"/>
    <xf numFmtId="0" fontId="0" fillId="0" borderId="31" xfId="0" applyBorder="1" applyAlignment="1">
      <alignment wrapText="1"/>
    </xf>
    <xf numFmtId="0" fontId="0" fillId="0" borderId="31" xfId="0" applyBorder="1" applyAlignment="1"/>
    <xf numFmtId="0" fontId="0" fillId="0" borderId="34" xfId="0" applyBorder="1" applyAlignment="1" applyProtection="1">
      <alignment horizontal="center" textRotation="90"/>
      <protection locked="0"/>
    </xf>
    <xf numFmtId="0" fontId="0" fillId="0" borderId="35"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6" xfId="0" applyBorder="1" applyAlignment="1">
      <alignment horizontal="center"/>
    </xf>
    <xf numFmtId="0" fontId="0" fillId="0" borderId="32" xfId="0" applyBorder="1" applyAlignment="1" applyProtection="1">
      <alignment horizontal="center" textRotation="90"/>
      <protection locked="0"/>
    </xf>
    <xf numFmtId="0" fontId="0" fillId="0" borderId="38" xfId="0" applyBorder="1"/>
    <xf numFmtId="0" fontId="0" fillId="0" borderId="39" xfId="0" applyBorder="1" applyAlignment="1">
      <alignment horizontal="center"/>
    </xf>
    <xf numFmtId="0" fontId="0" fillId="0" borderId="37" xfId="0" applyBorder="1"/>
    <xf numFmtId="0" fontId="0" fillId="0" borderId="37" xfId="0" applyBorder="1" applyProtection="1">
      <protection locked="0"/>
    </xf>
    <xf numFmtId="0" fontId="0" fillId="0" borderId="40" xfId="0" applyBorder="1"/>
    <xf numFmtId="0" fontId="0" fillId="0" borderId="25" xfId="0" applyFill="1" applyBorder="1" applyAlignment="1" applyProtection="1">
      <alignment horizontal="center" textRotation="90"/>
      <protection locked="0"/>
    </xf>
    <xf numFmtId="0" fontId="0" fillId="0" borderId="1" xfId="0" applyFill="1" applyBorder="1" applyAlignment="1">
      <alignment horizontal="center"/>
    </xf>
    <xf numFmtId="0" fontId="0" fillId="0" borderId="1" xfId="0" applyFill="1" applyBorder="1" applyAlignment="1" applyProtection="1">
      <alignment horizontal="center"/>
      <protection locked="0"/>
    </xf>
    <xf numFmtId="0" fontId="0" fillId="0" borderId="0" xfId="0" applyFill="1" applyAlignment="1">
      <alignment horizontal="center"/>
    </xf>
    <xf numFmtId="0" fontId="0" fillId="0" borderId="31" xfId="0" applyBorder="1" applyAlignment="1" applyProtection="1">
      <alignment textRotation="90"/>
      <protection locked="0"/>
    </xf>
    <xf numFmtId="0" fontId="0" fillId="0" borderId="4" xfId="0" applyFill="1" applyBorder="1"/>
    <xf numFmtId="0" fontId="0" fillId="0" borderId="4" xfId="0" applyFill="1" applyBorder="1" applyProtection="1">
      <protection locked="0"/>
    </xf>
    <xf numFmtId="0" fontId="0" fillId="0" borderId="9" xfId="0" applyFill="1" applyBorder="1"/>
    <xf numFmtId="0" fontId="0" fillId="0" borderId="5" xfId="0" applyFill="1" applyBorder="1" applyAlignment="1">
      <alignment horizontal="center"/>
    </xf>
    <xf numFmtId="0" fontId="0" fillId="0" borderId="10" xfId="0" applyFill="1" applyBorder="1"/>
    <xf numFmtId="0" fontId="2" fillId="0" borderId="5" xfId="0" applyFont="1" applyFill="1" applyBorder="1"/>
    <xf numFmtId="0" fontId="0" fillId="0" borderId="7"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5" xfId="0" applyFont="1" applyBorder="1" applyAlignment="1" applyProtection="1">
      <alignment horizontal="center" textRotation="90"/>
      <protection locked="0"/>
    </xf>
    <xf numFmtId="0" fontId="0" fillId="0" borderId="0" xfId="0"/>
    <xf numFmtId="0" fontId="0" fillId="0" borderId="23" xfId="0" applyBorder="1"/>
    <xf numFmtId="0" fontId="0" fillId="0" borderId="30" xfId="0" applyBorder="1"/>
    <xf numFmtId="0" fontId="0" fillId="0" borderId="7" xfId="0" applyBorder="1" applyAlignment="1">
      <alignment horizontal="center"/>
    </xf>
    <xf numFmtId="0" fontId="0" fillId="0" borderId="31" xfId="0" applyBorder="1" applyAlignment="1"/>
    <xf numFmtId="0" fontId="0" fillId="0" borderId="10" xfId="0" applyBorder="1" applyProtection="1">
      <protection locked="0"/>
    </xf>
    <xf numFmtId="0" fontId="0" fillId="0" borderId="10" xfId="0" applyFill="1" applyBorder="1" applyProtection="1">
      <protection locked="0"/>
    </xf>
    <xf numFmtId="0" fontId="0" fillId="0" borderId="41" xfId="0" applyBorder="1"/>
    <xf numFmtId="0" fontId="2" fillId="0" borderId="7" xfId="0" applyFont="1" applyBorder="1"/>
    <xf numFmtId="0" fontId="2" fillId="0" borderId="42" xfId="0" applyFont="1" applyBorder="1"/>
    <xf numFmtId="0" fontId="0" fillId="0" borderId="43" xfId="0" applyBorder="1" applyAlignment="1">
      <alignment horizontal="center"/>
    </xf>
    <xf numFmtId="0" fontId="0" fillId="0" borderId="43" xfId="0" applyFill="1" applyBorder="1" applyAlignment="1">
      <alignment horizontal="center"/>
    </xf>
    <xf numFmtId="0" fontId="0" fillId="0" borderId="44" xfId="0" applyBorder="1" applyAlignment="1">
      <alignment horizontal="center"/>
    </xf>
    <xf numFmtId="0" fontId="0" fillId="0" borderId="42" xfId="0" applyBorder="1" applyAlignment="1">
      <alignment horizontal="center"/>
    </xf>
    <xf numFmtId="0" fontId="0" fillId="0" borderId="40" xfId="0" applyBorder="1" applyProtection="1">
      <protection locked="0"/>
    </xf>
    <xf numFmtId="0" fontId="2" fillId="0" borderId="39" xfId="0" applyFont="1" applyBorder="1"/>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44" xfId="0" applyBorder="1" applyAlignment="1" applyProtection="1">
      <alignment horizontal="center"/>
      <protection locked="0"/>
    </xf>
    <xf numFmtId="0" fontId="0" fillId="0" borderId="45"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22" xfId="0" applyBorder="1"/>
    <xf numFmtId="0" fontId="0" fillId="0" borderId="30" xfId="0" applyBorder="1"/>
    <xf numFmtId="0" fontId="0" fillId="0" borderId="47" xfId="0" applyBorder="1" applyAlignment="1" applyProtection="1">
      <alignment horizontal="center" textRotation="90"/>
      <protection locked="0"/>
    </xf>
    <xf numFmtId="0" fontId="0" fillId="0" borderId="30" xfId="0" applyBorder="1" applyAlignment="1">
      <alignment wrapText="1"/>
    </xf>
    <xf numFmtId="0" fontId="0" fillId="0" borderId="30" xfId="0" applyBorder="1" applyAlignment="1" applyProtection="1">
      <alignment textRotation="90"/>
      <protection locked="0"/>
    </xf>
    <xf numFmtId="0" fontId="6" fillId="0" borderId="4" xfId="0" applyFont="1" applyFill="1" applyBorder="1"/>
    <xf numFmtId="0" fontId="6" fillId="0" borderId="4" xfId="0" applyFont="1" applyFill="1" applyBorder="1" applyProtection="1">
      <protection locked="0"/>
    </xf>
    <xf numFmtId="0" fontId="6" fillId="0" borderId="5" xfId="0" applyFont="1" applyFill="1" applyBorder="1" applyAlignment="1">
      <alignment horizontal="center"/>
    </xf>
    <xf numFmtId="0" fontId="6" fillId="0" borderId="10" xfId="0" applyFont="1" applyFill="1" applyBorder="1"/>
    <xf numFmtId="0" fontId="6" fillId="0" borderId="7"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10" xfId="0" applyBorder="1"/>
    <xf numFmtId="0" fontId="0" fillId="0" borderId="31" xfId="0" applyBorder="1"/>
    <xf numFmtId="0" fontId="0" fillId="0" borderId="30" xfId="0" applyBorder="1"/>
    <xf numFmtId="0" fontId="0" fillId="0" borderId="2" xfId="0" applyBorder="1" applyAlignment="1">
      <alignment horizontal="center"/>
    </xf>
    <xf numFmtId="0" fontId="0" fillId="0" borderId="45" xfId="0" applyBorder="1" applyAlignment="1">
      <alignment horizontal="center"/>
    </xf>
    <xf numFmtId="0" fontId="2" fillId="0" borderId="2" xfId="0" applyFont="1" applyBorder="1"/>
    <xf numFmtId="0" fontId="2" fillId="0" borderId="45" xfId="0" applyFont="1" applyBorder="1"/>
    <xf numFmtId="0" fontId="0" fillId="0" borderId="48" xfId="0" applyBorder="1"/>
    <xf numFmtId="0" fontId="0" fillId="0" borderId="49" xfId="0" applyBorder="1"/>
    <xf numFmtId="2" fontId="0" fillId="0" borderId="50" xfId="0" applyNumberFormat="1" applyBorder="1"/>
    <xf numFmtId="2" fontId="0" fillId="0" borderId="48" xfId="0" applyNumberFormat="1" applyBorder="1"/>
    <xf numFmtId="0" fontId="1" fillId="0" borderId="50" xfId="0" applyFont="1" applyBorder="1"/>
    <xf numFmtId="0" fontId="0" fillId="0" borderId="24" xfId="0" applyBorder="1" applyAlignment="1">
      <alignment horizontal="center"/>
    </xf>
    <xf numFmtId="0" fontId="0" fillId="0" borderId="25" xfId="0" applyFill="1" applyBorder="1" applyAlignment="1">
      <alignment horizontal="center"/>
    </xf>
    <xf numFmtId="0" fontId="0" fillId="0" borderId="38" xfId="0" applyFill="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31"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15"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23" xfId="0" applyBorder="1"/>
    <xf numFmtId="1" fontId="0" fillId="0" borderId="5" xfId="0" applyNumberFormat="1" applyBorder="1" applyProtection="1">
      <protection locked="0"/>
    </xf>
    <xf numFmtId="1" fontId="0" fillId="0" borderId="5" xfId="0" applyNumberFormat="1" applyFill="1" applyBorder="1" applyProtection="1">
      <protection locked="0"/>
    </xf>
    <xf numFmtId="1" fontId="6" fillId="0" borderId="5" xfId="0" applyNumberFormat="1" applyFont="1" applyFill="1" applyBorder="1" applyProtection="1">
      <protection locked="0"/>
    </xf>
    <xf numFmtId="1" fontId="0" fillId="0" borderId="39" xfId="0" applyNumberFormat="1" applyBorder="1" applyProtection="1">
      <protection locked="0"/>
    </xf>
    <xf numFmtId="1" fontId="0" fillId="0" borderId="4" xfId="0" applyNumberFormat="1" applyBorder="1" applyProtection="1">
      <protection locked="0"/>
    </xf>
    <xf numFmtId="1" fontId="0" fillId="0" borderId="4" xfId="0" applyNumberFormat="1" applyFill="1" applyBorder="1" applyProtection="1">
      <protection locked="0"/>
    </xf>
    <xf numFmtId="1" fontId="0" fillId="0" borderId="37"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40" xfId="0" applyNumberFormat="1" applyBorder="1"/>
    <xf numFmtId="1" fontId="0" fillId="0" borderId="4" xfId="0" applyNumberFormat="1" applyBorder="1"/>
    <xf numFmtId="1" fontId="0" fillId="0" borderId="37" xfId="0" applyNumberFormat="1" applyBorder="1"/>
    <xf numFmtId="0" fontId="0" fillId="0" borderId="30"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15" xfId="0" applyBorder="1" applyAlignment="1">
      <alignment horizontal="center"/>
    </xf>
    <xf numFmtId="0" fontId="0" fillId="0" borderId="17"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31" xfId="0" applyBorder="1"/>
    <xf numFmtId="0" fontId="0" fillId="0" borderId="29" xfId="0" applyBorder="1"/>
    <xf numFmtId="0" fontId="0" fillId="0" borderId="30" xfId="0" applyBorder="1"/>
    <xf numFmtId="0" fontId="0" fillId="0" borderId="23" xfId="0" applyBorder="1" applyAlignment="1" applyProtection="1">
      <alignment horizontal="center" textRotation="90"/>
      <protection locked="0"/>
    </xf>
    <xf numFmtId="0" fontId="0" fillId="0" borderId="23" xfId="0" applyBorder="1" applyAlignment="1">
      <alignment wrapText="1"/>
    </xf>
    <xf numFmtId="0" fontId="0" fillId="0" borderId="31" xfId="0" applyBorder="1" applyAlignment="1">
      <alignment wrapText="1"/>
    </xf>
    <xf numFmtId="0" fontId="0" fillId="0" borderId="29" xfId="0" applyBorder="1" applyAlignment="1" applyProtection="1">
      <alignment horizontal="center" textRotation="90"/>
      <protection locked="0"/>
    </xf>
    <xf numFmtId="0" fontId="0" fillId="0" borderId="29" xfId="0" applyBorder="1" applyAlignment="1"/>
    <xf numFmtId="0" fontId="0" fillId="0" borderId="30" xfId="0" applyBorder="1" applyAlignment="1"/>
    <xf numFmtId="0" fontId="0" fillId="0" borderId="32" xfId="0" applyBorder="1" applyAlignment="1">
      <alignment wrapText="1"/>
    </xf>
    <xf numFmtId="0" fontId="0" fillId="0" borderId="6" xfId="0" applyBorder="1" applyAlignment="1">
      <alignment wrapText="1"/>
    </xf>
    <xf numFmtId="0" fontId="0" fillId="0" borderId="14" xfId="0" applyBorder="1"/>
    <xf numFmtId="0" fontId="0" fillId="0" borderId="46" xfId="0" applyBorder="1"/>
    <xf numFmtId="0" fontId="0" fillId="0" borderId="6" xfId="0" applyBorder="1"/>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27" xfId="0" applyBorder="1"/>
    <xf numFmtId="0" fontId="0" fillId="0" borderId="28" xfId="0" applyBorder="1"/>
    <xf numFmtId="0" fontId="4" fillId="0" borderId="31" xfId="0" applyFont="1" applyBorder="1"/>
    <xf numFmtId="0" fontId="0" fillId="0" borderId="31" xfId="0" applyBorder="1" applyAlignment="1"/>
    <xf numFmtId="0" fontId="0" fillId="0" borderId="11" xfId="0" applyBorder="1" applyAlignment="1">
      <alignment wrapText="1"/>
    </xf>
    <xf numFmtId="0" fontId="0" fillId="0" borderId="11" xfId="0" applyBorder="1"/>
    <xf numFmtId="0" fontId="0" fillId="0" borderId="24" xfId="0" applyBorder="1" applyAlignment="1">
      <alignment horizontal="center"/>
    </xf>
    <xf numFmtId="0" fontId="0" fillId="0" borderId="50" xfId="0" applyBorder="1"/>
    <xf numFmtId="0" fontId="0" fillId="0" borderId="36" xfId="0" applyBorder="1"/>
    <xf numFmtId="0" fontId="0" fillId="0" borderId="49" xfId="0" applyBorder="1"/>
    <xf numFmtId="0" fontId="0" fillId="0" borderId="31"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16" xfId="0" applyBorder="1"/>
    <xf numFmtId="0" fontId="0" fillId="0" borderId="12" xfId="0" applyBorder="1"/>
    <xf numFmtId="0" fontId="0" fillId="0" borderId="23" xfId="0" applyBorder="1"/>
    <xf numFmtId="1" fontId="6" fillId="0" borderId="4" xfId="0" applyNumberFormat="1" applyFont="1" applyFill="1" applyBorder="1" applyProtection="1">
      <protection locked="0"/>
    </xf>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zoomScale="85" zoomScaleNormal="85" workbookViewId="0">
      <selection activeCell="C10" sqref="C10"/>
    </sheetView>
  </sheetViews>
  <sheetFormatPr defaultRowHeight="15" x14ac:dyDescent="0.25"/>
  <cols>
    <col min="1" max="1" width="9.140625" style="28" customWidth="1"/>
    <col min="2" max="2" width="21.85546875" style="28" customWidth="1"/>
    <col min="3" max="3" width="68.5703125" style="28" bestFit="1" customWidth="1"/>
    <col min="4" max="11" width="9.140625" style="28" customWidth="1"/>
    <col min="12" max="12" width="4.5703125" style="28" customWidth="1"/>
    <col min="13" max="13" width="41.42578125" style="28" customWidth="1"/>
    <col min="14" max="17" width="9.140625" style="28" customWidth="1"/>
    <col min="18" max="16384" width="9.140625" style="28"/>
  </cols>
  <sheetData>
    <row r="1" spans="1:18" x14ac:dyDescent="0.25">
      <c r="A1" s="174"/>
      <c r="B1" s="174"/>
    </row>
    <row r="2" spans="1:18" ht="15.75" customHeight="1" thickBot="1" x14ac:dyDescent="0.3">
      <c r="B2" t="s">
        <v>0</v>
      </c>
    </row>
    <row r="3" spans="1:18" ht="14.25" customHeight="1" thickBot="1" x14ac:dyDescent="0.3">
      <c r="B3" s="180" t="s">
        <v>1</v>
      </c>
      <c r="C3" s="181"/>
      <c r="D3" s="181"/>
      <c r="E3" s="181"/>
      <c r="F3" s="181"/>
      <c r="G3" s="181"/>
      <c r="H3" s="181"/>
      <c r="I3" s="181"/>
      <c r="J3" s="181"/>
      <c r="K3" s="182"/>
      <c r="L3" t="s">
        <v>2</v>
      </c>
    </row>
    <row r="4" spans="1:18" ht="14.25" customHeight="1" thickBot="1" x14ac:dyDescent="0.3">
      <c r="B4" s="177"/>
      <c r="C4" s="176"/>
      <c r="D4" s="176"/>
      <c r="E4" s="176"/>
      <c r="F4" s="176"/>
      <c r="G4" s="176"/>
      <c r="H4" s="176"/>
      <c r="I4" s="176"/>
      <c r="J4" s="176"/>
      <c r="K4" s="183"/>
      <c r="L4">
        <v>1</v>
      </c>
      <c r="M4" t="s">
        <v>3</v>
      </c>
    </row>
    <row r="5" spans="1:18" ht="14.25" customHeight="1" thickBot="1" x14ac:dyDescent="0.3">
      <c r="B5" s="177"/>
      <c r="C5" s="176"/>
      <c r="D5" s="176"/>
      <c r="E5" s="176"/>
      <c r="F5" s="176"/>
      <c r="G5" s="176"/>
      <c r="H5" s="176"/>
      <c r="I5" s="176"/>
      <c r="J5" s="176"/>
      <c r="K5" s="183"/>
      <c r="L5">
        <v>2</v>
      </c>
      <c r="M5" t="s">
        <v>4</v>
      </c>
    </row>
    <row r="6" spans="1:18" ht="14.25" customHeight="1" thickBot="1" x14ac:dyDescent="0.3">
      <c r="B6" s="178"/>
      <c r="C6" s="179"/>
      <c r="D6" s="179"/>
      <c r="E6" s="179"/>
      <c r="F6" s="179"/>
      <c r="G6" s="179"/>
      <c r="H6" s="179"/>
      <c r="I6" s="179"/>
      <c r="J6" s="179"/>
      <c r="K6" s="184"/>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ht="15.75" thickBot="1" x14ac:dyDescent="0.3">
      <c r="B9" s="11" t="s">
        <v>439</v>
      </c>
      <c r="C9" s="158" t="s">
        <v>441</v>
      </c>
      <c r="D9" s="32" t="s">
        <v>7</v>
      </c>
      <c r="E9" s="32"/>
      <c r="F9" s="32"/>
      <c r="G9" s="32"/>
      <c r="H9" s="32"/>
      <c r="I9" s="32"/>
      <c r="J9" s="32"/>
      <c r="K9" s="33"/>
      <c r="M9" s="190" t="s">
        <v>432</v>
      </c>
      <c r="N9" s="192" t="s">
        <v>433</v>
      </c>
      <c r="O9" s="192"/>
      <c r="P9" s="192"/>
      <c r="Q9" s="192"/>
      <c r="R9" s="193"/>
    </row>
    <row r="10" spans="1:18" s="154" customFormat="1" x14ac:dyDescent="0.25">
      <c r="B10" s="155" t="s">
        <v>440</v>
      </c>
      <c r="C10" s="159">
        <v>0</v>
      </c>
      <c r="D10" s="156" t="s">
        <v>7</v>
      </c>
      <c r="E10" s="137"/>
      <c r="F10" s="137"/>
      <c r="G10" s="137"/>
      <c r="H10" s="137"/>
      <c r="I10" s="137"/>
      <c r="J10" s="137"/>
      <c r="K10" s="157"/>
      <c r="M10" s="191"/>
      <c r="N10" s="194"/>
      <c r="O10" s="194"/>
      <c r="P10" s="194"/>
      <c r="Q10" s="194"/>
      <c r="R10" s="195"/>
    </row>
    <row r="11" spans="1:18" x14ac:dyDescent="0.25">
      <c r="B11" s="29" t="s">
        <v>435</v>
      </c>
      <c r="C11" t="s">
        <v>437</v>
      </c>
      <c r="D11" t="s">
        <v>7</v>
      </c>
      <c r="K11" s="34"/>
      <c r="M11" s="191"/>
      <c r="N11" s="194"/>
      <c r="O11" s="194"/>
      <c r="P11" s="194"/>
      <c r="Q11" s="194"/>
      <c r="R11" s="195"/>
    </row>
    <row r="12" spans="1:18" x14ac:dyDescent="0.25">
      <c r="B12" s="29" t="s">
        <v>8</v>
      </c>
      <c r="C12" t="s">
        <v>438</v>
      </c>
      <c r="D12" t="s">
        <v>7</v>
      </c>
      <c r="K12" s="34"/>
      <c r="M12" s="143"/>
      <c r="N12" s="186" t="s">
        <v>434</v>
      </c>
      <c r="O12" s="186"/>
      <c r="P12" s="186"/>
      <c r="Q12" s="186"/>
      <c r="R12" s="187"/>
    </row>
    <row r="13" spans="1:18" ht="15.75" customHeight="1" thickBot="1" x14ac:dyDescent="0.3">
      <c r="B13" s="175" t="s">
        <v>9</v>
      </c>
      <c r="C13" s="176"/>
      <c r="D13" s="176"/>
      <c r="E13" s="176"/>
      <c r="F13" s="176"/>
      <c r="G13" s="176"/>
      <c r="H13" s="176"/>
      <c r="I13" s="185"/>
      <c r="J13" s="176"/>
      <c r="K13" s="183"/>
      <c r="M13" s="143"/>
      <c r="N13" s="186"/>
      <c r="O13" s="186"/>
      <c r="P13" s="186"/>
      <c r="Q13" s="186"/>
      <c r="R13" s="187"/>
    </row>
    <row r="14" spans="1:18" x14ac:dyDescent="0.25">
      <c r="B14" s="177"/>
      <c r="C14" s="176"/>
      <c r="D14" s="176"/>
      <c r="E14" s="176"/>
      <c r="F14" s="176"/>
      <c r="G14" s="176"/>
      <c r="H14" s="176"/>
      <c r="I14" s="176"/>
      <c r="J14" s="176"/>
      <c r="K14" s="183"/>
      <c r="M14" s="143"/>
      <c r="N14" s="186"/>
      <c r="O14" s="186"/>
      <c r="P14" s="186"/>
      <c r="Q14" s="186"/>
      <c r="R14" s="187"/>
    </row>
    <row r="15" spans="1:18" x14ac:dyDescent="0.25">
      <c r="B15" s="177"/>
      <c r="C15" s="176"/>
      <c r="D15" s="176"/>
      <c r="E15" s="176"/>
      <c r="F15" s="176"/>
      <c r="G15" s="176"/>
      <c r="H15" s="176"/>
      <c r="I15" s="176"/>
      <c r="J15" s="176"/>
      <c r="K15" s="183"/>
      <c r="M15" s="143"/>
      <c r="N15" s="186"/>
      <c r="O15" s="186"/>
      <c r="P15" s="186"/>
      <c r="Q15" s="186"/>
      <c r="R15" s="187"/>
    </row>
    <row r="16" spans="1:18" x14ac:dyDescent="0.25">
      <c r="B16" s="177"/>
      <c r="C16" s="176"/>
      <c r="D16" s="176"/>
      <c r="E16" s="176"/>
      <c r="F16" s="176"/>
      <c r="G16" s="176"/>
      <c r="H16" s="176"/>
      <c r="I16" s="176"/>
      <c r="J16" s="176"/>
      <c r="K16" s="183"/>
      <c r="M16" s="143"/>
      <c r="N16" s="186"/>
      <c r="O16" s="186"/>
      <c r="P16" s="186"/>
      <c r="Q16" s="186"/>
      <c r="R16" s="187"/>
    </row>
    <row r="17" spans="2:18" x14ac:dyDescent="0.25">
      <c r="B17" s="177"/>
      <c r="C17" s="176"/>
      <c r="D17" s="176"/>
      <c r="E17" s="176"/>
      <c r="F17" s="176"/>
      <c r="G17" s="176"/>
      <c r="H17" s="176"/>
      <c r="I17" s="176"/>
      <c r="J17" s="176"/>
      <c r="K17" s="183"/>
      <c r="M17" s="143"/>
      <c r="N17" s="186"/>
      <c r="O17" s="186"/>
      <c r="P17" s="186"/>
      <c r="Q17" s="186"/>
      <c r="R17" s="187"/>
    </row>
    <row r="18" spans="2:18" ht="15.75" customHeight="1" thickBot="1" x14ac:dyDescent="0.3">
      <c r="B18" s="178"/>
      <c r="C18" s="179"/>
      <c r="D18" s="179"/>
      <c r="E18" s="179"/>
      <c r="F18" s="179"/>
      <c r="G18" s="179"/>
      <c r="H18" s="179"/>
      <c r="I18" s="179"/>
      <c r="J18" s="179"/>
      <c r="K18" s="184"/>
      <c r="M18" s="144"/>
      <c r="N18" s="188"/>
      <c r="O18" s="188"/>
      <c r="P18" s="188"/>
      <c r="Q18" s="188"/>
      <c r="R18" s="189"/>
    </row>
    <row r="20" spans="2:18" ht="15.75" customHeight="1" thickBot="1" x14ac:dyDescent="0.3">
      <c r="B20" t="s">
        <v>10</v>
      </c>
    </row>
    <row r="21" spans="2:18" ht="15" customHeight="1" x14ac:dyDescent="0.25">
      <c r="B21" s="11" t="s">
        <v>11</v>
      </c>
      <c r="C21" s="145" t="s">
        <v>12</v>
      </c>
      <c r="D21" s="145" t="s">
        <v>7</v>
      </c>
      <c r="E21" s="145"/>
      <c r="F21" s="145"/>
      <c r="G21" s="145"/>
      <c r="H21" s="145"/>
      <c r="I21" s="145"/>
      <c r="J21" s="145"/>
      <c r="K21" s="146"/>
      <c r="M21" s="190" t="s">
        <v>432</v>
      </c>
      <c r="N21" s="192" t="s">
        <v>436</v>
      </c>
      <c r="O21" s="192"/>
      <c r="P21" s="192"/>
      <c r="Q21" s="192"/>
      <c r="R21" s="193"/>
    </row>
    <row r="22" spans="2:18" ht="15" customHeight="1" x14ac:dyDescent="0.25">
      <c r="B22" s="153" t="s">
        <v>23</v>
      </c>
      <c r="C22" s="152"/>
      <c r="D22" s="152"/>
      <c r="E22" s="152"/>
      <c r="F22" s="152"/>
      <c r="G22" s="152"/>
      <c r="H22" s="152"/>
      <c r="I22" s="152"/>
      <c r="J22" s="152"/>
      <c r="K22" s="151"/>
      <c r="M22" s="191"/>
      <c r="N22" s="194"/>
      <c r="O22" s="194"/>
      <c r="P22" s="194"/>
      <c r="Q22" s="194"/>
      <c r="R22" s="195"/>
    </row>
    <row r="23" spans="2:18" x14ac:dyDescent="0.25">
      <c r="B23" s="147"/>
      <c r="C23" s="152"/>
      <c r="D23" s="152"/>
      <c r="E23" s="152"/>
      <c r="F23" s="152"/>
      <c r="G23" s="152"/>
      <c r="H23" s="152"/>
      <c r="I23" s="152"/>
      <c r="J23" s="152"/>
      <c r="K23" s="151"/>
      <c r="M23" s="143"/>
      <c r="N23" s="186"/>
      <c r="O23" s="186"/>
      <c r="P23" s="186"/>
      <c r="Q23" s="186"/>
      <c r="R23" s="187"/>
    </row>
    <row r="24" spans="2:18" x14ac:dyDescent="0.25">
      <c r="B24" s="147"/>
      <c r="C24" s="152"/>
      <c r="D24" s="152"/>
      <c r="E24" s="152"/>
      <c r="F24" s="152"/>
      <c r="G24" s="152"/>
      <c r="H24" s="152"/>
      <c r="I24" s="152"/>
      <c r="J24" s="152"/>
      <c r="K24" s="151"/>
      <c r="M24" s="143"/>
      <c r="N24" s="186"/>
      <c r="O24" s="186"/>
      <c r="P24" s="186"/>
      <c r="Q24" s="186"/>
      <c r="R24" s="187"/>
    </row>
    <row r="25" spans="2:18" x14ac:dyDescent="0.25">
      <c r="B25" s="147"/>
      <c r="C25" s="152"/>
      <c r="D25" s="152"/>
      <c r="E25" s="152"/>
      <c r="F25" s="152"/>
      <c r="G25" s="152"/>
      <c r="H25" s="152"/>
      <c r="I25" s="152"/>
      <c r="J25" s="152"/>
      <c r="K25" s="151"/>
      <c r="M25" s="143"/>
      <c r="N25" s="186"/>
      <c r="O25" s="186"/>
      <c r="P25" s="186"/>
      <c r="Q25" s="186"/>
      <c r="R25" s="187"/>
    </row>
    <row r="26" spans="2:18" x14ac:dyDescent="0.25">
      <c r="B26" s="147"/>
      <c r="C26" s="152"/>
      <c r="D26" s="152"/>
      <c r="E26" s="152"/>
      <c r="F26" s="152"/>
      <c r="G26" s="152"/>
      <c r="H26" s="152"/>
      <c r="I26" s="152"/>
      <c r="J26" s="152"/>
      <c r="K26" s="151"/>
      <c r="M26" s="143"/>
      <c r="N26" s="186"/>
      <c r="O26" s="186"/>
      <c r="P26" s="186"/>
      <c r="Q26" s="186"/>
      <c r="R26" s="187"/>
    </row>
    <row r="27" spans="2:18" s="142" customFormat="1" x14ac:dyDescent="0.25">
      <c r="B27" s="147"/>
      <c r="C27" s="152"/>
      <c r="D27" s="152"/>
      <c r="E27" s="152"/>
      <c r="F27" s="152"/>
      <c r="G27" s="152"/>
      <c r="H27" s="152"/>
      <c r="I27" s="152"/>
      <c r="J27" s="152"/>
      <c r="K27" s="151"/>
      <c r="M27" s="143"/>
      <c r="N27" s="186"/>
      <c r="O27" s="186"/>
      <c r="P27" s="186"/>
      <c r="Q27" s="186"/>
      <c r="R27" s="187"/>
    </row>
    <row r="28" spans="2:18" s="142" customFormat="1" x14ac:dyDescent="0.25">
      <c r="B28" s="147"/>
      <c r="C28" s="152"/>
      <c r="D28" s="152"/>
      <c r="E28" s="152"/>
      <c r="F28" s="152"/>
      <c r="G28" s="152"/>
      <c r="H28" s="152"/>
      <c r="I28" s="152"/>
      <c r="J28" s="152"/>
      <c r="K28" s="151"/>
      <c r="M28" s="143"/>
      <c r="N28" s="186"/>
      <c r="O28" s="186"/>
      <c r="P28" s="186"/>
      <c r="Q28" s="186"/>
      <c r="R28" s="187"/>
    </row>
    <row r="29" spans="2:18" ht="15.75" customHeight="1" thickBot="1" x14ac:dyDescent="0.3">
      <c r="B29" s="148"/>
      <c r="C29" s="149"/>
      <c r="D29" s="149"/>
      <c r="E29" s="149"/>
      <c r="F29" s="149"/>
      <c r="G29" s="149"/>
      <c r="H29" s="149"/>
      <c r="I29" s="149"/>
      <c r="J29" s="149"/>
      <c r="K29" s="150"/>
      <c r="M29" s="144"/>
      <c r="N29" s="188"/>
      <c r="O29" s="188"/>
      <c r="P29" s="188"/>
      <c r="Q29" s="188"/>
      <c r="R29" s="189"/>
    </row>
    <row r="31" spans="2:18" ht="15.75" customHeight="1" thickBot="1" x14ac:dyDescent="0.3"/>
    <row r="32" spans="2:18" x14ac:dyDescent="0.25">
      <c r="B32" s="11" t="s">
        <v>13</v>
      </c>
      <c r="C32" s="32"/>
      <c r="D32" s="32" t="s">
        <v>14</v>
      </c>
      <c r="E32" s="32"/>
      <c r="F32" s="32"/>
      <c r="G32" s="32"/>
      <c r="H32" s="32"/>
      <c r="I32" s="32"/>
      <c r="J32" s="32"/>
      <c r="K32" s="33"/>
    </row>
    <row r="33" spans="2:11" x14ac:dyDescent="0.25">
      <c r="B33" s="29" t="s">
        <v>422</v>
      </c>
      <c r="D33" s="28" t="s">
        <v>424</v>
      </c>
      <c r="K33" s="34"/>
    </row>
    <row r="34" spans="2:11" x14ac:dyDescent="0.25">
      <c r="B34" s="29" t="s">
        <v>15</v>
      </c>
      <c r="K34" s="34"/>
    </row>
    <row r="35" spans="2:11" s="138" customFormat="1" x14ac:dyDescent="0.25">
      <c r="B35" s="139" t="s">
        <v>423</v>
      </c>
      <c r="D35" s="138" t="s">
        <v>424</v>
      </c>
      <c r="K35" s="140"/>
    </row>
    <row r="36" spans="2:11" s="138" customFormat="1" x14ac:dyDescent="0.25">
      <c r="B36" s="139" t="s">
        <v>16</v>
      </c>
      <c r="K36" s="140"/>
    </row>
    <row r="37" spans="2:11" ht="15.75" customHeight="1" thickBot="1" x14ac:dyDescent="0.3">
      <c r="B37" s="30" t="s">
        <v>17</v>
      </c>
      <c r="C37" s="31"/>
      <c r="D37" s="31"/>
      <c r="E37" s="31"/>
      <c r="F37" s="31"/>
      <c r="G37" s="31"/>
      <c r="H37" s="31"/>
      <c r="I37" s="31"/>
      <c r="J37" s="31"/>
      <c r="K37" s="35"/>
    </row>
    <row r="38" spans="2:11" ht="15.75" thickBot="1" x14ac:dyDescent="0.3"/>
    <row r="39" spans="2:11" x14ac:dyDescent="0.25">
      <c r="B39" s="136" t="s">
        <v>415</v>
      </c>
      <c r="C39" s="131" t="s">
        <v>416</v>
      </c>
      <c r="D39" s="131" t="s">
        <v>417</v>
      </c>
      <c r="E39" s="131" t="s">
        <v>426</v>
      </c>
      <c r="F39" s="131"/>
      <c r="G39" s="131"/>
      <c r="H39" s="131"/>
      <c r="I39" s="131"/>
      <c r="J39" s="131"/>
      <c r="K39" s="132"/>
    </row>
    <row r="40" spans="2:11" x14ac:dyDescent="0.25">
      <c r="B40" s="128"/>
      <c r="C40" s="137" t="s">
        <v>418</v>
      </c>
      <c r="D40" s="137">
        <v>1</v>
      </c>
      <c r="E40" s="137" t="s">
        <v>427</v>
      </c>
      <c r="F40" s="137"/>
      <c r="G40" s="137"/>
      <c r="H40" s="137"/>
      <c r="I40" s="137"/>
      <c r="J40" s="137"/>
      <c r="K40" s="133"/>
    </row>
    <row r="41" spans="2:11" x14ac:dyDescent="0.25">
      <c r="B41" s="128"/>
      <c r="C41" s="137" t="s">
        <v>419</v>
      </c>
      <c r="D41" s="137">
        <v>2</v>
      </c>
      <c r="E41" s="137" t="s">
        <v>428</v>
      </c>
      <c r="F41" s="137"/>
      <c r="G41" s="137"/>
      <c r="H41" s="137"/>
      <c r="I41" s="137"/>
      <c r="J41" s="137"/>
      <c r="K41" s="133"/>
    </row>
    <row r="42" spans="2:11" x14ac:dyDescent="0.25">
      <c r="B42" s="128"/>
      <c r="C42" s="135" t="s">
        <v>420</v>
      </c>
      <c r="D42" s="137">
        <v>-32</v>
      </c>
      <c r="E42" s="135" t="s">
        <v>429</v>
      </c>
      <c r="F42" s="137"/>
      <c r="G42" s="137"/>
      <c r="H42" s="137"/>
      <c r="I42" s="137"/>
      <c r="J42" s="137"/>
      <c r="K42" s="133"/>
    </row>
    <row r="43" spans="2:11" x14ac:dyDescent="0.25">
      <c r="B43" s="128"/>
      <c r="C43" s="135" t="s">
        <v>421</v>
      </c>
      <c r="D43" s="135">
        <v>-16</v>
      </c>
      <c r="E43" s="135" t="s">
        <v>429</v>
      </c>
      <c r="F43" s="137"/>
      <c r="G43" s="137"/>
      <c r="H43" s="137"/>
      <c r="I43" s="137"/>
      <c r="J43" s="137"/>
      <c r="K43" s="133"/>
    </row>
    <row r="44" spans="2:11" x14ac:dyDescent="0.25">
      <c r="B44" s="128"/>
      <c r="C44" s="135" t="s">
        <v>425</v>
      </c>
      <c r="D44" s="135">
        <v>-1</v>
      </c>
      <c r="E44" s="135" t="s">
        <v>430</v>
      </c>
      <c r="F44" s="137"/>
      <c r="G44" s="137"/>
      <c r="H44" s="137"/>
      <c r="I44" s="137"/>
      <c r="J44" s="137"/>
      <c r="K44" s="133"/>
    </row>
    <row r="45" spans="2:11" x14ac:dyDescent="0.25">
      <c r="B45" s="128"/>
      <c r="C45" s="137"/>
      <c r="D45" s="137"/>
      <c r="E45" s="137"/>
      <c r="F45" s="137"/>
      <c r="G45" s="137"/>
      <c r="H45" s="137"/>
      <c r="I45" s="137"/>
      <c r="J45" s="137"/>
      <c r="K45" s="133"/>
    </row>
    <row r="46" spans="2:11" x14ac:dyDescent="0.25">
      <c r="B46" s="128"/>
      <c r="C46" s="137"/>
      <c r="D46" s="137"/>
      <c r="E46" s="137"/>
      <c r="F46" s="137"/>
      <c r="G46" s="137"/>
      <c r="H46" s="137"/>
      <c r="I46" s="137"/>
      <c r="J46" s="137"/>
      <c r="K46" s="133"/>
    </row>
    <row r="47" spans="2:11" x14ac:dyDescent="0.25">
      <c r="B47" s="128"/>
      <c r="C47" s="137"/>
      <c r="D47" s="137"/>
      <c r="E47" s="137"/>
      <c r="F47" s="137"/>
      <c r="G47" s="137"/>
      <c r="H47" s="137"/>
      <c r="I47" s="137"/>
      <c r="J47" s="137"/>
      <c r="K47" s="133"/>
    </row>
    <row r="48" spans="2:11" x14ac:dyDescent="0.25">
      <c r="B48" s="128"/>
      <c r="C48" s="137"/>
      <c r="D48" s="137"/>
      <c r="E48" s="137"/>
      <c r="F48" s="137"/>
      <c r="G48" s="137"/>
      <c r="H48" s="137"/>
      <c r="I48" s="137"/>
      <c r="J48" s="137"/>
      <c r="K48" s="133"/>
    </row>
    <row r="49" spans="2:11" ht="15.75" thickBot="1" x14ac:dyDescent="0.3">
      <c r="B49" s="129"/>
      <c r="C49" s="130"/>
      <c r="D49" s="130"/>
      <c r="E49" s="130"/>
      <c r="F49" s="130"/>
      <c r="G49" s="130"/>
      <c r="H49" s="130"/>
      <c r="I49" s="130"/>
      <c r="J49" s="130"/>
      <c r="K49" s="134"/>
    </row>
  </sheetData>
  <mergeCells count="10">
    <mergeCell ref="A1:B1"/>
    <mergeCell ref="B13:H18"/>
    <mergeCell ref="B3:K6"/>
    <mergeCell ref="I13:K18"/>
    <mergeCell ref="N23:R29"/>
    <mergeCell ref="M21:M22"/>
    <mergeCell ref="N21:R22"/>
    <mergeCell ref="M9:M11"/>
    <mergeCell ref="N9:R11"/>
    <mergeCell ref="N12:R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E29"/>
  <sheetViews>
    <sheetView tabSelected="1" zoomScale="80" zoomScaleNormal="80" workbookViewId="0">
      <pane xSplit="2" ySplit="3" topLeftCell="R4" activePane="bottomRight" state="frozen"/>
      <selection pane="topRight" activeCell="C1" sqref="C1"/>
      <selection pane="bottomLeft" activeCell="A4" sqref="A4"/>
      <selection pane="bottomRight" activeCell="AY5" sqref="AY5"/>
    </sheetView>
  </sheetViews>
  <sheetFormatPr defaultRowHeight="15" x14ac:dyDescent="0.25"/>
  <cols>
    <col min="1" max="1" width="6.7109375" style="28" bestFit="1" customWidth="1"/>
    <col min="2" max="2" width="45" style="28" bestFit="1" customWidth="1"/>
    <col min="3" max="3" width="20" style="38" customWidth="1"/>
    <col min="4" max="4" width="22.5703125" style="38" customWidth="1"/>
    <col min="5" max="5" width="3.140625" style="25" customWidth="1"/>
    <col min="6" max="6" width="1.85546875" style="38" customWidth="1"/>
    <col min="7" max="7" width="12.42578125" style="38" customWidth="1"/>
    <col min="8" max="8" width="17.140625" style="38" customWidth="1"/>
    <col min="9" max="9" width="3" style="25" customWidth="1"/>
    <col min="10" max="10" width="1.7109375" style="38" customWidth="1"/>
    <col min="11" max="11" width="12.42578125" style="38" customWidth="1"/>
    <col min="12" max="12" width="16.42578125" style="38" customWidth="1"/>
    <col min="13" max="13" width="3" style="25" customWidth="1"/>
    <col min="14" max="14" width="1.7109375" style="38" customWidth="1"/>
    <col min="15" max="15" width="12.5703125" style="38" customWidth="1"/>
    <col min="16" max="16" width="22.140625" style="38" customWidth="1"/>
    <col min="17" max="17" width="3" style="25" customWidth="1"/>
    <col min="18" max="18" width="1.7109375" style="38" customWidth="1"/>
    <col min="19" max="19" width="3.5703125" style="28" customWidth="1"/>
    <col min="20" max="24" width="3" style="25" customWidth="1"/>
    <col min="25" max="27" width="3" style="59" customWidth="1"/>
    <col min="28" max="51" width="3" style="25" customWidth="1"/>
    <col min="52" max="52" width="14.42578125" style="28" bestFit="1" customWidth="1"/>
    <col min="53" max="53" width="20.140625" style="28" bestFit="1" customWidth="1"/>
    <col min="54" max="54" width="3.140625" style="25" bestFit="1" customWidth="1"/>
    <col min="55" max="55" width="1.7109375" style="28" bestFit="1" customWidth="1"/>
    <col min="56" max="87" width="3" style="25" customWidth="1"/>
    <col min="88" max="88" width="14.42578125" style="38" bestFit="1" customWidth="1"/>
    <col min="89" max="89" width="19.7109375" style="38" bestFit="1" customWidth="1"/>
    <col min="90" max="90" width="3.140625" style="25" bestFit="1" customWidth="1"/>
    <col min="91" max="91" width="1.7109375" style="38" bestFit="1" customWidth="1"/>
    <col min="92" max="123" width="3" style="25" customWidth="1"/>
    <col min="124" max="124" width="14.42578125" style="38" bestFit="1" customWidth="1"/>
    <col min="125" max="125" width="19.7109375" style="38" bestFit="1" customWidth="1"/>
    <col min="126" max="126" width="3.140625" style="25" bestFit="1" customWidth="1"/>
    <col min="127" max="127" width="1.7109375" style="38" bestFit="1" customWidth="1"/>
    <col min="128" max="142" width="3" style="25" customWidth="1"/>
    <col min="143" max="143" width="3.140625" style="25" bestFit="1" customWidth="1"/>
    <col min="144" max="159" width="3" style="25" customWidth="1"/>
    <col min="160" max="160" width="14.42578125" style="28" bestFit="1" customWidth="1"/>
    <col min="161" max="161" width="17.85546875" style="28" bestFit="1" customWidth="1"/>
    <col min="162" max="162" width="3.140625" style="25" bestFit="1" customWidth="1"/>
    <col min="163" max="163" width="1.85546875" style="28" bestFit="1" customWidth="1"/>
    <col min="164" max="178" width="3" style="25" customWidth="1"/>
    <col min="179" max="179" width="3.140625" style="25" bestFit="1" customWidth="1"/>
    <col min="180" max="195" width="3" style="25" customWidth="1"/>
    <col min="196" max="196" width="14.42578125" style="38" bestFit="1" customWidth="1"/>
    <col min="197" max="197" width="17.85546875" style="38" bestFit="1" customWidth="1"/>
    <col min="198" max="198" width="3.140625" style="25" bestFit="1" customWidth="1"/>
    <col min="199" max="199" width="1.85546875" style="38" bestFit="1" customWidth="1"/>
    <col min="200" max="214" width="3" style="25" customWidth="1"/>
    <col min="215" max="215" width="3.140625" style="25" bestFit="1" customWidth="1"/>
    <col min="216" max="231" width="3" style="25" customWidth="1"/>
    <col min="232" max="232" width="14.42578125" style="38" bestFit="1" customWidth="1"/>
    <col min="233" max="233" width="17.85546875" style="38" bestFit="1" customWidth="1"/>
    <col min="234" max="234" width="3.140625" style="25" bestFit="1" customWidth="1"/>
    <col min="235" max="235" width="1.85546875" style="38" bestFit="1" customWidth="1"/>
    <col min="236" max="236" width="33" style="28" customWidth="1"/>
    <col min="237" max="237" width="23.140625" style="28" bestFit="1" customWidth="1"/>
    <col min="238" max="238" width="3.140625" style="25" bestFit="1" customWidth="1"/>
    <col min="239" max="239" width="1.85546875" style="28" bestFit="1" customWidth="1"/>
  </cols>
  <sheetData>
    <row r="1" spans="1:239" ht="15.75" customHeight="1" thickBot="1" x14ac:dyDescent="0.3">
      <c r="A1" s="216" t="s">
        <v>134</v>
      </c>
      <c r="B1" s="196"/>
      <c r="C1" s="196" t="s">
        <v>123</v>
      </c>
      <c r="D1" s="214"/>
      <c r="E1" s="214"/>
      <c r="F1" s="215"/>
      <c r="G1" s="196" t="s">
        <v>124</v>
      </c>
      <c r="H1" s="214"/>
      <c r="I1" s="214"/>
      <c r="J1" s="215"/>
      <c r="K1" s="196" t="s">
        <v>125</v>
      </c>
      <c r="L1" s="214"/>
      <c r="M1" s="214"/>
      <c r="N1" s="215"/>
      <c r="O1" s="196" t="s">
        <v>126</v>
      </c>
      <c r="P1" s="214"/>
      <c r="Q1" s="214"/>
      <c r="R1" s="215"/>
      <c r="S1" s="43"/>
      <c r="T1" s="217" t="s">
        <v>127</v>
      </c>
      <c r="U1" s="217"/>
      <c r="V1" s="217"/>
      <c r="W1" s="217"/>
      <c r="X1" s="217"/>
      <c r="Y1" s="217"/>
      <c r="Z1" s="217"/>
      <c r="AA1" s="217"/>
      <c r="AB1" s="217"/>
      <c r="AC1" s="217"/>
      <c r="AD1" s="217"/>
      <c r="AE1" s="217"/>
      <c r="AF1" s="217"/>
      <c r="AG1" s="217"/>
      <c r="AH1" s="217"/>
      <c r="AI1" s="217"/>
      <c r="AJ1" s="217"/>
      <c r="AK1" s="217"/>
      <c r="AL1" s="217"/>
      <c r="AM1" s="217"/>
      <c r="AN1" s="217"/>
      <c r="AO1" s="217"/>
      <c r="AP1" s="217"/>
      <c r="AQ1" s="217"/>
      <c r="AR1" s="217"/>
      <c r="AS1" s="217"/>
      <c r="AT1" s="217"/>
      <c r="AU1" s="217"/>
      <c r="AV1" s="217"/>
      <c r="AW1" s="217"/>
      <c r="AX1" s="217"/>
      <c r="AY1" s="217"/>
      <c r="AZ1" s="217"/>
      <c r="BA1" s="217"/>
      <c r="BB1" s="217"/>
      <c r="BC1" s="217"/>
      <c r="BD1" s="217" t="s">
        <v>128</v>
      </c>
      <c r="BE1" s="217"/>
      <c r="BF1" s="217"/>
      <c r="BG1" s="217"/>
      <c r="BH1" s="217"/>
      <c r="BI1" s="217"/>
      <c r="BJ1" s="217"/>
      <c r="BK1" s="217"/>
      <c r="BL1" s="217"/>
      <c r="BM1" s="217"/>
      <c r="BN1" s="217"/>
      <c r="BO1" s="217"/>
      <c r="BP1" s="217"/>
      <c r="BQ1" s="217"/>
      <c r="BR1" s="217"/>
      <c r="BS1" s="217"/>
      <c r="BT1" s="217"/>
      <c r="BU1" s="217"/>
      <c r="BV1" s="217"/>
      <c r="BW1" s="217"/>
      <c r="BX1" s="217"/>
      <c r="BY1" s="217"/>
      <c r="BZ1" s="217"/>
      <c r="CA1" s="217"/>
      <c r="CB1" s="217"/>
      <c r="CC1" s="217"/>
      <c r="CD1" s="217"/>
      <c r="CE1" s="217"/>
      <c r="CF1" s="217"/>
      <c r="CG1" s="217"/>
      <c r="CH1" s="217"/>
      <c r="CI1" s="217"/>
      <c r="CJ1" s="217"/>
      <c r="CK1" s="217"/>
      <c r="CL1" s="217"/>
      <c r="CM1" s="217"/>
      <c r="CN1" s="217" t="s">
        <v>129</v>
      </c>
      <c r="CO1" s="217"/>
      <c r="CP1" s="217"/>
      <c r="CQ1" s="217"/>
      <c r="CR1" s="217"/>
      <c r="CS1" s="217"/>
      <c r="CT1" s="217"/>
      <c r="CU1" s="217"/>
      <c r="CV1" s="217"/>
      <c r="CW1" s="217"/>
      <c r="CX1" s="217"/>
      <c r="CY1" s="217"/>
      <c r="CZ1" s="217"/>
      <c r="DA1" s="217"/>
      <c r="DB1" s="217"/>
      <c r="DC1" s="217"/>
      <c r="DD1" s="217"/>
      <c r="DE1" s="217"/>
      <c r="DF1" s="217"/>
      <c r="DG1" s="217"/>
      <c r="DH1" s="217"/>
      <c r="DI1" s="217"/>
      <c r="DJ1" s="217"/>
      <c r="DK1" s="217"/>
      <c r="DL1" s="217"/>
      <c r="DM1" s="217"/>
      <c r="DN1" s="217"/>
      <c r="DO1" s="217"/>
      <c r="DP1" s="217"/>
      <c r="DQ1" s="217"/>
      <c r="DR1" s="217"/>
      <c r="DS1" s="217"/>
      <c r="DT1" s="217"/>
      <c r="DU1" s="217"/>
      <c r="DV1" s="217"/>
      <c r="DW1" s="217"/>
      <c r="DX1" s="196" t="s">
        <v>130</v>
      </c>
      <c r="DY1" s="196"/>
      <c r="DZ1" s="196"/>
      <c r="EA1" s="196"/>
      <c r="EB1" s="196"/>
      <c r="EC1" s="196"/>
      <c r="ED1" s="196"/>
      <c r="EE1" s="196"/>
      <c r="EF1" s="196"/>
      <c r="EG1" s="196"/>
      <c r="EH1" s="196"/>
      <c r="EI1" s="196"/>
      <c r="EJ1" s="196"/>
      <c r="EK1" s="196"/>
      <c r="EL1" s="196"/>
      <c r="EM1" s="196"/>
      <c r="EN1" s="196"/>
      <c r="EO1" s="196"/>
      <c r="EP1" s="196"/>
      <c r="EQ1" s="196"/>
      <c r="ER1" s="196"/>
      <c r="ES1" s="196"/>
      <c r="ET1" s="196"/>
      <c r="EU1" s="196"/>
      <c r="EV1" s="196"/>
      <c r="EW1" s="196"/>
      <c r="EX1" s="196"/>
      <c r="EY1" s="196"/>
      <c r="EZ1" s="196"/>
      <c r="FA1" s="196"/>
      <c r="FB1" s="196"/>
      <c r="FC1" s="196"/>
      <c r="FD1" s="196"/>
      <c r="FE1" s="196"/>
      <c r="FF1" s="196"/>
      <c r="FG1" s="196"/>
      <c r="FH1" s="196" t="s">
        <v>131</v>
      </c>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t="s">
        <v>132</v>
      </c>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t="s">
        <v>133</v>
      </c>
      <c r="IC1" s="214"/>
      <c r="ID1" s="214"/>
      <c r="IE1" s="215"/>
    </row>
    <row r="2" spans="1:239" ht="312.75" thickBot="1" x14ac:dyDescent="0.3">
      <c r="A2" s="1"/>
      <c r="B2" s="2" t="s">
        <v>51</v>
      </c>
      <c r="C2" s="4" t="s">
        <v>109</v>
      </c>
      <c r="D2" s="209"/>
      <c r="E2" s="207"/>
      <c r="F2" s="208"/>
      <c r="G2" s="102" t="s">
        <v>107</v>
      </c>
      <c r="H2" s="218"/>
      <c r="I2" s="181"/>
      <c r="J2" s="182"/>
      <c r="K2" s="102" t="s">
        <v>110</v>
      </c>
      <c r="L2" s="218"/>
      <c r="M2" s="181"/>
      <c r="N2" s="182"/>
      <c r="O2" s="4" t="s">
        <v>106</v>
      </c>
      <c r="P2" s="219"/>
      <c r="Q2" s="181"/>
      <c r="R2" s="182"/>
      <c r="S2" s="103" t="s">
        <v>135</v>
      </c>
      <c r="T2" s="13" t="s">
        <v>24</v>
      </c>
      <c r="U2" s="14" t="s">
        <v>25</v>
      </c>
      <c r="V2" s="14"/>
      <c r="W2" s="14" t="s">
        <v>26</v>
      </c>
      <c r="X2" s="14" t="s">
        <v>27</v>
      </c>
      <c r="Y2" s="56"/>
      <c r="Z2" s="56"/>
      <c r="AA2" s="56" t="s">
        <v>138</v>
      </c>
      <c r="AB2" s="14" t="s">
        <v>28</v>
      </c>
      <c r="AC2" s="14" t="s">
        <v>29</v>
      </c>
      <c r="AD2" s="14" t="s">
        <v>30</v>
      </c>
      <c r="AE2" s="71" t="s">
        <v>31</v>
      </c>
      <c r="AF2" s="71" t="s">
        <v>139</v>
      </c>
      <c r="AG2" s="71" t="s">
        <v>32</v>
      </c>
      <c r="AH2" s="71" t="s">
        <v>33</v>
      </c>
      <c r="AI2" s="71" t="s">
        <v>34</v>
      </c>
      <c r="AJ2" s="71" t="s">
        <v>35</v>
      </c>
      <c r="AK2" s="71" t="s">
        <v>36</v>
      </c>
      <c r="AL2" s="71" t="s">
        <v>37</v>
      </c>
      <c r="AM2" s="71" t="s">
        <v>38</v>
      </c>
      <c r="AN2" s="71" t="s">
        <v>39</v>
      </c>
      <c r="AO2" s="71" t="s">
        <v>40</v>
      </c>
      <c r="AP2" s="71" t="s">
        <v>41</v>
      </c>
      <c r="AQ2" s="71" t="s">
        <v>42</v>
      </c>
      <c r="AR2" s="71" t="s">
        <v>43</v>
      </c>
      <c r="AS2" s="71" t="s">
        <v>44</v>
      </c>
      <c r="AT2" s="71" t="s">
        <v>45</v>
      </c>
      <c r="AU2" s="71" t="s">
        <v>46</v>
      </c>
      <c r="AV2" s="71" t="s">
        <v>47</v>
      </c>
      <c r="AW2" s="14" t="s">
        <v>48</v>
      </c>
      <c r="AX2" s="14" t="s">
        <v>49</v>
      </c>
      <c r="AY2" s="15" t="s">
        <v>50</v>
      </c>
      <c r="AZ2" s="2"/>
      <c r="BA2" s="205"/>
      <c r="BB2" s="197"/>
      <c r="BC2" s="198"/>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205"/>
      <c r="CL2" s="197"/>
      <c r="CM2" s="198"/>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205"/>
      <c r="DV2" s="197"/>
      <c r="DW2" s="198"/>
      <c r="DX2" s="48" t="s">
        <v>149</v>
      </c>
      <c r="DY2" s="44" t="s">
        <v>150</v>
      </c>
      <c r="DZ2" s="44" t="s">
        <v>151</v>
      </c>
      <c r="EA2" s="44" t="s">
        <v>152</v>
      </c>
      <c r="EB2" s="44" t="s">
        <v>153</v>
      </c>
      <c r="EC2" s="44" t="s">
        <v>154</v>
      </c>
      <c r="ED2" s="44" t="s">
        <v>155</v>
      </c>
      <c r="EE2" s="44" t="s">
        <v>156</v>
      </c>
      <c r="EF2" s="44" t="s">
        <v>157</v>
      </c>
      <c r="EG2" s="44" t="s">
        <v>158</v>
      </c>
      <c r="EH2" s="44" t="s">
        <v>159</v>
      </c>
      <c r="EI2" s="44" t="s">
        <v>160</v>
      </c>
      <c r="EJ2" s="44" t="s">
        <v>161</v>
      </c>
      <c r="EK2" s="44"/>
      <c r="EL2" s="44"/>
      <c r="EM2" s="44" t="s">
        <v>162</v>
      </c>
      <c r="EN2" s="44" t="s">
        <v>163</v>
      </c>
      <c r="EO2" s="44" t="s">
        <v>164</v>
      </c>
      <c r="EP2" s="44" t="s">
        <v>165</v>
      </c>
      <c r="EQ2" s="44" t="s">
        <v>166</v>
      </c>
      <c r="ER2" s="44"/>
      <c r="ES2" s="44"/>
      <c r="ET2" s="44" t="s">
        <v>167</v>
      </c>
      <c r="EU2" s="44"/>
      <c r="EV2" s="44"/>
      <c r="EW2" s="44"/>
      <c r="EX2" s="44"/>
      <c r="EY2" s="44" t="s">
        <v>168</v>
      </c>
      <c r="EZ2" s="44" t="s">
        <v>169</v>
      </c>
      <c r="FA2" s="44" t="s">
        <v>170</v>
      </c>
      <c r="FB2" s="44" t="s">
        <v>171</v>
      </c>
      <c r="FC2" s="45" t="s">
        <v>172</v>
      </c>
      <c r="FD2" s="2"/>
      <c r="FE2" s="206"/>
      <c r="FF2" s="207"/>
      <c r="FG2" s="208"/>
      <c r="FH2" s="101" t="s">
        <v>340</v>
      </c>
      <c r="FI2" s="44" t="s">
        <v>341</v>
      </c>
      <c r="FJ2" s="44" t="s">
        <v>342</v>
      </c>
      <c r="FK2" s="44" t="s">
        <v>343</v>
      </c>
      <c r="FL2" s="44" t="s">
        <v>344</v>
      </c>
      <c r="FM2" s="44"/>
      <c r="FN2" s="44"/>
      <c r="FO2" s="44"/>
      <c r="FP2" s="44"/>
      <c r="FQ2" s="44"/>
      <c r="FR2" s="44"/>
      <c r="FS2" s="44"/>
      <c r="FT2" s="44"/>
      <c r="FU2" s="44"/>
      <c r="FV2" s="44"/>
      <c r="FW2" s="44"/>
      <c r="FX2" s="44"/>
      <c r="FY2" s="44"/>
      <c r="FZ2" s="44"/>
      <c r="GA2" s="44"/>
      <c r="GB2" s="44"/>
      <c r="GC2" s="44"/>
      <c r="GD2" s="44"/>
      <c r="GE2" s="44" t="s">
        <v>345</v>
      </c>
      <c r="GF2" s="44" t="s">
        <v>346</v>
      </c>
      <c r="GG2" s="44" t="s">
        <v>347</v>
      </c>
      <c r="GH2" s="44" t="s">
        <v>348</v>
      </c>
      <c r="GI2" s="44" t="s">
        <v>349</v>
      </c>
      <c r="GJ2" s="44" t="s">
        <v>350</v>
      </c>
      <c r="GK2" s="44" t="s">
        <v>351</v>
      </c>
      <c r="GL2" s="44" t="s">
        <v>352</v>
      </c>
      <c r="GM2" s="45" t="s">
        <v>353</v>
      </c>
      <c r="GN2" s="2"/>
      <c r="GO2" s="206"/>
      <c r="GP2" s="207"/>
      <c r="GQ2" s="208"/>
      <c r="GR2" s="101"/>
      <c r="GS2" s="44" t="s">
        <v>187</v>
      </c>
      <c r="GT2" s="44" t="s">
        <v>188</v>
      </c>
      <c r="GU2" s="44" t="s">
        <v>189</v>
      </c>
      <c r="GV2" s="44" t="s">
        <v>190</v>
      </c>
      <c r="GW2" s="44" t="s">
        <v>191</v>
      </c>
      <c r="GX2" s="44" t="s">
        <v>192</v>
      </c>
      <c r="GY2" s="44" t="s">
        <v>193</v>
      </c>
      <c r="GZ2" s="44"/>
      <c r="HA2" s="44"/>
      <c r="HB2" s="44"/>
      <c r="HC2" s="44"/>
      <c r="HD2" s="44"/>
      <c r="HE2" s="44"/>
      <c r="HF2" s="44"/>
      <c r="HG2" s="44"/>
      <c r="HH2" s="44"/>
      <c r="HI2" s="44"/>
      <c r="HJ2" s="44" t="s">
        <v>194</v>
      </c>
      <c r="HK2" s="44" t="s">
        <v>195</v>
      </c>
      <c r="HL2" s="44" t="s">
        <v>196</v>
      </c>
      <c r="HM2" s="44" t="s">
        <v>197</v>
      </c>
      <c r="HN2" s="44" t="s">
        <v>198</v>
      </c>
      <c r="HO2" s="44" t="s">
        <v>199</v>
      </c>
      <c r="HP2" s="44"/>
      <c r="HQ2" s="44"/>
      <c r="HR2" s="44" t="s">
        <v>200</v>
      </c>
      <c r="HS2" s="44" t="s">
        <v>201</v>
      </c>
      <c r="HT2" s="44" t="s">
        <v>202</v>
      </c>
      <c r="HU2" s="44" t="s">
        <v>203</v>
      </c>
      <c r="HV2" s="44" t="s">
        <v>204</v>
      </c>
      <c r="HW2" s="45" t="s">
        <v>205</v>
      </c>
      <c r="HX2" s="2"/>
      <c r="HY2" s="206"/>
      <c r="HZ2" s="207"/>
      <c r="IA2" s="208"/>
      <c r="IB2" s="4" t="s">
        <v>18</v>
      </c>
      <c r="IC2" s="209"/>
      <c r="ID2" s="207"/>
      <c r="IE2" s="208"/>
    </row>
    <row r="3" spans="1:239" ht="15.75" customHeight="1" thickBot="1" x14ac:dyDescent="0.3">
      <c r="A3" s="37" t="s">
        <v>19</v>
      </c>
      <c r="B3" s="37"/>
      <c r="C3" s="40" t="s">
        <v>17</v>
      </c>
      <c r="D3" s="196" t="s">
        <v>20</v>
      </c>
      <c r="E3" s="197"/>
      <c r="F3" s="198"/>
      <c r="G3" s="100" t="s">
        <v>15</v>
      </c>
      <c r="H3" s="201" t="s">
        <v>20</v>
      </c>
      <c r="I3" s="197"/>
      <c r="J3" s="198"/>
      <c r="K3" s="173" t="s">
        <v>15</v>
      </c>
      <c r="L3" s="201" t="s">
        <v>20</v>
      </c>
      <c r="M3" s="197"/>
      <c r="N3" s="198"/>
      <c r="O3" s="173" t="s">
        <v>15</v>
      </c>
      <c r="P3" s="196" t="s">
        <v>20</v>
      </c>
      <c r="Q3" s="197"/>
      <c r="R3" s="198"/>
      <c r="S3" s="103"/>
      <c r="T3" s="199"/>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8"/>
      <c r="AZ3" s="37" t="s">
        <v>423</v>
      </c>
      <c r="BA3" s="200" t="s">
        <v>20</v>
      </c>
      <c r="BB3" s="197"/>
      <c r="BC3" s="198"/>
      <c r="BD3" s="199"/>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8"/>
      <c r="CJ3" s="40" t="s">
        <v>423</v>
      </c>
      <c r="CK3" s="200" t="s">
        <v>20</v>
      </c>
      <c r="CL3" s="197"/>
      <c r="CM3" s="198"/>
      <c r="CN3" s="199"/>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8"/>
      <c r="DT3" s="40" t="s">
        <v>423</v>
      </c>
      <c r="DU3" s="201" t="s">
        <v>20</v>
      </c>
      <c r="DV3" s="197"/>
      <c r="DW3" s="198"/>
      <c r="DX3" s="202"/>
      <c r="DY3" s="203"/>
      <c r="DZ3" s="203"/>
      <c r="EA3" s="203"/>
      <c r="EB3" s="203"/>
      <c r="EC3" s="203"/>
      <c r="ED3" s="203"/>
      <c r="EE3" s="203"/>
      <c r="EF3" s="203"/>
      <c r="EG3" s="203"/>
      <c r="EH3" s="203"/>
      <c r="EI3" s="203"/>
      <c r="EJ3" s="203"/>
      <c r="EK3" s="203"/>
      <c r="EL3" s="203"/>
      <c r="EM3" s="203"/>
      <c r="EN3" s="203"/>
      <c r="EO3" s="203"/>
      <c r="EP3" s="203"/>
      <c r="EQ3" s="203"/>
      <c r="ER3" s="203"/>
      <c r="ES3" s="203"/>
      <c r="ET3" s="203"/>
      <c r="EU3" s="203"/>
      <c r="EV3" s="203"/>
      <c r="EW3" s="203"/>
      <c r="EX3" s="203"/>
      <c r="EY3" s="203"/>
      <c r="EZ3" s="203"/>
      <c r="FA3" s="203"/>
      <c r="FB3" s="203"/>
      <c r="FC3" s="204"/>
      <c r="FD3" s="41" t="s">
        <v>423</v>
      </c>
      <c r="FE3" s="201" t="s">
        <v>20</v>
      </c>
      <c r="FF3" s="197"/>
      <c r="FG3" s="198"/>
      <c r="FH3" s="202"/>
      <c r="FI3" s="203"/>
      <c r="FJ3" s="203"/>
      <c r="FK3" s="203"/>
      <c r="FL3" s="203"/>
      <c r="FM3" s="203"/>
      <c r="FN3" s="203"/>
      <c r="FO3" s="203"/>
      <c r="FP3" s="203"/>
      <c r="FQ3" s="203"/>
      <c r="FR3" s="203"/>
      <c r="FS3" s="203"/>
      <c r="FT3" s="203"/>
      <c r="FU3" s="203"/>
      <c r="FV3" s="203"/>
      <c r="FW3" s="203"/>
      <c r="FX3" s="203"/>
      <c r="FY3" s="203"/>
      <c r="FZ3" s="203"/>
      <c r="GA3" s="203"/>
      <c r="GB3" s="203"/>
      <c r="GC3" s="203"/>
      <c r="GD3" s="203"/>
      <c r="GE3" s="203"/>
      <c r="GF3" s="203"/>
      <c r="GG3" s="203"/>
      <c r="GH3" s="203"/>
      <c r="GI3" s="203"/>
      <c r="GJ3" s="203"/>
      <c r="GK3" s="203"/>
      <c r="GL3" s="203"/>
      <c r="GM3" s="204"/>
      <c r="GN3" s="41" t="s">
        <v>423</v>
      </c>
      <c r="GO3" s="201" t="s">
        <v>20</v>
      </c>
      <c r="GP3" s="197"/>
      <c r="GQ3" s="198"/>
      <c r="GR3" s="202"/>
      <c r="GS3" s="203"/>
      <c r="GT3" s="203"/>
      <c r="GU3" s="203"/>
      <c r="GV3" s="203"/>
      <c r="GW3" s="203"/>
      <c r="GX3" s="203"/>
      <c r="GY3" s="203"/>
      <c r="GZ3" s="203"/>
      <c r="HA3" s="203"/>
      <c r="HB3" s="203"/>
      <c r="HC3" s="203"/>
      <c r="HD3" s="203"/>
      <c r="HE3" s="203"/>
      <c r="HF3" s="203"/>
      <c r="HG3" s="203"/>
      <c r="HH3" s="203"/>
      <c r="HI3" s="203"/>
      <c r="HJ3" s="203"/>
      <c r="HK3" s="203"/>
      <c r="HL3" s="203"/>
      <c r="HM3" s="203"/>
      <c r="HN3" s="203"/>
      <c r="HO3" s="203"/>
      <c r="HP3" s="203"/>
      <c r="HQ3" s="203"/>
      <c r="HR3" s="203"/>
      <c r="HS3" s="203"/>
      <c r="HT3" s="203"/>
      <c r="HU3" s="203"/>
      <c r="HV3" s="203"/>
      <c r="HW3" s="204"/>
      <c r="HX3" s="41" t="s">
        <v>423</v>
      </c>
      <c r="HY3" s="201" t="s">
        <v>20</v>
      </c>
      <c r="HZ3" s="197"/>
      <c r="IA3" s="198"/>
      <c r="IB3" s="37" t="s">
        <v>17</v>
      </c>
      <c r="IC3" s="196" t="s">
        <v>20</v>
      </c>
      <c r="ID3" s="197"/>
      <c r="IE3" s="198"/>
    </row>
    <row r="4" spans="1:239" x14ac:dyDescent="0.25">
      <c r="A4" s="8" t="s">
        <v>21</v>
      </c>
      <c r="B4" s="8" t="s">
        <v>18</v>
      </c>
      <c r="C4" s="8"/>
      <c r="D4" s="210"/>
      <c r="E4" s="211"/>
      <c r="F4" s="212"/>
      <c r="G4" s="7"/>
      <c r="H4" s="210"/>
      <c r="I4" s="211"/>
      <c r="J4" s="212"/>
      <c r="K4" s="7"/>
      <c r="L4" s="210"/>
      <c r="M4" s="211"/>
      <c r="N4" s="212"/>
      <c r="O4" s="5"/>
      <c r="P4" s="210"/>
      <c r="Q4" s="211"/>
      <c r="R4" s="212"/>
      <c r="S4" s="3"/>
      <c r="T4" s="36">
        <v>31</v>
      </c>
      <c r="U4" s="16">
        <v>30</v>
      </c>
      <c r="V4" s="16">
        <v>29</v>
      </c>
      <c r="W4" s="16">
        <v>28</v>
      </c>
      <c r="X4" s="16">
        <v>27</v>
      </c>
      <c r="Y4" s="57">
        <v>26</v>
      </c>
      <c r="Z4" s="57">
        <v>25</v>
      </c>
      <c r="AA4" s="57">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210"/>
      <c r="BB4" s="211"/>
      <c r="BC4" s="213"/>
      <c r="BD4" s="39">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210"/>
      <c r="CL4" s="211"/>
      <c r="CM4" s="213"/>
      <c r="CN4" s="39">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210"/>
      <c r="DV4" s="211"/>
      <c r="DW4" s="212"/>
      <c r="DX4" s="49">
        <v>31</v>
      </c>
      <c r="DY4" s="46">
        <v>30</v>
      </c>
      <c r="DZ4" s="46">
        <v>29</v>
      </c>
      <c r="EA4" s="46">
        <v>28</v>
      </c>
      <c r="EB4" s="46">
        <v>27</v>
      </c>
      <c r="EC4" s="46">
        <v>26</v>
      </c>
      <c r="ED4" s="46">
        <v>25</v>
      </c>
      <c r="EE4" s="46">
        <v>24</v>
      </c>
      <c r="EF4" s="46">
        <v>23</v>
      </c>
      <c r="EG4" s="46">
        <v>22</v>
      </c>
      <c r="EH4" s="46">
        <v>21</v>
      </c>
      <c r="EI4" s="46">
        <v>20</v>
      </c>
      <c r="EJ4" s="46">
        <v>19</v>
      </c>
      <c r="EK4" s="46">
        <v>18</v>
      </c>
      <c r="EL4" s="46">
        <v>17</v>
      </c>
      <c r="EM4" s="46">
        <v>16</v>
      </c>
      <c r="EN4" s="46">
        <v>15</v>
      </c>
      <c r="EO4" s="46">
        <v>14</v>
      </c>
      <c r="EP4" s="46">
        <v>13</v>
      </c>
      <c r="EQ4" s="46">
        <v>12</v>
      </c>
      <c r="ER4" s="46">
        <v>11</v>
      </c>
      <c r="ES4" s="46">
        <v>10</v>
      </c>
      <c r="ET4" s="46">
        <v>9</v>
      </c>
      <c r="EU4" s="46">
        <v>8</v>
      </c>
      <c r="EV4" s="46">
        <v>7</v>
      </c>
      <c r="EW4" s="46">
        <v>6</v>
      </c>
      <c r="EX4" s="46">
        <v>5</v>
      </c>
      <c r="EY4" s="46">
        <v>4</v>
      </c>
      <c r="EZ4" s="46">
        <v>3</v>
      </c>
      <c r="FA4" s="46">
        <v>2</v>
      </c>
      <c r="FB4" s="46">
        <v>1</v>
      </c>
      <c r="FC4" s="47">
        <v>0</v>
      </c>
      <c r="FD4" s="8"/>
      <c r="FE4" s="210"/>
      <c r="FF4" s="211"/>
      <c r="FG4" s="212"/>
      <c r="FH4" s="49">
        <v>31</v>
      </c>
      <c r="FI4" s="46">
        <v>30</v>
      </c>
      <c r="FJ4" s="46">
        <v>29</v>
      </c>
      <c r="FK4" s="46">
        <v>28</v>
      </c>
      <c r="FL4" s="46">
        <v>27</v>
      </c>
      <c r="FM4" s="46">
        <v>26</v>
      </c>
      <c r="FN4" s="46">
        <v>25</v>
      </c>
      <c r="FO4" s="46">
        <v>24</v>
      </c>
      <c r="FP4" s="46">
        <v>23</v>
      </c>
      <c r="FQ4" s="46">
        <v>22</v>
      </c>
      <c r="FR4" s="46">
        <v>21</v>
      </c>
      <c r="FS4" s="46">
        <v>20</v>
      </c>
      <c r="FT4" s="46">
        <v>19</v>
      </c>
      <c r="FU4" s="46">
        <v>18</v>
      </c>
      <c r="FV4" s="46">
        <v>17</v>
      </c>
      <c r="FW4" s="46">
        <v>16</v>
      </c>
      <c r="FX4" s="46">
        <v>15</v>
      </c>
      <c r="FY4" s="46">
        <v>14</v>
      </c>
      <c r="FZ4" s="46">
        <v>13</v>
      </c>
      <c r="GA4" s="46">
        <v>12</v>
      </c>
      <c r="GB4" s="46">
        <v>11</v>
      </c>
      <c r="GC4" s="46">
        <v>10</v>
      </c>
      <c r="GD4" s="46">
        <v>9</v>
      </c>
      <c r="GE4" s="46">
        <v>8</v>
      </c>
      <c r="GF4" s="46">
        <v>7</v>
      </c>
      <c r="GG4" s="46">
        <v>6</v>
      </c>
      <c r="GH4" s="46">
        <v>5</v>
      </c>
      <c r="GI4" s="46">
        <v>4</v>
      </c>
      <c r="GJ4" s="46">
        <v>3</v>
      </c>
      <c r="GK4" s="46">
        <v>2</v>
      </c>
      <c r="GL4" s="46">
        <v>1</v>
      </c>
      <c r="GM4" s="47">
        <v>0</v>
      </c>
      <c r="GN4" s="8"/>
      <c r="GO4" s="210"/>
      <c r="GP4" s="211"/>
      <c r="GQ4" s="212"/>
      <c r="GR4" s="49">
        <v>31</v>
      </c>
      <c r="GS4" s="46">
        <v>30</v>
      </c>
      <c r="GT4" s="46">
        <v>29</v>
      </c>
      <c r="GU4" s="46">
        <v>28</v>
      </c>
      <c r="GV4" s="46">
        <v>27</v>
      </c>
      <c r="GW4" s="46">
        <v>26</v>
      </c>
      <c r="GX4" s="46">
        <v>25</v>
      </c>
      <c r="GY4" s="46">
        <v>24</v>
      </c>
      <c r="GZ4" s="46">
        <v>23</v>
      </c>
      <c r="HA4" s="46">
        <v>22</v>
      </c>
      <c r="HB4" s="46">
        <v>21</v>
      </c>
      <c r="HC4" s="46">
        <v>20</v>
      </c>
      <c r="HD4" s="46">
        <v>19</v>
      </c>
      <c r="HE4" s="46">
        <v>18</v>
      </c>
      <c r="HF4" s="46">
        <v>17</v>
      </c>
      <c r="HG4" s="46">
        <v>16</v>
      </c>
      <c r="HH4" s="46">
        <v>15</v>
      </c>
      <c r="HI4" s="46">
        <v>14</v>
      </c>
      <c r="HJ4" s="46">
        <v>13</v>
      </c>
      <c r="HK4" s="46">
        <v>12</v>
      </c>
      <c r="HL4" s="46">
        <v>11</v>
      </c>
      <c r="HM4" s="46">
        <v>10</v>
      </c>
      <c r="HN4" s="46">
        <v>9</v>
      </c>
      <c r="HO4" s="46">
        <v>8</v>
      </c>
      <c r="HP4" s="46">
        <v>7</v>
      </c>
      <c r="HQ4" s="46">
        <v>6</v>
      </c>
      <c r="HR4" s="46">
        <v>5</v>
      </c>
      <c r="HS4" s="46">
        <v>4</v>
      </c>
      <c r="HT4" s="46">
        <v>3</v>
      </c>
      <c r="HU4" s="46">
        <v>2</v>
      </c>
      <c r="HV4" s="46">
        <v>1</v>
      </c>
      <c r="HW4" s="47">
        <v>0</v>
      </c>
      <c r="HX4" s="8"/>
      <c r="HY4" s="210"/>
      <c r="HZ4" s="211"/>
      <c r="IA4" s="212"/>
      <c r="IB4" s="8"/>
      <c r="IC4" s="210"/>
      <c r="ID4" s="211"/>
      <c r="IE4" s="212"/>
    </row>
    <row r="5" spans="1:239" x14ac:dyDescent="0.25">
      <c r="A5" s="8">
        <v>0</v>
      </c>
      <c r="B5" s="8" t="str">
        <f t="shared" ref="B5:B29" si="0">IF($IB5&lt;&gt;"", $IB5, "")</f>
        <v>HOME</v>
      </c>
      <c r="C5" s="10"/>
      <c r="D5" s="22" t="s">
        <v>112</v>
      </c>
      <c r="E5" s="23">
        <v>0</v>
      </c>
      <c r="F5" s="27" t="s">
        <v>22</v>
      </c>
      <c r="G5" s="161">
        <v>0</v>
      </c>
      <c r="H5" s="22" t="s">
        <v>113</v>
      </c>
      <c r="I5" s="23">
        <v>0</v>
      </c>
      <c r="J5" s="27" t="s">
        <v>22</v>
      </c>
      <c r="K5" s="161">
        <v>0</v>
      </c>
      <c r="L5" s="22" t="s">
        <v>114</v>
      </c>
      <c r="M5" s="23">
        <v>0</v>
      </c>
      <c r="N5" s="27" t="s">
        <v>22</v>
      </c>
      <c r="O5" s="165">
        <v>0</v>
      </c>
      <c r="P5" s="22" t="s">
        <v>115</v>
      </c>
      <c r="Q5" s="23">
        <v>0</v>
      </c>
      <c r="R5" s="27" t="s">
        <v>22</v>
      </c>
      <c r="S5" s="9" t="str">
        <f>IF(AP5=1, "P", "")</f>
        <v/>
      </c>
      <c r="T5" s="18"/>
      <c r="U5" s="19"/>
      <c r="V5" s="19"/>
      <c r="W5" s="19"/>
      <c r="X5" s="19"/>
      <c r="Y5" s="58"/>
      <c r="Z5" s="58"/>
      <c r="AA5" s="58"/>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27"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27"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27"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27"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27"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27" t="s">
        <v>22</v>
      </c>
      <c r="IB5" s="10" t="s">
        <v>206</v>
      </c>
      <c r="IC5" s="22" t="s">
        <v>122</v>
      </c>
      <c r="ID5" s="23">
        <v>0</v>
      </c>
      <c r="IE5" s="27" t="s">
        <v>22</v>
      </c>
    </row>
    <row r="6" spans="1:239" x14ac:dyDescent="0.25">
      <c r="A6" s="8">
        <v>1</v>
      </c>
      <c r="B6" s="8" t="str">
        <f t="shared" si="0"/>
        <v>FILLING FEED TANK TO SETPOINT</v>
      </c>
      <c r="C6" s="10"/>
      <c r="D6" s="6" t="str">
        <f t="shared" ref="D6:D29" si="1">D$5</f>
        <v>RO_Data[1].ACK_DESC[</v>
      </c>
      <c r="E6" s="23">
        <f>E5+1</f>
        <v>1</v>
      </c>
      <c r="F6" s="27" t="s">
        <v>22</v>
      </c>
      <c r="G6" s="161">
        <v>0</v>
      </c>
      <c r="H6" s="6" t="str">
        <f t="shared" ref="H6:H29" si="2">H$5</f>
        <v>RO_Data[1].MIN[</v>
      </c>
      <c r="I6" s="23">
        <f>I5+1</f>
        <v>1</v>
      </c>
      <c r="J6" s="27" t="s">
        <v>22</v>
      </c>
      <c r="K6" s="161">
        <v>1</v>
      </c>
      <c r="L6" s="6" t="str">
        <f t="shared" ref="L6:L29" si="3">L$5</f>
        <v>RO_Data[1].SEC[</v>
      </c>
      <c r="M6" s="23">
        <f>M5+1</f>
        <v>1</v>
      </c>
      <c r="N6" s="27" t="s">
        <v>22</v>
      </c>
      <c r="O6" s="165">
        <v>0</v>
      </c>
      <c r="P6" s="6" t="str">
        <f t="shared" ref="P6:P29" si="4">P$5</f>
        <v>RO_Data[1].SETPOINT[</v>
      </c>
      <c r="Q6" s="23">
        <f>Q5+1</f>
        <v>1</v>
      </c>
      <c r="R6" s="27" t="s">
        <v>22</v>
      </c>
      <c r="S6" s="9" t="str">
        <f t="shared" ref="S6:S29" si="5">IF(AP6=1, "P", "")</f>
        <v>P</v>
      </c>
      <c r="T6" s="18"/>
      <c r="U6" s="19"/>
      <c r="V6" s="19"/>
      <c r="W6" s="19"/>
      <c r="X6" s="19"/>
      <c r="Y6" s="58"/>
      <c r="Z6" s="58"/>
      <c r="AA6" s="58"/>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RO_Data[1].COND1[</v>
      </c>
      <c r="BB6" s="23">
        <f>BB5+1</f>
        <v>1</v>
      </c>
      <c r="BC6" s="27" t="s">
        <v>22</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RO_Data[1].COND2[</v>
      </c>
      <c r="CL6" s="23">
        <f>CL5+1</f>
        <v>1</v>
      </c>
      <c r="CM6" s="27"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27" t="s">
        <v>22</v>
      </c>
      <c r="DX6" s="21"/>
      <c r="DY6" s="19"/>
      <c r="DZ6" s="19"/>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RO_Data[1].ACT1[</v>
      </c>
      <c r="FF6" s="23">
        <f>FF5+1</f>
        <v>1</v>
      </c>
      <c r="FG6" s="27"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27"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27" t="s">
        <v>22</v>
      </c>
      <c r="IB6" s="10" t="s">
        <v>207</v>
      </c>
      <c r="IC6" s="6" t="str">
        <f t="shared" ref="IC6:IC29" si="12">IC$5</f>
        <v>RO_Data[1].STEP_DESC[</v>
      </c>
      <c r="ID6" s="23">
        <f>ID5+1</f>
        <v>1</v>
      </c>
      <c r="IE6" s="27" t="s">
        <v>22</v>
      </c>
    </row>
    <row r="7" spans="1:239" s="70" customFormat="1" x14ac:dyDescent="0.25">
      <c r="A7" s="61">
        <v>2</v>
      </c>
      <c r="B7" s="61" t="str">
        <f t="shared" si="0"/>
        <v>STARTING FEED AND PRESSURE PUMPS</v>
      </c>
      <c r="C7" s="62"/>
      <c r="D7" s="6" t="str">
        <f t="shared" si="1"/>
        <v>RO_Data[1].ACK_DESC[</v>
      </c>
      <c r="E7" s="64">
        <f t="shared" ref="E7:E29" si="13">E6+1</f>
        <v>2</v>
      </c>
      <c r="F7" s="65" t="s">
        <v>22</v>
      </c>
      <c r="G7" s="162">
        <v>0</v>
      </c>
      <c r="H7" s="6" t="str">
        <f t="shared" si="2"/>
        <v>RO_Data[1].MIN[</v>
      </c>
      <c r="I7" s="64">
        <f t="shared" ref="I7:I29" si="14">I6+1</f>
        <v>2</v>
      </c>
      <c r="J7" s="65" t="s">
        <v>22</v>
      </c>
      <c r="K7" s="162">
        <v>5</v>
      </c>
      <c r="L7" s="6" t="str">
        <f t="shared" si="3"/>
        <v>RO_Data[1].SEC[</v>
      </c>
      <c r="M7" s="64">
        <f t="shared" ref="M7:M29" si="15">M6+1</f>
        <v>2</v>
      </c>
      <c r="N7" s="65" t="s">
        <v>22</v>
      </c>
      <c r="O7" s="166">
        <v>0</v>
      </c>
      <c r="P7" s="6" t="str">
        <f t="shared" si="4"/>
        <v>RO_Data[1].SETPOINT[</v>
      </c>
      <c r="Q7" s="64">
        <f t="shared" ref="Q7:Q29" si="16">Q6+1</f>
        <v>2</v>
      </c>
      <c r="R7" s="65" t="s">
        <v>22</v>
      </c>
      <c r="S7" s="66" t="str">
        <f t="shared" si="5"/>
        <v>P</v>
      </c>
      <c r="T7" s="67"/>
      <c r="U7" s="58"/>
      <c r="V7" s="58"/>
      <c r="W7" s="58"/>
      <c r="X7" s="58"/>
      <c r="Y7" s="58"/>
      <c r="Z7" s="58"/>
      <c r="AA7" s="58"/>
      <c r="AB7" s="58"/>
      <c r="AC7" s="58"/>
      <c r="AD7" s="58"/>
      <c r="AE7" s="58"/>
      <c r="AF7" s="58"/>
      <c r="AG7" s="58"/>
      <c r="AH7" s="58"/>
      <c r="AI7" s="58"/>
      <c r="AJ7" s="58"/>
      <c r="AK7" s="58"/>
      <c r="AL7" s="58"/>
      <c r="AM7" s="58"/>
      <c r="AN7" s="58"/>
      <c r="AO7" s="58"/>
      <c r="AP7" s="58">
        <v>1</v>
      </c>
      <c r="AQ7" s="58"/>
      <c r="AR7" s="58"/>
      <c r="AS7" s="58"/>
      <c r="AT7" s="58"/>
      <c r="AU7" s="58"/>
      <c r="AV7" s="58"/>
      <c r="AW7" s="58"/>
      <c r="AX7" s="58"/>
      <c r="AY7" s="68"/>
      <c r="AZ7" s="61">
        <f t="array" ref="AZ7">Bin2DecRange($T7:$AY7)</f>
        <v>512</v>
      </c>
      <c r="BA7" s="63" t="str">
        <f t="shared" si="6"/>
        <v>RO_Data[1].COND1[</v>
      </c>
      <c r="BB7" s="64">
        <f t="shared" ref="BB7:BB29" si="17">BB6+1</f>
        <v>2</v>
      </c>
      <c r="BC7" s="65" t="s">
        <v>22</v>
      </c>
      <c r="BD7" s="67"/>
      <c r="BE7" s="58"/>
      <c r="BF7" s="58"/>
      <c r="BG7" s="58"/>
      <c r="BH7" s="58">
        <v>1</v>
      </c>
      <c r="BI7" s="58">
        <v>1</v>
      </c>
      <c r="BJ7" s="58"/>
      <c r="BK7" s="58"/>
      <c r="BL7" s="58"/>
      <c r="BM7" s="58"/>
      <c r="BN7" s="58"/>
      <c r="BO7" s="58"/>
      <c r="BP7" s="58"/>
      <c r="BQ7" s="58"/>
      <c r="BR7" s="58"/>
      <c r="BS7" s="58"/>
      <c r="BT7" s="58"/>
      <c r="BU7" s="58"/>
      <c r="BV7" s="58"/>
      <c r="BW7" s="58"/>
      <c r="BX7" s="58"/>
      <c r="BY7" s="58"/>
      <c r="BZ7" s="58"/>
      <c r="CA7" s="58"/>
      <c r="CB7" s="58"/>
      <c r="CC7" s="58"/>
      <c r="CD7" s="58"/>
      <c r="CE7" s="58"/>
      <c r="CF7" s="58"/>
      <c r="CG7" s="58"/>
      <c r="CH7" s="58"/>
      <c r="CI7" s="68"/>
      <c r="CJ7" s="61" cm="1">
        <f t="array" ref="CJ7">Bin2DecRange($BD7:$CI7)</f>
        <v>201326592</v>
      </c>
      <c r="CK7" s="63" t="str">
        <f t="shared" si="7"/>
        <v>RO_Data[1].COND2[</v>
      </c>
      <c r="CL7" s="64">
        <f t="shared" ref="CL7:CL29" si="18">CL6+1</f>
        <v>2</v>
      </c>
      <c r="CM7" s="65" t="s">
        <v>22</v>
      </c>
      <c r="CN7" s="67"/>
      <c r="CO7" s="58"/>
      <c r="CP7" s="58"/>
      <c r="CQ7" s="58"/>
      <c r="CR7" s="58"/>
      <c r="CS7" s="58"/>
      <c r="CT7" s="58"/>
      <c r="CU7" s="58"/>
      <c r="CV7" s="58"/>
      <c r="CW7" s="58"/>
      <c r="CX7" s="58"/>
      <c r="CY7" s="58"/>
      <c r="CZ7" s="58"/>
      <c r="DA7" s="58"/>
      <c r="DB7" s="58"/>
      <c r="DC7" s="58"/>
      <c r="DD7" s="58"/>
      <c r="DE7" s="58"/>
      <c r="DF7" s="58"/>
      <c r="DG7" s="58"/>
      <c r="DH7" s="58"/>
      <c r="DI7" s="58"/>
      <c r="DJ7" s="58"/>
      <c r="DK7" s="58"/>
      <c r="DL7" s="58"/>
      <c r="DM7" s="58"/>
      <c r="DN7" s="58"/>
      <c r="DO7" s="58"/>
      <c r="DP7" s="58"/>
      <c r="DQ7" s="58"/>
      <c r="DR7" s="58"/>
      <c r="DS7" s="68"/>
      <c r="DT7" s="61" cm="1">
        <f t="array" ref="DT7">Bin2DecRange($CN7:$DS7)</f>
        <v>0</v>
      </c>
      <c r="DU7" s="63" t="str">
        <f t="shared" si="8"/>
        <v>RO_Data[1].COND3[</v>
      </c>
      <c r="DV7" s="64">
        <f t="shared" ref="DV7:DV29" si="19">DV6+1</f>
        <v>2</v>
      </c>
      <c r="DW7" s="65" t="s">
        <v>22</v>
      </c>
      <c r="DX7" s="69"/>
      <c r="DY7" s="58"/>
      <c r="DZ7" s="58"/>
      <c r="EA7" s="58">
        <v>1</v>
      </c>
      <c r="EB7" s="58"/>
      <c r="EC7" s="58"/>
      <c r="ED7" s="58"/>
      <c r="EE7" s="58"/>
      <c r="EF7" s="58"/>
      <c r="EG7" s="58"/>
      <c r="EH7" s="58"/>
      <c r="EI7" s="58"/>
      <c r="EJ7" s="58"/>
      <c r="EK7" s="58"/>
      <c r="EL7" s="58"/>
      <c r="EM7" s="58"/>
      <c r="EN7" s="58"/>
      <c r="EO7" s="58"/>
      <c r="EP7" s="58"/>
      <c r="EQ7" s="58"/>
      <c r="ER7" s="58"/>
      <c r="ES7" s="58"/>
      <c r="ET7" s="58"/>
      <c r="EU7" s="58"/>
      <c r="EV7" s="58"/>
      <c r="EW7" s="58"/>
      <c r="EX7" s="58"/>
      <c r="EY7" s="58"/>
      <c r="EZ7" s="58"/>
      <c r="FA7" s="58"/>
      <c r="FB7" s="58"/>
      <c r="FC7" s="68"/>
      <c r="FD7" s="61">
        <f t="array" ref="FD7">Bin2DecRange($DX7:$FC7)</f>
        <v>268435456</v>
      </c>
      <c r="FE7" s="63" t="str">
        <f t="shared" si="9"/>
        <v>RO_Data[1].ACT1[</v>
      </c>
      <c r="FF7" s="64">
        <f t="shared" ref="FF7:FF29" si="20">FF6+1</f>
        <v>2</v>
      </c>
      <c r="FG7" s="65" t="s">
        <v>22</v>
      </c>
      <c r="FH7" s="69"/>
      <c r="FI7" s="58"/>
      <c r="FJ7" s="58"/>
      <c r="FK7" s="58"/>
      <c r="FL7" s="58"/>
      <c r="FM7" s="58"/>
      <c r="FN7" s="58"/>
      <c r="FO7" s="58"/>
      <c r="FP7" s="58"/>
      <c r="FQ7" s="58"/>
      <c r="FR7" s="58"/>
      <c r="FS7" s="58"/>
      <c r="FT7" s="58"/>
      <c r="FU7" s="58"/>
      <c r="FV7" s="58"/>
      <c r="FW7" s="58"/>
      <c r="FX7" s="58"/>
      <c r="FY7" s="58"/>
      <c r="FZ7" s="58"/>
      <c r="GA7" s="58"/>
      <c r="GB7" s="58"/>
      <c r="GC7" s="58"/>
      <c r="GD7" s="58"/>
      <c r="GE7" s="58">
        <v>1</v>
      </c>
      <c r="GF7" s="58">
        <v>1</v>
      </c>
      <c r="GG7" s="58">
        <v>1</v>
      </c>
      <c r="GH7" s="58">
        <v>1</v>
      </c>
      <c r="GI7" s="58"/>
      <c r="GJ7" s="58"/>
      <c r="GK7" s="58"/>
      <c r="GL7" s="58"/>
      <c r="GM7" s="68"/>
      <c r="GN7" s="61" cm="1">
        <f t="array" ref="GN7">Bin2DecRange($FH7:$GM7)</f>
        <v>480</v>
      </c>
      <c r="GO7" s="63" t="str">
        <f t="shared" si="10"/>
        <v>RO_Data[1].ACT5[</v>
      </c>
      <c r="GP7" s="64">
        <f t="shared" ref="GP7:GP29" si="21">GP6+1</f>
        <v>2</v>
      </c>
      <c r="GQ7" s="65" t="s">
        <v>22</v>
      </c>
      <c r="GR7" s="69"/>
      <c r="GS7" s="58"/>
      <c r="GT7" s="58"/>
      <c r="GU7" s="58"/>
      <c r="GV7" s="58"/>
      <c r="GW7" s="58"/>
      <c r="GX7" s="58"/>
      <c r="GY7" s="58"/>
      <c r="GZ7" s="58"/>
      <c r="HA7" s="58"/>
      <c r="HB7" s="58"/>
      <c r="HC7" s="58"/>
      <c r="HD7" s="58"/>
      <c r="HE7" s="58"/>
      <c r="HF7" s="58"/>
      <c r="HG7" s="58"/>
      <c r="HH7" s="58"/>
      <c r="HI7" s="58"/>
      <c r="HJ7" s="58"/>
      <c r="HK7" s="58"/>
      <c r="HL7" s="58"/>
      <c r="HM7" s="58"/>
      <c r="HN7" s="58"/>
      <c r="HO7" s="58"/>
      <c r="HP7" s="58"/>
      <c r="HQ7" s="58"/>
      <c r="HR7" s="58"/>
      <c r="HS7" s="58"/>
      <c r="HT7" s="58"/>
      <c r="HU7" s="58"/>
      <c r="HV7" s="58"/>
      <c r="HW7" s="68"/>
      <c r="HX7" s="61" cm="1">
        <f t="array" ref="HX7">Bin2DecRange($GR7:$HW7)</f>
        <v>0</v>
      </c>
      <c r="HY7" s="63" t="str">
        <f t="shared" si="11"/>
        <v>RO_Data[1].ACT6[</v>
      </c>
      <c r="HZ7" s="64">
        <f t="shared" ref="HZ7:HZ29" si="22">HZ6+1</f>
        <v>2</v>
      </c>
      <c r="IA7" s="65" t="s">
        <v>22</v>
      </c>
      <c r="IB7" s="62" t="s">
        <v>208</v>
      </c>
      <c r="IC7" s="63" t="str">
        <f t="shared" si="12"/>
        <v>RO_Data[1].STEP_DESC[</v>
      </c>
      <c r="ID7" s="64">
        <f t="shared" ref="ID7:ID29" si="23">ID6+1</f>
        <v>2</v>
      </c>
      <c r="IE7" s="65" t="s">
        <v>22</v>
      </c>
    </row>
    <row r="8" spans="1:239" s="70" customFormat="1" x14ac:dyDescent="0.25">
      <c r="A8" s="61">
        <v>3</v>
      </c>
      <c r="B8" s="61" t="str">
        <f t="shared" si="0"/>
        <v>STARTING RECIRC PUMP STAGE 1</v>
      </c>
      <c r="C8" s="62"/>
      <c r="D8" s="6" t="str">
        <f t="shared" si="1"/>
        <v>RO_Data[1].ACK_DESC[</v>
      </c>
      <c r="E8" s="64">
        <f t="shared" si="13"/>
        <v>3</v>
      </c>
      <c r="F8" s="65" t="s">
        <v>22</v>
      </c>
      <c r="G8" s="162">
        <v>0</v>
      </c>
      <c r="H8" s="6" t="str">
        <f t="shared" si="2"/>
        <v>RO_Data[1].MIN[</v>
      </c>
      <c r="I8" s="64">
        <f t="shared" si="14"/>
        <v>3</v>
      </c>
      <c r="J8" s="65" t="s">
        <v>22</v>
      </c>
      <c r="K8" s="162">
        <v>5</v>
      </c>
      <c r="L8" s="6" t="str">
        <f t="shared" si="3"/>
        <v>RO_Data[1].SEC[</v>
      </c>
      <c r="M8" s="64">
        <f t="shared" si="15"/>
        <v>3</v>
      </c>
      <c r="N8" s="65" t="s">
        <v>22</v>
      </c>
      <c r="O8" s="166">
        <v>0</v>
      </c>
      <c r="P8" s="6" t="str">
        <f t="shared" si="4"/>
        <v>RO_Data[1].SETPOINT[</v>
      </c>
      <c r="Q8" s="64">
        <f t="shared" si="16"/>
        <v>3</v>
      </c>
      <c r="R8" s="65" t="s">
        <v>22</v>
      </c>
      <c r="S8" s="66" t="str">
        <f t="shared" si="5"/>
        <v>P</v>
      </c>
      <c r="T8" s="67"/>
      <c r="U8" s="58"/>
      <c r="V8" s="58"/>
      <c r="W8" s="58"/>
      <c r="X8" s="58"/>
      <c r="Y8" s="58"/>
      <c r="Z8" s="58"/>
      <c r="AA8" s="58"/>
      <c r="AB8" s="58"/>
      <c r="AC8" s="58"/>
      <c r="AD8" s="58"/>
      <c r="AE8" s="58"/>
      <c r="AF8" s="58"/>
      <c r="AG8" s="58"/>
      <c r="AH8" s="58"/>
      <c r="AI8" s="58"/>
      <c r="AJ8" s="58"/>
      <c r="AK8" s="58"/>
      <c r="AL8" s="58"/>
      <c r="AM8" s="58"/>
      <c r="AN8" s="58"/>
      <c r="AO8" s="58"/>
      <c r="AP8" s="58">
        <v>1</v>
      </c>
      <c r="AQ8" s="58"/>
      <c r="AR8" s="58"/>
      <c r="AS8" s="58"/>
      <c r="AT8" s="58"/>
      <c r="AU8" s="58"/>
      <c r="AV8" s="58"/>
      <c r="AW8" s="58"/>
      <c r="AX8" s="58"/>
      <c r="AY8" s="68"/>
      <c r="AZ8" s="61">
        <f t="array" ref="AZ8">Bin2DecRange($T8:$AY8)</f>
        <v>512</v>
      </c>
      <c r="BA8" s="63" t="str">
        <f t="shared" si="6"/>
        <v>RO_Data[1].COND1[</v>
      </c>
      <c r="BB8" s="64">
        <f t="shared" si="17"/>
        <v>3</v>
      </c>
      <c r="BC8" s="65" t="s">
        <v>22</v>
      </c>
      <c r="BD8" s="67"/>
      <c r="BE8" s="58"/>
      <c r="BF8" s="58"/>
      <c r="BG8" s="58"/>
      <c r="BH8" s="58">
        <v>1</v>
      </c>
      <c r="BI8" s="58">
        <v>1</v>
      </c>
      <c r="BJ8" s="58"/>
      <c r="BK8" s="58"/>
      <c r="BL8" s="58"/>
      <c r="BM8" s="58"/>
      <c r="BN8" s="58"/>
      <c r="BO8" s="58"/>
      <c r="BP8" s="58"/>
      <c r="BQ8" s="58"/>
      <c r="BR8" s="58"/>
      <c r="BS8" s="58"/>
      <c r="BT8" s="58"/>
      <c r="BU8" s="58"/>
      <c r="BV8" s="58"/>
      <c r="BW8" s="58"/>
      <c r="BX8" s="58"/>
      <c r="BY8" s="58"/>
      <c r="BZ8" s="58"/>
      <c r="CA8" s="58"/>
      <c r="CB8" s="58"/>
      <c r="CC8" s="58"/>
      <c r="CD8" s="58"/>
      <c r="CE8" s="58"/>
      <c r="CF8" s="58"/>
      <c r="CG8" s="58"/>
      <c r="CH8" s="58"/>
      <c r="CI8" s="68"/>
      <c r="CJ8" s="61" cm="1">
        <f t="array" ref="CJ8">Bin2DecRange($BD8:$CI8)</f>
        <v>201326592</v>
      </c>
      <c r="CK8" s="63" t="str">
        <f t="shared" si="7"/>
        <v>RO_Data[1].COND2[</v>
      </c>
      <c r="CL8" s="64">
        <f t="shared" si="18"/>
        <v>3</v>
      </c>
      <c r="CM8" s="65" t="s">
        <v>22</v>
      </c>
      <c r="CN8" s="67"/>
      <c r="CO8" s="58"/>
      <c r="CP8" s="58"/>
      <c r="CQ8" s="58"/>
      <c r="CR8" s="58"/>
      <c r="CS8" s="58"/>
      <c r="CT8" s="58"/>
      <c r="CU8" s="58"/>
      <c r="CV8" s="58"/>
      <c r="CW8" s="58"/>
      <c r="CX8" s="58"/>
      <c r="CY8" s="58"/>
      <c r="CZ8" s="58"/>
      <c r="DA8" s="58"/>
      <c r="DB8" s="58"/>
      <c r="DC8" s="58"/>
      <c r="DD8" s="58"/>
      <c r="DE8" s="58"/>
      <c r="DF8" s="58"/>
      <c r="DG8" s="58"/>
      <c r="DH8" s="58"/>
      <c r="DI8" s="58"/>
      <c r="DJ8" s="58"/>
      <c r="DK8" s="58"/>
      <c r="DL8" s="58"/>
      <c r="DM8" s="58"/>
      <c r="DN8" s="58"/>
      <c r="DO8" s="58"/>
      <c r="DP8" s="58"/>
      <c r="DQ8" s="58"/>
      <c r="DR8" s="58"/>
      <c r="DS8" s="68"/>
      <c r="DT8" s="61" cm="1">
        <f t="array" ref="DT8">Bin2DecRange($CN8:$DS8)</f>
        <v>0</v>
      </c>
      <c r="DU8" s="63" t="str">
        <f t="shared" si="8"/>
        <v>RO_Data[1].COND3[</v>
      </c>
      <c r="DV8" s="64">
        <f t="shared" si="19"/>
        <v>3</v>
      </c>
      <c r="DW8" s="65" t="s">
        <v>22</v>
      </c>
      <c r="DX8" s="69"/>
      <c r="DY8" s="58"/>
      <c r="DZ8" s="58"/>
      <c r="EA8" s="58">
        <v>1</v>
      </c>
      <c r="EB8" s="58"/>
      <c r="EC8" s="58"/>
      <c r="ED8" s="58"/>
      <c r="EE8" s="58"/>
      <c r="EF8" s="58"/>
      <c r="EG8" s="58"/>
      <c r="EH8" s="58"/>
      <c r="EI8" s="58"/>
      <c r="EJ8" s="58"/>
      <c r="EK8" s="58"/>
      <c r="EL8" s="58"/>
      <c r="EM8" s="58"/>
      <c r="EN8" s="58"/>
      <c r="EO8" s="58"/>
      <c r="EP8" s="58"/>
      <c r="EQ8" s="58"/>
      <c r="ER8" s="58"/>
      <c r="ES8" s="58"/>
      <c r="ET8" s="58"/>
      <c r="EU8" s="58"/>
      <c r="EV8" s="58"/>
      <c r="EW8" s="58"/>
      <c r="EX8" s="58"/>
      <c r="EY8" s="58"/>
      <c r="EZ8" s="58"/>
      <c r="FA8" s="58"/>
      <c r="FB8" s="58"/>
      <c r="FC8" s="68"/>
      <c r="FD8" s="61">
        <f t="array" ref="FD8">Bin2DecRange($DX8:$FC8)</f>
        <v>268435456</v>
      </c>
      <c r="FE8" s="63" t="str">
        <f t="shared" si="9"/>
        <v>RO_Data[1].ACT1[</v>
      </c>
      <c r="FF8" s="64">
        <f t="shared" si="20"/>
        <v>3</v>
      </c>
      <c r="FG8" s="65" t="s">
        <v>22</v>
      </c>
      <c r="FH8" s="69"/>
      <c r="FI8" s="58"/>
      <c r="FJ8" s="58"/>
      <c r="FK8" s="58"/>
      <c r="FL8" s="58"/>
      <c r="FM8" s="58"/>
      <c r="FN8" s="58"/>
      <c r="FO8" s="58"/>
      <c r="FP8" s="58"/>
      <c r="FQ8" s="58"/>
      <c r="FR8" s="58"/>
      <c r="FS8" s="58"/>
      <c r="FT8" s="58"/>
      <c r="FU8" s="58"/>
      <c r="FV8" s="58"/>
      <c r="FW8" s="58"/>
      <c r="FX8" s="58"/>
      <c r="FY8" s="58"/>
      <c r="FZ8" s="58"/>
      <c r="GA8" s="58"/>
      <c r="GB8" s="58"/>
      <c r="GC8" s="58"/>
      <c r="GD8" s="58"/>
      <c r="GE8" s="58">
        <v>1</v>
      </c>
      <c r="GF8" s="58">
        <v>1</v>
      </c>
      <c r="GG8" s="58">
        <v>1</v>
      </c>
      <c r="GH8" s="58">
        <v>1</v>
      </c>
      <c r="GI8" s="58">
        <v>1</v>
      </c>
      <c r="GJ8" s="58"/>
      <c r="GK8" s="58"/>
      <c r="GL8" s="58"/>
      <c r="GM8" s="68"/>
      <c r="GN8" s="61" cm="1">
        <f t="array" ref="GN8">Bin2DecRange($FH8:$GM8)</f>
        <v>496</v>
      </c>
      <c r="GO8" s="63" t="str">
        <f t="shared" si="10"/>
        <v>RO_Data[1].ACT5[</v>
      </c>
      <c r="GP8" s="64">
        <f t="shared" si="21"/>
        <v>3</v>
      </c>
      <c r="GQ8" s="65" t="s">
        <v>22</v>
      </c>
      <c r="GR8" s="69"/>
      <c r="GS8" s="58"/>
      <c r="GT8" s="58"/>
      <c r="GU8" s="58"/>
      <c r="GV8" s="58"/>
      <c r="GW8" s="58"/>
      <c r="GX8" s="58"/>
      <c r="GY8" s="58"/>
      <c r="GZ8" s="58"/>
      <c r="HA8" s="58"/>
      <c r="HB8" s="58"/>
      <c r="HC8" s="58"/>
      <c r="HD8" s="58"/>
      <c r="HE8" s="58"/>
      <c r="HF8" s="58"/>
      <c r="HG8" s="58"/>
      <c r="HH8" s="58"/>
      <c r="HI8" s="58"/>
      <c r="HJ8" s="58"/>
      <c r="HK8" s="58"/>
      <c r="HL8" s="58"/>
      <c r="HM8" s="58"/>
      <c r="HN8" s="58"/>
      <c r="HO8" s="58"/>
      <c r="HP8" s="58"/>
      <c r="HQ8" s="58"/>
      <c r="HR8" s="58"/>
      <c r="HS8" s="58"/>
      <c r="HT8" s="58"/>
      <c r="HU8" s="58"/>
      <c r="HV8" s="58"/>
      <c r="HW8" s="68"/>
      <c r="HX8" s="61" cm="1">
        <f t="array" ref="HX8">Bin2DecRange($GR8:$HW8)</f>
        <v>0</v>
      </c>
      <c r="HY8" s="63" t="str">
        <f t="shared" si="11"/>
        <v>RO_Data[1].ACT6[</v>
      </c>
      <c r="HZ8" s="64">
        <f t="shared" si="22"/>
        <v>3</v>
      </c>
      <c r="IA8" s="65" t="s">
        <v>22</v>
      </c>
      <c r="IB8" s="62" t="s">
        <v>209</v>
      </c>
      <c r="IC8" s="63" t="str">
        <f t="shared" si="12"/>
        <v>RO_Data[1].STEP_DESC[</v>
      </c>
      <c r="ID8" s="64">
        <f t="shared" si="23"/>
        <v>3</v>
      </c>
      <c r="IE8" s="65" t="s">
        <v>22</v>
      </c>
    </row>
    <row r="9" spans="1:239" x14ac:dyDescent="0.25">
      <c r="A9" s="8">
        <v>4</v>
      </c>
      <c r="B9" s="8" t="str">
        <f t="shared" si="0"/>
        <v>STARTING RECIRC PUMP STAGE 2</v>
      </c>
      <c r="C9" s="10"/>
      <c r="D9" s="6" t="str">
        <f t="shared" si="1"/>
        <v>RO_Data[1].ACK_DESC[</v>
      </c>
      <c r="E9" s="23">
        <f t="shared" si="13"/>
        <v>4</v>
      </c>
      <c r="F9" s="27" t="s">
        <v>22</v>
      </c>
      <c r="G9" s="161">
        <v>0</v>
      </c>
      <c r="H9" s="6" t="str">
        <f t="shared" si="2"/>
        <v>RO_Data[1].MIN[</v>
      </c>
      <c r="I9" s="23">
        <f t="shared" si="14"/>
        <v>4</v>
      </c>
      <c r="J9" s="27" t="s">
        <v>22</v>
      </c>
      <c r="K9" s="161">
        <v>5</v>
      </c>
      <c r="L9" s="6" t="str">
        <f t="shared" si="3"/>
        <v>RO_Data[1].SEC[</v>
      </c>
      <c r="M9" s="23">
        <f t="shared" si="15"/>
        <v>4</v>
      </c>
      <c r="N9" s="27" t="s">
        <v>22</v>
      </c>
      <c r="O9" s="165">
        <v>0</v>
      </c>
      <c r="P9" s="6" t="str">
        <f t="shared" si="4"/>
        <v>RO_Data[1].SETPOINT[</v>
      </c>
      <c r="Q9" s="23">
        <f t="shared" si="16"/>
        <v>4</v>
      </c>
      <c r="R9" s="27" t="s">
        <v>22</v>
      </c>
      <c r="S9" s="9" t="str">
        <f t="shared" si="5"/>
        <v>P</v>
      </c>
      <c r="T9" s="18"/>
      <c r="U9" s="19"/>
      <c r="V9" s="19"/>
      <c r="W9" s="19"/>
      <c r="X9" s="19"/>
      <c r="Y9" s="58"/>
      <c r="Z9" s="58"/>
      <c r="AA9" s="58"/>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3" t="str">
        <f t="shared" si="6"/>
        <v>RO_Data[1].COND1[</v>
      </c>
      <c r="BB9" s="23">
        <f t="shared" si="17"/>
        <v>4</v>
      </c>
      <c r="BC9" s="27" t="s">
        <v>22</v>
      </c>
      <c r="BD9" s="18"/>
      <c r="BE9" s="19"/>
      <c r="BF9" s="19"/>
      <c r="BG9" s="19"/>
      <c r="BH9" s="19">
        <v>1</v>
      </c>
      <c r="BI9" s="19">
        <v>1</v>
      </c>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201326592</v>
      </c>
      <c r="CK9" s="63" t="str">
        <f t="shared" si="7"/>
        <v>RO_Data[1].COND2[</v>
      </c>
      <c r="CL9" s="23">
        <f t="shared" si="18"/>
        <v>4</v>
      </c>
      <c r="CM9" s="27"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3" t="str">
        <f t="shared" si="8"/>
        <v>RO_Data[1].COND3[</v>
      </c>
      <c r="DV9" s="23">
        <f t="shared" si="19"/>
        <v>4</v>
      </c>
      <c r="DW9" s="27" t="s">
        <v>22</v>
      </c>
      <c r="DX9" s="21"/>
      <c r="DY9" s="19"/>
      <c r="DZ9" s="19"/>
      <c r="EA9" s="19">
        <v>1</v>
      </c>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268435456</v>
      </c>
      <c r="FE9" s="63" t="str">
        <f t="shared" si="9"/>
        <v>RO_Data[1].ACT1[</v>
      </c>
      <c r="FF9" s="23">
        <f t="shared" si="20"/>
        <v>4</v>
      </c>
      <c r="FG9" s="27"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c r="GL9" s="19"/>
      <c r="GM9" s="20"/>
      <c r="GN9" s="8" cm="1">
        <f t="array" ref="GN9">Bin2DecRange($FH9:$GM9)</f>
        <v>504</v>
      </c>
      <c r="GO9" s="63" t="str">
        <f t="shared" si="10"/>
        <v>RO_Data[1].ACT5[</v>
      </c>
      <c r="GP9" s="23">
        <f t="shared" si="21"/>
        <v>4</v>
      </c>
      <c r="GQ9" s="27"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3" t="str">
        <f t="shared" si="11"/>
        <v>RO_Data[1].ACT6[</v>
      </c>
      <c r="HZ9" s="23">
        <f t="shared" si="22"/>
        <v>4</v>
      </c>
      <c r="IA9" s="27" t="s">
        <v>22</v>
      </c>
      <c r="IB9" s="10" t="s">
        <v>210</v>
      </c>
      <c r="IC9" s="63" t="str">
        <f t="shared" si="12"/>
        <v>RO_Data[1].STEP_DESC[</v>
      </c>
      <c r="ID9" s="23">
        <f t="shared" si="23"/>
        <v>4</v>
      </c>
      <c r="IE9" s="27" t="s">
        <v>22</v>
      </c>
    </row>
    <row r="10" spans="1:239" x14ac:dyDescent="0.25">
      <c r="A10" s="8">
        <v>5</v>
      </c>
      <c r="B10" s="8" t="str">
        <f t="shared" si="0"/>
        <v>STARTING RECIRC PUMP STAGE 3</v>
      </c>
      <c r="C10" s="10"/>
      <c r="D10" s="6" t="str">
        <f t="shared" si="1"/>
        <v>RO_Data[1].ACK_DESC[</v>
      </c>
      <c r="E10" s="23">
        <f t="shared" si="13"/>
        <v>5</v>
      </c>
      <c r="F10" s="27" t="s">
        <v>22</v>
      </c>
      <c r="G10" s="161">
        <v>0</v>
      </c>
      <c r="H10" s="6" t="str">
        <f t="shared" si="2"/>
        <v>RO_Data[1].MIN[</v>
      </c>
      <c r="I10" s="23">
        <f t="shared" si="14"/>
        <v>5</v>
      </c>
      <c r="J10" s="27" t="s">
        <v>22</v>
      </c>
      <c r="K10" s="161">
        <v>5</v>
      </c>
      <c r="L10" s="6" t="str">
        <f t="shared" si="3"/>
        <v>RO_Data[1].SEC[</v>
      </c>
      <c r="M10" s="23">
        <f t="shared" si="15"/>
        <v>5</v>
      </c>
      <c r="N10" s="27" t="s">
        <v>22</v>
      </c>
      <c r="O10" s="165">
        <v>0</v>
      </c>
      <c r="P10" s="6" t="str">
        <f t="shared" si="4"/>
        <v>RO_Data[1].SETPOINT[</v>
      </c>
      <c r="Q10" s="23">
        <f t="shared" si="16"/>
        <v>5</v>
      </c>
      <c r="R10" s="27" t="s">
        <v>22</v>
      </c>
      <c r="S10" s="9" t="str">
        <f t="shared" si="5"/>
        <v>P</v>
      </c>
      <c r="T10" s="18"/>
      <c r="U10" s="19"/>
      <c r="V10" s="19"/>
      <c r="W10" s="19"/>
      <c r="X10" s="19"/>
      <c r="Y10" s="58"/>
      <c r="Z10" s="58"/>
      <c r="AA10" s="58"/>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3" t="str">
        <f t="shared" si="6"/>
        <v>RO_Data[1].COND1[</v>
      </c>
      <c r="BB10" s="23">
        <f t="shared" si="17"/>
        <v>5</v>
      </c>
      <c r="BC10" s="27" t="s">
        <v>22</v>
      </c>
      <c r="BD10" s="18"/>
      <c r="BE10" s="19"/>
      <c r="BF10" s="19"/>
      <c r="BG10" s="19"/>
      <c r="BH10" s="19">
        <v>1</v>
      </c>
      <c r="BI10" s="19">
        <v>1</v>
      </c>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201326592</v>
      </c>
      <c r="CK10" s="63" t="str">
        <f t="shared" si="7"/>
        <v>RO_Data[1].COND2[</v>
      </c>
      <c r="CL10" s="23">
        <f t="shared" si="18"/>
        <v>5</v>
      </c>
      <c r="CM10" s="27"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3" t="str">
        <f t="shared" si="8"/>
        <v>RO_Data[1].COND3[</v>
      </c>
      <c r="DV10" s="23">
        <f t="shared" si="19"/>
        <v>5</v>
      </c>
      <c r="DW10" s="27" t="s">
        <v>22</v>
      </c>
      <c r="DX10" s="21"/>
      <c r="DY10" s="19"/>
      <c r="DZ10" s="19"/>
      <c r="EA10" s="19">
        <v>1</v>
      </c>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268435456</v>
      </c>
      <c r="FE10" s="63" t="str">
        <f t="shared" si="9"/>
        <v>RO_Data[1].ACT1[</v>
      </c>
      <c r="FF10" s="23">
        <f t="shared" si="20"/>
        <v>5</v>
      </c>
      <c r="FG10" s="27"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c r="GM10" s="20"/>
      <c r="GN10" s="8" cm="1">
        <f t="array" ref="GN10">Bin2DecRange($FH10:$GM10)</f>
        <v>508</v>
      </c>
      <c r="GO10" s="63" t="str">
        <f t="shared" si="10"/>
        <v>RO_Data[1].ACT5[</v>
      </c>
      <c r="GP10" s="23">
        <f t="shared" si="21"/>
        <v>5</v>
      </c>
      <c r="GQ10" s="27"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3" t="str">
        <f t="shared" si="11"/>
        <v>RO_Data[1].ACT6[</v>
      </c>
      <c r="HZ10" s="23">
        <f t="shared" si="22"/>
        <v>5</v>
      </c>
      <c r="IA10" s="27" t="s">
        <v>22</v>
      </c>
      <c r="IB10" s="10" t="s">
        <v>211</v>
      </c>
      <c r="IC10" s="63" t="str">
        <f t="shared" si="12"/>
        <v>RO_Data[1].STEP_DESC[</v>
      </c>
      <c r="ID10" s="23">
        <f t="shared" si="23"/>
        <v>5</v>
      </c>
      <c r="IE10" s="27" t="s">
        <v>22</v>
      </c>
    </row>
    <row r="11" spans="1:239" x14ac:dyDescent="0.25">
      <c r="A11" s="8">
        <v>6</v>
      </c>
      <c r="B11" s="8" t="str">
        <f t="shared" si="0"/>
        <v>STARTING RECIRC PUMP STAGE 4</v>
      </c>
      <c r="C11" s="10"/>
      <c r="D11" s="6" t="str">
        <f t="shared" si="1"/>
        <v>RO_Data[1].ACK_DESC[</v>
      </c>
      <c r="E11" s="23">
        <f t="shared" si="13"/>
        <v>6</v>
      </c>
      <c r="F11" s="27" t="s">
        <v>22</v>
      </c>
      <c r="G11" s="161">
        <v>0</v>
      </c>
      <c r="H11" s="6" t="str">
        <f t="shared" si="2"/>
        <v>RO_Data[1].MIN[</v>
      </c>
      <c r="I11" s="23">
        <f t="shared" si="14"/>
        <v>6</v>
      </c>
      <c r="J11" s="27" t="s">
        <v>22</v>
      </c>
      <c r="K11" s="161">
        <v>5</v>
      </c>
      <c r="L11" s="6" t="str">
        <f t="shared" si="3"/>
        <v>RO_Data[1].SEC[</v>
      </c>
      <c r="M11" s="23">
        <f t="shared" si="15"/>
        <v>6</v>
      </c>
      <c r="N11" s="27" t="s">
        <v>22</v>
      </c>
      <c r="O11" s="165">
        <v>0</v>
      </c>
      <c r="P11" s="6" t="str">
        <f t="shared" si="4"/>
        <v>RO_Data[1].SETPOINT[</v>
      </c>
      <c r="Q11" s="23">
        <f t="shared" si="16"/>
        <v>6</v>
      </c>
      <c r="R11" s="27" t="s">
        <v>22</v>
      </c>
      <c r="S11" s="9" t="str">
        <f t="shared" si="5"/>
        <v>P</v>
      </c>
      <c r="T11" s="18"/>
      <c r="U11" s="19"/>
      <c r="V11" s="19"/>
      <c r="W11" s="19"/>
      <c r="X11" s="19"/>
      <c r="Y11" s="58"/>
      <c r="Z11" s="58"/>
      <c r="AA11" s="58"/>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3" t="str">
        <f t="shared" si="6"/>
        <v>RO_Data[1].COND1[</v>
      </c>
      <c r="BB11" s="23">
        <f t="shared" si="17"/>
        <v>6</v>
      </c>
      <c r="BC11" s="27" t="s">
        <v>22</v>
      </c>
      <c r="BD11" s="18"/>
      <c r="BE11" s="19"/>
      <c r="BF11" s="19"/>
      <c r="BG11" s="19"/>
      <c r="BH11" s="19">
        <v>1</v>
      </c>
      <c r="BI11" s="19">
        <v>1</v>
      </c>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201326592</v>
      </c>
      <c r="CK11" s="63" t="str">
        <f t="shared" si="7"/>
        <v>RO_Data[1].COND2[</v>
      </c>
      <c r="CL11" s="23">
        <f t="shared" si="18"/>
        <v>6</v>
      </c>
      <c r="CM11" s="27"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3" t="str">
        <f t="shared" si="8"/>
        <v>RO_Data[1].COND3[</v>
      </c>
      <c r="DV11" s="23">
        <f t="shared" si="19"/>
        <v>6</v>
      </c>
      <c r="DW11" s="27" t="s">
        <v>22</v>
      </c>
      <c r="DX11" s="21"/>
      <c r="DY11" s="19"/>
      <c r="DZ11" s="19"/>
      <c r="EA11" s="19">
        <v>1</v>
      </c>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268435456</v>
      </c>
      <c r="FE11" s="63" t="str">
        <f t="shared" si="9"/>
        <v>RO_Data[1].ACT1[</v>
      </c>
      <c r="FF11" s="23">
        <f t="shared" si="20"/>
        <v>6</v>
      </c>
      <c r="FG11" s="27"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c r="GN11" s="8" cm="1">
        <f t="array" ref="GN11">Bin2DecRange($FH11:$GM11)</f>
        <v>510</v>
      </c>
      <c r="GO11" s="63" t="str">
        <f t="shared" si="10"/>
        <v>RO_Data[1].ACT5[</v>
      </c>
      <c r="GP11" s="23">
        <f t="shared" si="21"/>
        <v>6</v>
      </c>
      <c r="GQ11" s="27"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3" t="str">
        <f t="shared" si="11"/>
        <v>RO_Data[1].ACT6[</v>
      </c>
      <c r="HZ11" s="23">
        <f t="shared" si="22"/>
        <v>6</v>
      </c>
      <c r="IA11" s="27" t="s">
        <v>22</v>
      </c>
      <c r="IB11" s="10" t="s">
        <v>212</v>
      </c>
      <c r="IC11" s="63" t="str">
        <f t="shared" si="12"/>
        <v>RO_Data[1].STEP_DESC[</v>
      </c>
      <c r="ID11" s="23">
        <f t="shared" si="23"/>
        <v>6</v>
      </c>
      <c r="IE11" s="27" t="s">
        <v>22</v>
      </c>
    </row>
    <row r="12" spans="1:239" x14ac:dyDescent="0.25">
      <c r="A12" s="8">
        <v>7</v>
      </c>
      <c r="B12" s="8" t="str">
        <f t="shared" si="0"/>
        <v>STARTING RECIRC PUMP STAGE 5</v>
      </c>
      <c r="C12" s="10"/>
      <c r="D12" s="6" t="str">
        <f t="shared" si="1"/>
        <v>RO_Data[1].ACK_DESC[</v>
      </c>
      <c r="E12" s="23">
        <f t="shared" si="13"/>
        <v>7</v>
      </c>
      <c r="F12" s="27" t="s">
        <v>22</v>
      </c>
      <c r="G12" s="161">
        <v>0</v>
      </c>
      <c r="H12" s="6" t="str">
        <f t="shared" si="2"/>
        <v>RO_Data[1].MIN[</v>
      </c>
      <c r="I12" s="23">
        <f t="shared" si="14"/>
        <v>7</v>
      </c>
      <c r="J12" s="27" t="s">
        <v>22</v>
      </c>
      <c r="K12" s="161">
        <v>5</v>
      </c>
      <c r="L12" s="6" t="str">
        <f t="shared" si="3"/>
        <v>RO_Data[1].SEC[</v>
      </c>
      <c r="M12" s="23">
        <f t="shared" si="15"/>
        <v>7</v>
      </c>
      <c r="N12" s="27" t="s">
        <v>22</v>
      </c>
      <c r="O12" s="165">
        <v>0</v>
      </c>
      <c r="P12" s="6" t="str">
        <f t="shared" si="4"/>
        <v>RO_Data[1].SETPOINT[</v>
      </c>
      <c r="Q12" s="23">
        <f t="shared" si="16"/>
        <v>7</v>
      </c>
      <c r="R12" s="27" t="s">
        <v>22</v>
      </c>
      <c r="S12" s="9" t="str">
        <f t="shared" si="5"/>
        <v>P</v>
      </c>
      <c r="T12" s="18"/>
      <c r="U12" s="19"/>
      <c r="V12" s="19"/>
      <c r="W12" s="19"/>
      <c r="X12" s="19"/>
      <c r="Y12" s="58"/>
      <c r="Z12" s="58"/>
      <c r="AA12" s="58"/>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3" t="str">
        <f t="shared" si="6"/>
        <v>RO_Data[1].COND1[</v>
      </c>
      <c r="BB12" s="23">
        <f t="shared" si="17"/>
        <v>7</v>
      </c>
      <c r="BC12" s="27" t="s">
        <v>22</v>
      </c>
      <c r="BD12" s="18"/>
      <c r="BE12" s="19"/>
      <c r="BF12" s="19"/>
      <c r="BG12" s="19"/>
      <c r="BH12" s="19">
        <v>1</v>
      </c>
      <c r="BI12" s="19">
        <v>1</v>
      </c>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201326592</v>
      </c>
      <c r="CK12" s="63" t="str">
        <f t="shared" si="7"/>
        <v>RO_Data[1].COND2[</v>
      </c>
      <c r="CL12" s="23">
        <f t="shared" si="18"/>
        <v>7</v>
      </c>
      <c r="CM12" s="27"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3" t="str">
        <f t="shared" si="8"/>
        <v>RO_Data[1].COND3[</v>
      </c>
      <c r="DV12" s="23">
        <f t="shared" si="19"/>
        <v>7</v>
      </c>
      <c r="DW12" s="27" t="s">
        <v>22</v>
      </c>
      <c r="DX12" s="21"/>
      <c r="DY12" s="19"/>
      <c r="DZ12" s="19"/>
      <c r="EA12" s="19">
        <v>1</v>
      </c>
      <c r="EB12" s="19"/>
      <c r="EC12" s="19"/>
      <c r="ED12" s="19"/>
      <c r="EE12" s="19"/>
      <c r="EF12" s="19"/>
      <c r="EG12" s="19"/>
      <c r="EH12" s="19"/>
      <c r="EI12" s="19"/>
      <c r="EJ12" s="19"/>
      <c r="EK12" s="19"/>
      <c r="EL12" s="19"/>
      <c r="EM12" s="19"/>
      <c r="EN12" s="19"/>
      <c r="EO12" s="19"/>
      <c r="EP12" s="19">
        <v>1</v>
      </c>
      <c r="EQ12" s="19"/>
      <c r="ER12" s="19"/>
      <c r="ES12" s="19"/>
      <c r="ET12" s="19"/>
      <c r="EU12" s="19"/>
      <c r="EV12" s="19"/>
      <c r="EW12" s="19"/>
      <c r="EX12" s="19"/>
      <c r="EY12" s="19"/>
      <c r="EZ12" s="19"/>
      <c r="FA12" s="19"/>
      <c r="FB12" s="19"/>
      <c r="FC12" s="20"/>
      <c r="FD12" s="8">
        <f t="array" ref="FD12">Bin2DecRange($DX12:$FC12)</f>
        <v>268443648</v>
      </c>
      <c r="FE12" s="63" t="str">
        <f t="shared" si="9"/>
        <v>RO_Data[1].ACT1[</v>
      </c>
      <c r="FF12" s="23">
        <f t="shared" si="20"/>
        <v>7</v>
      </c>
      <c r="FG12" s="27"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3" t="str">
        <f t="shared" si="10"/>
        <v>RO_Data[1].ACT5[</v>
      </c>
      <c r="GP12" s="23">
        <f t="shared" si="21"/>
        <v>7</v>
      </c>
      <c r="GQ12" s="27"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3" t="str">
        <f t="shared" si="11"/>
        <v>RO_Data[1].ACT6[</v>
      </c>
      <c r="HZ12" s="23">
        <f t="shared" si="22"/>
        <v>7</v>
      </c>
      <c r="IA12" s="27" t="s">
        <v>22</v>
      </c>
      <c r="IB12" s="10" t="s">
        <v>213</v>
      </c>
      <c r="IC12" s="63" t="str">
        <f t="shared" si="12"/>
        <v>RO_Data[1].STEP_DESC[</v>
      </c>
      <c r="ID12" s="23">
        <f t="shared" si="23"/>
        <v>7</v>
      </c>
      <c r="IE12" s="27" t="s">
        <v>22</v>
      </c>
    </row>
    <row r="13" spans="1:239" s="70" customFormat="1" x14ac:dyDescent="0.25">
      <c r="A13" s="61">
        <v>8</v>
      </c>
      <c r="B13" s="61" t="str">
        <f t="shared" si="0"/>
        <v>BUILD SOLIDS</v>
      </c>
      <c r="C13" s="62"/>
      <c r="D13" s="6" t="str">
        <f t="shared" si="1"/>
        <v>RO_Data[1].ACK_DESC[</v>
      </c>
      <c r="E13" s="64">
        <f t="shared" si="13"/>
        <v>8</v>
      </c>
      <c r="F13" s="65" t="s">
        <v>22</v>
      </c>
      <c r="G13" s="162">
        <v>0</v>
      </c>
      <c r="H13" s="6" t="str">
        <f t="shared" si="2"/>
        <v>RO_Data[1].MIN[</v>
      </c>
      <c r="I13" s="64">
        <f t="shared" si="14"/>
        <v>8</v>
      </c>
      <c r="J13" s="65" t="s">
        <v>22</v>
      </c>
      <c r="K13" s="162">
        <v>1</v>
      </c>
      <c r="L13" s="6" t="str">
        <f t="shared" si="3"/>
        <v>RO_Data[1].SEC[</v>
      </c>
      <c r="M13" s="64">
        <f t="shared" si="15"/>
        <v>8</v>
      </c>
      <c r="N13" s="65" t="s">
        <v>22</v>
      </c>
      <c r="O13" s="166">
        <v>0</v>
      </c>
      <c r="P13" s="6" t="str">
        <f t="shared" si="4"/>
        <v>RO_Data[1].SETPOINT[</v>
      </c>
      <c r="Q13" s="64">
        <f t="shared" si="16"/>
        <v>8</v>
      </c>
      <c r="R13" s="65" t="s">
        <v>22</v>
      </c>
      <c r="S13" s="66" t="str">
        <f t="shared" si="5"/>
        <v>P</v>
      </c>
      <c r="T13" s="67"/>
      <c r="U13" s="58"/>
      <c r="V13" s="58"/>
      <c r="W13" s="58"/>
      <c r="X13" s="58"/>
      <c r="Y13" s="58"/>
      <c r="Z13" s="58"/>
      <c r="AA13" s="58"/>
      <c r="AB13" s="58"/>
      <c r="AC13" s="58"/>
      <c r="AD13" s="58"/>
      <c r="AE13" s="58"/>
      <c r="AF13" s="58"/>
      <c r="AG13" s="58"/>
      <c r="AH13" s="58"/>
      <c r="AI13" s="58"/>
      <c r="AJ13" s="58">
        <v>1</v>
      </c>
      <c r="AK13" s="58"/>
      <c r="AL13" s="58"/>
      <c r="AM13" s="58"/>
      <c r="AN13" s="58"/>
      <c r="AO13" s="58"/>
      <c r="AP13" s="58">
        <v>1</v>
      </c>
      <c r="AQ13" s="58"/>
      <c r="AR13" s="58"/>
      <c r="AS13" s="58"/>
      <c r="AT13" s="58"/>
      <c r="AU13" s="58"/>
      <c r="AV13" s="58"/>
      <c r="AW13" s="58"/>
      <c r="AX13" s="58"/>
      <c r="AY13" s="68"/>
      <c r="AZ13" s="61">
        <f t="array" ref="AZ13">Bin2DecRange($T13:$AY13)</f>
        <v>33280</v>
      </c>
      <c r="BA13" s="63" t="str">
        <f t="shared" si="6"/>
        <v>RO_Data[1].COND1[</v>
      </c>
      <c r="BB13" s="64">
        <f t="shared" si="17"/>
        <v>8</v>
      </c>
      <c r="BC13" s="65" t="s">
        <v>22</v>
      </c>
      <c r="BD13" s="67"/>
      <c r="BE13" s="58"/>
      <c r="BF13" s="58"/>
      <c r="BG13" s="58"/>
      <c r="BH13" s="58">
        <v>1</v>
      </c>
      <c r="BI13" s="58">
        <v>1</v>
      </c>
      <c r="BJ13" s="58"/>
      <c r="BK13" s="58"/>
      <c r="BL13" s="58"/>
      <c r="BM13" s="58"/>
      <c r="BN13" s="58"/>
      <c r="BO13" s="58"/>
      <c r="BP13" s="58"/>
      <c r="BQ13" s="58"/>
      <c r="BR13" s="58"/>
      <c r="BS13" s="58"/>
      <c r="BT13" s="58"/>
      <c r="BU13" s="58"/>
      <c r="BV13" s="58"/>
      <c r="BW13" s="58"/>
      <c r="BX13" s="58"/>
      <c r="BY13" s="58"/>
      <c r="BZ13" s="58"/>
      <c r="CA13" s="58"/>
      <c r="CB13" s="58"/>
      <c r="CC13" s="58"/>
      <c r="CD13" s="58"/>
      <c r="CE13" s="58"/>
      <c r="CF13" s="58"/>
      <c r="CG13" s="58"/>
      <c r="CH13" s="58"/>
      <c r="CI13" s="68"/>
      <c r="CJ13" s="61" cm="1">
        <f t="array" ref="CJ13">Bin2DecRange($BD13:$CI13)</f>
        <v>201326592</v>
      </c>
      <c r="CK13" s="63" t="str">
        <f t="shared" si="7"/>
        <v>RO_Data[1].COND2[</v>
      </c>
      <c r="CL13" s="64">
        <f t="shared" si="18"/>
        <v>8</v>
      </c>
      <c r="CM13" s="65" t="s">
        <v>22</v>
      </c>
      <c r="CN13" s="67"/>
      <c r="CO13" s="58"/>
      <c r="CP13" s="58"/>
      <c r="CQ13" s="58"/>
      <c r="CR13" s="58"/>
      <c r="CS13" s="58"/>
      <c r="CT13" s="58">
        <v>1</v>
      </c>
      <c r="CU13" s="58"/>
      <c r="CV13" s="58"/>
      <c r="CW13" s="58"/>
      <c r="CX13" s="58"/>
      <c r="CY13" s="58"/>
      <c r="CZ13" s="58"/>
      <c r="DA13" s="58"/>
      <c r="DB13" s="58"/>
      <c r="DC13" s="58"/>
      <c r="DD13" s="58"/>
      <c r="DE13" s="58"/>
      <c r="DF13" s="58"/>
      <c r="DG13" s="58"/>
      <c r="DH13" s="58"/>
      <c r="DI13" s="58"/>
      <c r="DJ13" s="58"/>
      <c r="DK13" s="58"/>
      <c r="DL13" s="58"/>
      <c r="DM13" s="58"/>
      <c r="DN13" s="58"/>
      <c r="DO13" s="58"/>
      <c r="DP13" s="58"/>
      <c r="DQ13" s="58"/>
      <c r="DR13" s="58"/>
      <c r="DS13" s="68"/>
      <c r="DT13" s="61" cm="1">
        <f t="array" ref="DT13">Bin2DecRange($CN13:$DS13)</f>
        <v>33554432</v>
      </c>
      <c r="DU13" s="63" t="str">
        <f t="shared" si="8"/>
        <v>RO_Data[1].COND3[</v>
      </c>
      <c r="DV13" s="64">
        <f t="shared" si="19"/>
        <v>8</v>
      </c>
      <c r="DW13" s="65" t="s">
        <v>22</v>
      </c>
      <c r="DX13" s="69"/>
      <c r="DY13" s="58"/>
      <c r="DZ13" s="58"/>
      <c r="EA13" s="58">
        <v>1</v>
      </c>
      <c r="EB13" s="58"/>
      <c r="EC13" s="58"/>
      <c r="ED13" s="58"/>
      <c r="EE13" s="58"/>
      <c r="EF13" s="58"/>
      <c r="EG13" s="58"/>
      <c r="EH13" s="58"/>
      <c r="EI13" s="58"/>
      <c r="EJ13" s="58"/>
      <c r="EK13" s="58"/>
      <c r="EL13" s="58"/>
      <c r="EM13" s="58"/>
      <c r="EN13" s="58"/>
      <c r="EO13" s="58"/>
      <c r="EP13" s="58">
        <v>1</v>
      </c>
      <c r="EQ13" s="58"/>
      <c r="ER13" s="58"/>
      <c r="ES13" s="58"/>
      <c r="ET13" s="58"/>
      <c r="EU13" s="58"/>
      <c r="EV13" s="58"/>
      <c r="EW13" s="58"/>
      <c r="EX13" s="58"/>
      <c r="EY13" s="58"/>
      <c r="EZ13" s="58"/>
      <c r="FA13" s="58"/>
      <c r="FB13" s="58"/>
      <c r="FC13" s="68"/>
      <c r="FD13" s="61">
        <f t="array" ref="FD13">Bin2DecRange($DX13:$FC13)</f>
        <v>268443648</v>
      </c>
      <c r="FE13" s="63" t="str">
        <f t="shared" si="9"/>
        <v>RO_Data[1].ACT1[</v>
      </c>
      <c r="FF13" s="64">
        <f t="shared" si="20"/>
        <v>8</v>
      </c>
      <c r="FG13" s="65" t="s">
        <v>22</v>
      </c>
      <c r="FH13" s="69"/>
      <c r="FI13" s="58"/>
      <c r="FJ13" s="58"/>
      <c r="FK13" s="58"/>
      <c r="FL13" s="58"/>
      <c r="FM13" s="58"/>
      <c r="FN13" s="58"/>
      <c r="FO13" s="58"/>
      <c r="FP13" s="58"/>
      <c r="FQ13" s="58"/>
      <c r="FR13" s="58"/>
      <c r="FS13" s="58"/>
      <c r="FT13" s="58"/>
      <c r="FU13" s="58"/>
      <c r="FV13" s="58"/>
      <c r="FW13" s="58"/>
      <c r="FX13" s="58"/>
      <c r="FY13" s="58"/>
      <c r="FZ13" s="58"/>
      <c r="GA13" s="58"/>
      <c r="GB13" s="58"/>
      <c r="GC13" s="58"/>
      <c r="GD13" s="58"/>
      <c r="GE13" s="58">
        <v>1</v>
      </c>
      <c r="GF13" s="58">
        <v>1</v>
      </c>
      <c r="GG13" s="58">
        <v>1</v>
      </c>
      <c r="GH13" s="58">
        <v>1</v>
      </c>
      <c r="GI13" s="58">
        <v>1</v>
      </c>
      <c r="GJ13" s="58">
        <v>1</v>
      </c>
      <c r="GK13" s="58">
        <v>1</v>
      </c>
      <c r="GL13" s="58">
        <v>1</v>
      </c>
      <c r="GM13" s="68">
        <v>1</v>
      </c>
      <c r="GN13" s="61" cm="1">
        <f t="array" ref="GN13">Bin2DecRange($FH13:$GM13)</f>
        <v>511</v>
      </c>
      <c r="GO13" s="63" t="str">
        <f t="shared" si="10"/>
        <v>RO_Data[1].ACT5[</v>
      </c>
      <c r="GP13" s="64">
        <f t="shared" si="21"/>
        <v>8</v>
      </c>
      <c r="GQ13" s="65" t="s">
        <v>22</v>
      </c>
      <c r="GR13" s="69"/>
      <c r="GS13" s="58"/>
      <c r="GT13" s="58"/>
      <c r="GU13" s="58"/>
      <c r="GV13" s="58"/>
      <c r="GW13" s="58"/>
      <c r="GX13" s="58"/>
      <c r="GY13" s="58"/>
      <c r="GZ13" s="58"/>
      <c r="HA13" s="58"/>
      <c r="HB13" s="58"/>
      <c r="HC13" s="58"/>
      <c r="HD13" s="58"/>
      <c r="HE13" s="58"/>
      <c r="HF13" s="58"/>
      <c r="HG13" s="58"/>
      <c r="HH13" s="58"/>
      <c r="HI13" s="58"/>
      <c r="HJ13" s="58"/>
      <c r="HK13" s="58"/>
      <c r="HL13" s="58"/>
      <c r="HM13" s="58"/>
      <c r="HN13" s="58"/>
      <c r="HO13" s="58"/>
      <c r="HP13" s="58"/>
      <c r="HQ13" s="58"/>
      <c r="HR13" s="58"/>
      <c r="HS13" s="58"/>
      <c r="HT13" s="58"/>
      <c r="HU13" s="58"/>
      <c r="HV13" s="58"/>
      <c r="HW13" s="68"/>
      <c r="HX13" s="61" cm="1">
        <f t="array" ref="HX13">Bin2DecRange($GR13:$HW13)</f>
        <v>0</v>
      </c>
      <c r="HY13" s="63" t="str">
        <f t="shared" si="11"/>
        <v>RO_Data[1].ACT6[</v>
      </c>
      <c r="HZ13" s="64">
        <f t="shared" si="22"/>
        <v>8</v>
      </c>
      <c r="IA13" s="65" t="s">
        <v>22</v>
      </c>
      <c r="IB13" s="62" t="s">
        <v>214</v>
      </c>
      <c r="IC13" s="63" t="str">
        <f t="shared" si="12"/>
        <v>RO_Data[1].STEP_DESC[</v>
      </c>
      <c r="ID13" s="64">
        <f t="shared" si="23"/>
        <v>8</v>
      </c>
      <c r="IE13" s="65" t="s">
        <v>22</v>
      </c>
    </row>
    <row r="14" spans="1:239" s="112" customFormat="1" x14ac:dyDescent="0.25">
      <c r="A14" s="104">
        <v>9</v>
      </c>
      <c r="B14" s="104" t="str">
        <f t="shared" si="0"/>
        <v>PROCESSING</v>
      </c>
      <c r="C14" s="105" t="s">
        <v>108</v>
      </c>
      <c r="D14" s="6" t="str">
        <f t="shared" si="1"/>
        <v>RO_Data[1].ACK_DESC[</v>
      </c>
      <c r="E14" s="106">
        <f t="shared" si="13"/>
        <v>9</v>
      </c>
      <c r="F14" s="107" t="s">
        <v>22</v>
      </c>
      <c r="G14" s="163">
        <v>0</v>
      </c>
      <c r="H14" s="6" t="str">
        <f t="shared" si="2"/>
        <v>RO_Data[1].MIN[</v>
      </c>
      <c r="I14" s="106">
        <f t="shared" si="14"/>
        <v>9</v>
      </c>
      <c r="J14" s="107" t="s">
        <v>22</v>
      </c>
      <c r="K14" s="163">
        <v>1</v>
      </c>
      <c r="L14" s="6" t="str">
        <f t="shared" si="3"/>
        <v>RO_Data[1].SEC[</v>
      </c>
      <c r="M14" s="106">
        <f t="shared" si="15"/>
        <v>9</v>
      </c>
      <c r="N14" s="107" t="s">
        <v>22</v>
      </c>
      <c r="O14" s="229">
        <v>0</v>
      </c>
      <c r="P14" s="6" t="str">
        <f t="shared" si="4"/>
        <v>RO_Data[1].SETPOINT[</v>
      </c>
      <c r="Q14" s="106">
        <f t="shared" si="16"/>
        <v>9</v>
      </c>
      <c r="R14" s="107" t="s">
        <v>22</v>
      </c>
      <c r="S14" s="66" t="str">
        <f t="shared" si="5"/>
        <v>P</v>
      </c>
      <c r="T14" s="108"/>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v>1</v>
      </c>
      <c r="AQ14" s="109">
        <v>1</v>
      </c>
      <c r="AR14" s="109"/>
      <c r="AS14" s="109"/>
      <c r="AT14" s="109"/>
      <c r="AU14" s="109"/>
      <c r="AV14" s="109"/>
      <c r="AW14" s="109"/>
      <c r="AX14" s="109"/>
      <c r="AY14" s="110"/>
      <c r="AZ14" s="104">
        <f t="array" ref="AZ14">Bin2DecRange($T14:$AY14)</f>
        <v>768</v>
      </c>
      <c r="BA14" s="63" t="str">
        <f t="shared" si="6"/>
        <v>RO_Data[1].COND1[</v>
      </c>
      <c r="BB14" s="106">
        <f t="shared" si="17"/>
        <v>9</v>
      </c>
      <c r="BC14" s="107" t="s">
        <v>22</v>
      </c>
      <c r="BD14" s="108"/>
      <c r="BE14" s="109"/>
      <c r="BF14" s="109"/>
      <c r="BG14" s="109"/>
      <c r="BH14" s="109"/>
      <c r="BI14" s="109">
        <v>1</v>
      </c>
      <c r="BJ14" s="109"/>
      <c r="BK14" s="109">
        <v>1</v>
      </c>
      <c r="BL14" s="109"/>
      <c r="BM14" s="109"/>
      <c r="BN14" s="109"/>
      <c r="BO14" s="109"/>
      <c r="BP14" s="109"/>
      <c r="BQ14" s="109"/>
      <c r="BR14" s="109"/>
      <c r="BS14" s="109"/>
      <c r="BT14" s="109"/>
      <c r="BU14" s="109"/>
      <c r="BV14" s="109"/>
      <c r="BW14" s="109"/>
      <c r="BX14" s="109"/>
      <c r="BY14" s="109"/>
      <c r="BZ14" s="109"/>
      <c r="CA14" s="109"/>
      <c r="CB14" s="109"/>
      <c r="CC14" s="109"/>
      <c r="CD14" s="109"/>
      <c r="CE14" s="109"/>
      <c r="CF14" s="109"/>
      <c r="CG14" s="109"/>
      <c r="CH14" s="109"/>
      <c r="CI14" s="110"/>
      <c r="CJ14" s="104" cm="1">
        <f t="array" ref="CJ14">Bin2DecRange($BD14:$CI14)</f>
        <v>83886080</v>
      </c>
      <c r="CK14" s="63" t="str">
        <f t="shared" si="7"/>
        <v>RO_Data[1].COND2[</v>
      </c>
      <c r="CL14" s="106">
        <f t="shared" si="18"/>
        <v>9</v>
      </c>
      <c r="CM14" s="107" t="s">
        <v>22</v>
      </c>
      <c r="CN14" s="108"/>
      <c r="CO14" s="109"/>
      <c r="CP14" s="109"/>
      <c r="CQ14" s="109"/>
      <c r="CR14" s="109"/>
      <c r="CS14" s="109"/>
      <c r="CT14" s="109"/>
      <c r="CU14" s="109"/>
      <c r="CV14" s="109"/>
      <c r="CW14" s="109"/>
      <c r="CX14" s="109"/>
      <c r="CY14" s="109"/>
      <c r="CZ14" s="109"/>
      <c r="DA14" s="109"/>
      <c r="DB14" s="109"/>
      <c r="DC14" s="109"/>
      <c r="DD14" s="109"/>
      <c r="DE14" s="109"/>
      <c r="DF14" s="109"/>
      <c r="DG14" s="109"/>
      <c r="DH14" s="109"/>
      <c r="DI14" s="109"/>
      <c r="DJ14" s="109"/>
      <c r="DK14" s="109"/>
      <c r="DL14" s="109"/>
      <c r="DM14" s="109"/>
      <c r="DN14" s="109"/>
      <c r="DO14" s="109"/>
      <c r="DP14" s="109"/>
      <c r="DQ14" s="109"/>
      <c r="DR14" s="109"/>
      <c r="DS14" s="110"/>
      <c r="DT14" s="104" cm="1">
        <f t="array" ref="DT14">Bin2DecRange($CN14:$DS14)</f>
        <v>0</v>
      </c>
      <c r="DU14" s="63" t="str">
        <f t="shared" si="8"/>
        <v>RO_Data[1].COND3[</v>
      </c>
      <c r="DV14" s="106">
        <f t="shared" si="19"/>
        <v>9</v>
      </c>
      <c r="DW14" s="107" t="s">
        <v>22</v>
      </c>
      <c r="DX14" s="111"/>
      <c r="DY14" s="109"/>
      <c r="DZ14" s="109"/>
      <c r="EA14" s="109">
        <v>1</v>
      </c>
      <c r="EB14" s="109"/>
      <c r="EC14" s="109"/>
      <c r="ED14" s="109"/>
      <c r="EE14" s="109"/>
      <c r="EF14" s="109"/>
      <c r="EG14" s="109"/>
      <c r="EH14" s="109"/>
      <c r="EI14" s="109"/>
      <c r="EJ14" s="109"/>
      <c r="EK14" s="109"/>
      <c r="EL14" s="109"/>
      <c r="EM14" s="109"/>
      <c r="EN14" s="109"/>
      <c r="EO14" s="109">
        <v>1</v>
      </c>
      <c r="EP14" s="109">
        <v>1</v>
      </c>
      <c r="EQ14" s="109"/>
      <c r="ER14" s="109"/>
      <c r="ES14" s="109"/>
      <c r="ET14" s="109"/>
      <c r="EU14" s="109"/>
      <c r="EV14" s="109"/>
      <c r="EW14" s="109"/>
      <c r="EX14" s="109"/>
      <c r="EY14" s="109"/>
      <c r="EZ14" s="109"/>
      <c r="FA14" s="109"/>
      <c r="FB14" s="109"/>
      <c r="FC14" s="110"/>
      <c r="FD14" s="104">
        <f t="array" ref="FD14">Bin2DecRange($DX14:$FC14)</f>
        <v>268460032</v>
      </c>
      <c r="FE14" s="63" t="str">
        <f t="shared" si="9"/>
        <v>RO_Data[1].ACT1[</v>
      </c>
      <c r="FF14" s="106">
        <f t="shared" si="20"/>
        <v>9</v>
      </c>
      <c r="FG14" s="107" t="s">
        <v>22</v>
      </c>
      <c r="FH14" s="111"/>
      <c r="FI14" s="109"/>
      <c r="FJ14" s="109"/>
      <c r="FK14" s="109"/>
      <c r="FL14" s="109"/>
      <c r="FM14" s="109"/>
      <c r="FN14" s="109"/>
      <c r="FO14" s="109"/>
      <c r="FP14" s="109"/>
      <c r="FQ14" s="109"/>
      <c r="FR14" s="109"/>
      <c r="FS14" s="109"/>
      <c r="FT14" s="109"/>
      <c r="FU14" s="109"/>
      <c r="FV14" s="109"/>
      <c r="FW14" s="109"/>
      <c r="FX14" s="109"/>
      <c r="FY14" s="109"/>
      <c r="FZ14" s="109"/>
      <c r="GA14" s="109"/>
      <c r="GB14" s="109"/>
      <c r="GC14" s="109"/>
      <c r="GD14" s="109"/>
      <c r="GE14" s="109">
        <v>1</v>
      </c>
      <c r="GF14" s="109">
        <v>1</v>
      </c>
      <c r="GG14" s="109">
        <v>1</v>
      </c>
      <c r="GH14" s="109">
        <v>1</v>
      </c>
      <c r="GI14" s="109">
        <v>1</v>
      </c>
      <c r="GJ14" s="109">
        <v>1</v>
      </c>
      <c r="GK14" s="109">
        <v>1</v>
      </c>
      <c r="GL14" s="109">
        <v>1</v>
      </c>
      <c r="GM14" s="110">
        <v>1</v>
      </c>
      <c r="GN14" s="104" cm="1">
        <f t="array" ref="GN14">Bin2DecRange($FH14:$GM14)</f>
        <v>511</v>
      </c>
      <c r="GO14" s="63" t="str">
        <f t="shared" si="10"/>
        <v>RO_Data[1].ACT5[</v>
      </c>
      <c r="GP14" s="106">
        <f t="shared" si="21"/>
        <v>9</v>
      </c>
      <c r="GQ14" s="107" t="s">
        <v>22</v>
      </c>
      <c r="GR14" s="111"/>
      <c r="GS14" s="109"/>
      <c r="GT14" s="109"/>
      <c r="GU14" s="109"/>
      <c r="GV14" s="109"/>
      <c r="GW14" s="109"/>
      <c r="GX14" s="109"/>
      <c r="GY14" s="109"/>
      <c r="GZ14" s="109"/>
      <c r="HA14" s="109"/>
      <c r="HB14" s="109"/>
      <c r="HC14" s="109"/>
      <c r="HD14" s="109"/>
      <c r="HE14" s="109"/>
      <c r="HF14" s="109"/>
      <c r="HG14" s="109"/>
      <c r="HH14" s="109"/>
      <c r="HI14" s="109"/>
      <c r="HJ14" s="109"/>
      <c r="HK14" s="109"/>
      <c r="HL14" s="109"/>
      <c r="HM14" s="109"/>
      <c r="HN14" s="109"/>
      <c r="HO14" s="109"/>
      <c r="HP14" s="109"/>
      <c r="HQ14" s="109"/>
      <c r="HR14" s="109"/>
      <c r="HS14" s="109"/>
      <c r="HT14" s="109"/>
      <c r="HU14" s="109"/>
      <c r="HV14" s="109"/>
      <c r="HW14" s="110"/>
      <c r="HX14" s="104" cm="1">
        <f t="array" ref="HX14">Bin2DecRange($GR14:$HW14)</f>
        <v>0</v>
      </c>
      <c r="HY14" s="63" t="str">
        <f t="shared" si="11"/>
        <v>RO_Data[1].ACT6[</v>
      </c>
      <c r="HZ14" s="106">
        <f t="shared" si="22"/>
        <v>9</v>
      </c>
      <c r="IA14" s="107" t="s">
        <v>22</v>
      </c>
      <c r="IB14" s="105" t="s">
        <v>215</v>
      </c>
      <c r="IC14" s="63" t="str">
        <f t="shared" si="12"/>
        <v>RO_Data[1].STEP_DESC[</v>
      </c>
      <c r="ID14" s="106">
        <f t="shared" si="23"/>
        <v>9</v>
      </c>
      <c r="IE14" s="107" t="s">
        <v>22</v>
      </c>
    </row>
    <row r="15" spans="1:239" s="70" customFormat="1" x14ac:dyDescent="0.25">
      <c r="A15" s="61">
        <v>10</v>
      </c>
      <c r="B15" s="61" t="str">
        <f t="shared" si="0"/>
        <v>PUMPING FEED TANK TO LOW LEVEL</v>
      </c>
      <c r="C15" s="62"/>
      <c r="D15" s="6" t="str">
        <f t="shared" si="1"/>
        <v>RO_Data[1].ACK_DESC[</v>
      </c>
      <c r="E15" s="64">
        <f t="shared" si="13"/>
        <v>10</v>
      </c>
      <c r="F15" s="65" t="s">
        <v>22</v>
      </c>
      <c r="G15" s="162">
        <v>0</v>
      </c>
      <c r="H15" s="6" t="str">
        <f t="shared" si="2"/>
        <v>RO_Data[1].MIN[</v>
      </c>
      <c r="I15" s="64">
        <f t="shared" si="14"/>
        <v>10</v>
      </c>
      <c r="J15" s="65" t="s">
        <v>22</v>
      </c>
      <c r="K15" s="162">
        <v>1</v>
      </c>
      <c r="L15" s="6" t="str">
        <f t="shared" si="3"/>
        <v>RO_Data[1].SEC[</v>
      </c>
      <c r="M15" s="64">
        <f t="shared" si="15"/>
        <v>10</v>
      </c>
      <c r="N15" s="65" t="s">
        <v>22</v>
      </c>
      <c r="O15" s="166">
        <v>0</v>
      </c>
      <c r="P15" s="6" t="str">
        <f t="shared" si="4"/>
        <v>RO_Data[1].SETPOINT[</v>
      </c>
      <c r="Q15" s="64">
        <f t="shared" si="16"/>
        <v>10</v>
      </c>
      <c r="R15" s="65" t="s">
        <v>22</v>
      </c>
      <c r="S15" s="66" t="str">
        <f t="shared" si="5"/>
        <v>P</v>
      </c>
      <c r="T15" s="67"/>
      <c r="U15" s="58"/>
      <c r="V15" s="58"/>
      <c r="W15" s="58"/>
      <c r="X15" s="58"/>
      <c r="Y15" s="58"/>
      <c r="Z15" s="58"/>
      <c r="AA15" s="58"/>
      <c r="AB15" s="58"/>
      <c r="AC15" s="58"/>
      <c r="AD15" s="58"/>
      <c r="AE15" s="58"/>
      <c r="AF15" s="58"/>
      <c r="AG15" s="58">
        <v>1</v>
      </c>
      <c r="AH15" s="58"/>
      <c r="AI15" s="58"/>
      <c r="AJ15" s="58"/>
      <c r="AK15" s="58"/>
      <c r="AL15" s="58"/>
      <c r="AM15" s="58"/>
      <c r="AN15" s="58"/>
      <c r="AO15" s="58"/>
      <c r="AP15" s="58">
        <v>1</v>
      </c>
      <c r="AQ15" s="58"/>
      <c r="AR15" s="58"/>
      <c r="AS15" s="58"/>
      <c r="AT15" s="58"/>
      <c r="AU15" s="58"/>
      <c r="AV15" s="58"/>
      <c r="AW15" s="58"/>
      <c r="AX15" s="58"/>
      <c r="AY15" s="68"/>
      <c r="AZ15" s="61">
        <f t="array" ref="AZ15">Bin2DecRange($T15:$AY15)</f>
        <v>262656</v>
      </c>
      <c r="BA15" s="63" t="str">
        <f t="shared" si="6"/>
        <v>RO_Data[1].COND1[</v>
      </c>
      <c r="BB15" s="64">
        <f t="shared" si="17"/>
        <v>10</v>
      </c>
      <c r="BC15" s="65" t="s">
        <v>22</v>
      </c>
      <c r="BD15" s="67"/>
      <c r="BE15" s="58"/>
      <c r="BF15" s="58"/>
      <c r="BG15" s="58"/>
      <c r="BH15" s="58"/>
      <c r="BI15" s="58"/>
      <c r="BJ15" s="58"/>
      <c r="BK15" s="58"/>
      <c r="BL15" s="58"/>
      <c r="BM15" s="58">
        <v>1</v>
      </c>
      <c r="BN15" s="58"/>
      <c r="BO15" s="58"/>
      <c r="BP15" s="58"/>
      <c r="BQ15" s="58"/>
      <c r="BR15" s="58"/>
      <c r="BS15" s="58"/>
      <c r="BT15" s="58"/>
      <c r="BU15" s="58"/>
      <c r="BV15" s="58"/>
      <c r="BW15" s="58"/>
      <c r="BX15" s="58"/>
      <c r="BY15" s="58"/>
      <c r="BZ15" s="58"/>
      <c r="CA15" s="58"/>
      <c r="CB15" s="58"/>
      <c r="CC15" s="58"/>
      <c r="CD15" s="58"/>
      <c r="CE15" s="58"/>
      <c r="CF15" s="58"/>
      <c r="CG15" s="58"/>
      <c r="CH15" s="58"/>
      <c r="CI15" s="68"/>
      <c r="CJ15" s="61" cm="1">
        <f t="array" ref="CJ15">Bin2DecRange($BD15:$CI15)</f>
        <v>4194304</v>
      </c>
      <c r="CK15" s="63" t="str">
        <f t="shared" si="7"/>
        <v>RO_Data[1].COND2[</v>
      </c>
      <c r="CL15" s="64">
        <f t="shared" si="18"/>
        <v>10</v>
      </c>
      <c r="CM15" s="65" t="s">
        <v>22</v>
      </c>
      <c r="CN15" s="67"/>
      <c r="CO15" s="58"/>
      <c r="CP15" s="58"/>
      <c r="CQ15" s="58"/>
      <c r="CR15" s="58"/>
      <c r="CS15" s="58"/>
      <c r="CT15" s="58"/>
      <c r="CU15" s="58"/>
      <c r="CV15" s="58"/>
      <c r="CW15" s="58"/>
      <c r="CX15" s="58"/>
      <c r="CY15" s="58"/>
      <c r="CZ15" s="58"/>
      <c r="DA15" s="58"/>
      <c r="DB15" s="58"/>
      <c r="DC15" s="58"/>
      <c r="DD15" s="58">
        <v>1</v>
      </c>
      <c r="DE15" s="58"/>
      <c r="DF15" s="58"/>
      <c r="DG15" s="58"/>
      <c r="DH15" s="58"/>
      <c r="DI15" s="58"/>
      <c r="DJ15" s="58"/>
      <c r="DK15" s="58"/>
      <c r="DL15" s="58"/>
      <c r="DM15" s="58"/>
      <c r="DN15" s="58"/>
      <c r="DO15" s="58"/>
      <c r="DP15" s="58"/>
      <c r="DQ15" s="58"/>
      <c r="DR15" s="58"/>
      <c r="DS15" s="68"/>
      <c r="DT15" s="61" cm="1">
        <f t="array" ref="DT15">Bin2DecRange($CN15:$DS15)</f>
        <v>32768</v>
      </c>
      <c r="DU15" s="63" t="str">
        <f t="shared" si="8"/>
        <v>RO_Data[1].COND3[</v>
      </c>
      <c r="DV15" s="64">
        <f t="shared" si="19"/>
        <v>10</v>
      </c>
      <c r="DW15" s="65" t="s">
        <v>22</v>
      </c>
      <c r="DX15" s="69"/>
      <c r="DY15" s="58"/>
      <c r="DZ15" s="58"/>
      <c r="EA15" s="58"/>
      <c r="EB15" s="58"/>
      <c r="EC15" s="58"/>
      <c r="ED15" s="58"/>
      <c r="EE15" s="58"/>
      <c r="EF15" s="58"/>
      <c r="EG15" s="58"/>
      <c r="EH15" s="58"/>
      <c r="EI15" s="58"/>
      <c r="EJ15" s="58"/>
      <c r="EK15" s="58"/>
      <c r="EL15" s="58"/>
      <c r="EM15" s="58"/>
      <c r="EN15" s="58"/>
      <c r="EO15" s="58">
        <v>1</v>
      </c>
      <c r="EP15" s="58">
        <v>1</v>
      </c>
      <c r="EQ15" s="58"/>
      <c r="ER15" s="58"/>
      <c r="ES15" s="58"/>
      <c r="ET15" s="58"/>
      <c r="EU15" s="58"/>
      <c r="EV15" s="58"/>
      <c r="EW15" s="58"/>
      <c r="EX15" s="58"/>
      <c r="EY15" s="58"/>
      <c r="EZ15" s="58"/>
      <c r="FA15" s="58"/>
      <c r="FB15" s="58"/>
      <c r="FC15" s="68"/>
      <c r="FD15" s="61">
        <f t="array" ref="FD15">Bin2DecRange($DX15:$FC15)</f>
        <v>24576</v>
      </c>
      <c r="FE15" s="63" t="str">
        <f t="shared" si="9"/>
        <v>RO_Data[1].ACT1[</v>
      </c>
      <c r="FF15" s="64">
        <f t="shared" si="20"/>
        <v>10</v>
      </c>
      <c r="FG15" s="65" t="s">
        <v>22</v>
      </c>
      <c r="FH15" s="69"/>
      <c r="FI15" s="58"/>
      <c r="FJ15" s="58"/>
      <c r="FK15" s="58"/>
      <c r="FL15" s="58"/>
      <c r="FM15" s="58"/>
      <c r="FN15" s="58"/>
      <c r="FO15" s="58"/>
      <c r="FP15" s="58"/>
      <c r="FQ15" s="58"/>
      <c r="FR15" s="58"/>
      <c r="FS15" s="58"/>
      <c r="FT15" s="58"/>
      <c r="FU15" s="58"/>
      <c r="FV15" s="58"/>
      <c r="FW15" s="58"/>
      <c r="FX15" s="58"/>
      <c r="FY15" s="58"/>
      <c r="FZ15" s="58"/>
      <c r="GA15" s="58"/>
      <c r="GB15" s="58"/>
      <c r="GC15" s="58"/>
      <c r="GD15" s="58"/>
      <c r="GE15" s="58">
        <v>1</v>
      </c>
      <c r="GF15" s="58">
        <v>1</v>
      </c>
      <c r="GG15" s="58">
        <v>1</v>
      </c>
      <c r="GH15" s="58">
        <v>1</v>
      </c>
      <c r="GI15" s="58">
        <v>1</v>
      </c>
      <c r="GJ15" s="58">
        <v>1</v>
      </c>
      <c r="GK15" s="58">
        <v>1</v>
      </c>
      <c r="GL15" s="58">
        <v>1</v>
      </c>
      <c r="GM15" s="68">
        <v>1</v>
      </c>
      <c r="GN15" s="61" cm="1">
        <f t="array" ref="GN15">Bin2DecRange($FH15:$GM15)</f>
        <v>511</v>
      </c>
      <c r="GO15" s="63" t="str">
        <f t="shared" si="10"/>
        <v>RO_Data[1].ACT5[</v>
      </c>
      <c r="GP15" s="64">
        <f t="shared" si="21"/>
        <v>10</v>
      </c>
      <c r="GQ15" s="65" t="s">
        <v>22</v>
      </c>
      <c r="GR15" s="69"/>
      <c r="GS15" s="58"/>
      <c r="GT15" s="58"/>
      <c r="GU15" s="58"/>
      <c r="GV15" s="58"/>
      <c r="GW15" s="58"/>
      <c r="GX15" s="58"/>
      <c r="GY15" s="58"/>
      <c r="GZ15" s="58"/>
      <c r="HA15" s="58"/>
      <c r="HB15" s="58"/>
      <c r="HC15" s="58"/>
      <c r="HD15" s="58"/>
      <c r="HE15" s="58"/>
      <c r="HF15" s="58"/>
      <c r="HG15" s="58"/>
      <c r="HH15" s="58"/>
      <c r="HI15" s="58"/>
      <c r="HJ15" s="58"/>
      <c r="HK15" s="58"/>
      <c r="HL15" s="58"/>
      <c r="HM15" s="58"/>
      <c r="HN15" s="58"/>
      <c r="HO15" s="58"/>
      <c r="HP15" s="58"/>
      <c r="HQ15" s="58"/>
      <c r="HR15" s="58"/>
      <c r="HS15" s="58"/>
      <c r="HT15" s="58"/>
      <c r="HU15" s="58"/>
      <c r="HV15" s="58"/>
      <c r="HW15" s="68"/>
      <c r="HX15" s="61" cm="1">
        <f t="array" ref="HX15">Bin2DecRange($GR15:$HW15)</f>
        <v>0</v>
      </c>
      <c r="HY15" s="63" t="str">
        <f t="shared" si="11"/>
        <v>RO_Data[1].ACT6[</v>
      </c>
      <c r="HZ15" s="64">
        <f t="shared" si="22"/>
        <v>10</v>
      </c>
      <c r="IA15" s="65" t="s">
        <v>22</v>
      </c>
      <c r="IB15" s="62" t="s">
        <v>216</v>
      </c>
      <c r="IC15" s="63" t="str">
        <f t="shared" si="12"/>
        <v>RO_Data[1].STEP_DESC[</v>
      </c>
      <c r="ID15" s="64">
        <f t="shared" si="23"/>
        <v>10</v>
      </c>
      <c r="IE15" s="65" t="s">
        <v>22</v>
      </c>
    </row>
    <row r="16" spans="1:239" x14ac:dyDescent="0.25">
      <c r="A16" s="8">
        <v>11</v>
      </c>
      <c r="B16" s="8" t="str">
        <f t="shared" si="0"/>
        <v>FLUSHING STAGES 1-5</v>
      </c>
      <c r="C16" s="10"/>
      <c r="D16" s="6" t="str">
        <f t="shared" si="1"/>
        <v>RO_Data[1].ACK_DESC[</v>
      </c>
      <c r="E16" s="23">
        <f t="shared" si="13"/>
        <v>11</v>
      </c>
      <c r="F16" s="27" t="s">
        <v>22</v>
      </c>
      <c r="G16" s="161">
        <v>0</v>
      </c>
      <c r="H16" s="6" t="str">
        <f t="shared" si="2"/>
        <v>RO_Data[1].MIN[</v>
      </c>
      <c r="I16" s="23">
        <f t="shared" si="14"/>
        <v>11</v>
      </c>
      <c r="J16" s="27" t="s">
        <v>22</v>
      </c>
      <c r="K16" s="161">
        <v>1</v>
      </c>
      <c r="L16" s="6" t="str">
        <f t="shared" si="3"/>
        <v>RO_Data[1].SEC[</v>
      </c>
      <c r="M16" s="23">
        <f t="shared" si="15"/>
        <v>11</v>
      </c>
      <c r="N16" s="27" t="s">
        <v>22</v>
      </c>
      <c r="O16" s="165">
        <v>0</v>
      </c>
      <c r="P16" s="6" t="str">
        <f t="shared" si="4"/>
        <v>RO_Data[1].SETPOINT[</v>
      </c>
      <c r="Q16" s="23">
        <f t="shared" si="16"/>
        <v>11</v>
      </c>
      <c r="R16" s="27" t="s">
        <v>22</v>
      </c>
      <c r="S16" s="9" t="str">
        <f t="shared" si="5"/>
        <v>P</v>
      </c>
      <c r="T16" s="18"/>
      <c r="U16" s="19"/>
      <c r="V16" s="19"/>
      <c r="W16" s="19"/>
      <c r="X16" s="19">
        <v>1</v>
      </c>
      <c r="Y16" s="58"/>
      <c r="Z16" s="58"/>
      <c r="AA16" s="58"/>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3" t="str">
        <f t="shared" si="6"/>
        <v>RO_Data[1].COND1[</v>
      </c>
      <c r="BB16" s="23">
        <f t="shared" si="17"/>
        <v>11</v>
      </c>
      <c r="BC16" s="27"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4194304</v>
      </c>
      <c r="CK16" s="63" t="str">
        <f t="shared" si="7"/>
        <v>RO_Data[1].COND2[</v>
      </c>
      <c r="CL16" s="23">
        <f t="shared" si="18"/>
        <v>11</v>
      </c>
      <c r="CM16" s="27"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v>1</v>
      </c>
      <c r="DT16" s="8" cm="1">
        <f t="array" ref="DT16">Bin2DecRange($CN16:$DS16)</f>
        <v>1</v>
      </c>
      <c r="DU16" s="63" t="str">
        <f t="shared" si="8"/>
        <v>RO_Data[1].COND3[</v>
      </c>
      <c r="DV16" s="23">
        <f t="shared" si="19"/>
        <v>11</v>
      </c>
      <c r="DW16" s="27" t="s">
        <v>22</v>
      </c>
      <c r="DX16" s="21"/>
      <c r="DY16" s="19"/>
      <c r="DZ16" s="19"/>
      <c r="EA16" s="19"/>
      <c r="EB16" s="19"/>
      <c r="EC16" s="19"/>
      <c r="ED16" s="19"/>
      <c r="EE16" s="19"/>
      <c r="EF16" s="19"/>
      <c r="EG16" s="19"/>
      <c r="EH16" s="19"/>
      <c r="EI16" s="19"/>
      <c r="EJ16" s="19"/>
      <c r="EK16" s="19"/>
      <c r="EL16" s="19"/>
      <c r="EM16" s="19"/>
      <c r="EN16" s="19"/>
      <c r="EO16" s="19">
        <v>1</v>
      </c>
      <c r="EP16" s="19">
        <v>1</v>
      </c>
      <c r="EQ16" s="19"/>
      <c r="ER16" s="19"/>
      <c r="ES16" s="19"/>
      <c r="ET16" s="19"/>
      <c r="EU16" s="19"/>
      <c r="EV16" s="19"/>
      <c r="EW16" s="19"/>
      <c r="EX16" s="19"/>
      <c r="EY16" s="19"/>
      <c r="EZ16" s="19"/>
      <c r="FA16" s="19"/>
      <c r="FB16" s="19"/>
      <c r="FC16" s="20"/>
      <c r="FD16" s="8">
        <f t="array" ref="FD16">Bin2DecRange($DX16:$FC16)</f>
        <v>24576</v>
      </c>
      <c r="FE16" s="63" t="str">
        <f t="shared" si="9"/>
        <v>RO_Data[1].ACT1[</v>
      </c>
      <c r="FF16" s="23">
        <f t="shared" si="20"/>
        <v>11</v>
      </c>
      <c r="FG16" s="27"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3" t="str">
        <f t="shared" si="10"/>
        <v>RO_Data[1].ACT5[</v>
      </c>
      <c r="GP16" s="23">
        <f t="shared" si="21"/>
        <v>11</v>
      </c>
      <c r="GQ16" s="27"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3" t="str">
        <f t="shared" si="11"/>
        <v>RO_Data[1].ACT6[</v>
      </c>
      <c r="HZ16" s="23">
        <f t="shared" si="22"/>
        <v>11</v>
      </c>
      <c r="IA16" s="27" t="s">
        <v>22</v>
      </c>
      <c r="IB16" s="10" t="s">
        <v>217</v>
      </c>
      <c r="IC16" s="63" t="str">
        <f t="shared" si="12"/>
        <v>RO_Data[1].STEP_DESC[</v>
      </c>
      <c r="ID16" s="23">
        <f t="shared" si="23"/>
        <v>11</v>
      </c>
      <c r="IE16" s="27" t="s">
        <v>22</v>
      </c>
    </row>
    <row r="17" spans="1:239" x14ac:dyDescent="0.25">
      <c r="A17" s="8">
        <v>12</v>
      </c>
      <c r="B17" s="8" t="str">
        <f t="shared" si="0"/>
        <v>FLUSHING STAGES 2-5</v>
      </c>
      <c r="C17" s="10"/>
      <c r="D17" s="6" t="str">
        <f t="shared" si="1"/>
        <v>RO_Data[1].ACK_DESC[</v>
      </c>
      <c r="E17" s="23">
        <f t="shared" si="13"/>
        <v>12</v>
      </c>
      <c r="F17" s="27" t="s">
        <v>22</v>
      </c>
      <c r="G17" s="161">
        <v>0</v>
      </c>
      <c r="H17" s="6" t="str">
        <f t="shared" si="2"/>
        <v>RO_Data[1].MIN[</v>
      </c>
      <c r="I17" s="23">
        <f t="shared" si="14"/>
        <v>12</v>
      </c>
      <c r="J17" s="27" t="s">
        <v>22</v>
      </c>
      <c r="K17" s="161">
        <v>1</v>
      </c>
      <c r="L17" s="6" t="str">
        <f t="shared" si="3"/>
        <v>RO_Data[1].SEC[</v>
      </c>
      <c r="M17" s="23">
        <f t="shared" si="15"/>
        <v>12</v>
      </c>
      <c r="N17" s="27" t="s">
        <v>22</v>
      </c>
      <c r="O17" s="165">
        <v>0</v>
      </c>
      <c r="P17" s="6" t="str">
        <f t="shared" si="4"/>
        <v>RO_Data[1].SETPOINT[</v>
      </c>
      <c r="Q17" s="23">
        <f t="shared" si="16"/>
        <v>12</v>
      </c>
      <c r="R17" s="27" t="s">
        <v>22</v>
      </c>
      <c r="S17" s="9" t="str">
        <f t="shared" si="5"/>
        <v>P</v>
      </c>
      <c r="T17" s="18"/>
      <c r="U17" s="19"/>
      <c r="V17" s="19"/>
      <c r="W17" s="19"/>
      <c r="X17" s="19">
        <v>1</v>
      </c>
      <c r="Y17" s="58"/>
      <c r="Z17" s="58"/>
      <c r="AA17" s="58"/>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3" t="str">
        <f t="shared" si="6"/>
        <v>RO_Data[1].COND1[</v>
      </c>
      <c r="BB17" s="23">
        <f t="shared" si="17"/>
        <v>12</v>
      </c>
      <c r="BC17" s="27" t="s">
        <v>22</v>
      </c>
      <c r="BD17" s="18"/>
      <c r="BE17" s="19"/>
      <c r="BF17" s="19"/>
      <c r="BG17" s="19"/>
      <c r="BH17" s="19"/>
      <c r="BI17" s="19"/>
      <c r="BJ17" s="19"/>
      <c r="BK17" s="19"/>
      <c r="BL17" s="19"/>
      <c r="BM17" s="19">
        <v>1</v>
      </c>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4194304</v>
      </c>
      <c r="CK17" s="63" t="str">
        <f t="shared" si="7"/>
        <v>RO_Data[1].COND2[</v>
      </c>
      <c r="CL17" s="23">
        <f t="shared" si="18"/>
        <v>12</v>
      </c>
      <c r="CM17" s="27"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v>1</v>
      </c>
      <c r="DS17" s="20"/>
      <c r="DT17" s="8" cm="1">
        <f t="array" ref="DT17">Bin2DecRange($CN17:$DS17)</f>
        <v>2</v>
      </c>
      <c r="DU17" s="63" t="str">
        <f t="shared" si="8"/>
        <v>RO_Data[1].COND3[</v>
      </c>
      <c r="DV17" s="23">
        <f t="shared" si="19"/>
        <v>12</v>
      </c>
      <c r="DW17" s="27" t="s">
        <v>22</v>
      </c>
      <c r="DX17" s="21"/>
      <c r="DY17" s="19"/>
      <c r="DZ17" s="19"/>
      <c r="EA17" s="19"/>
      <c r="EB17" s="19"/>
      <c r="EC17" s="19"/>
      <c r="ED17" s="19"/>
      <c r="EE17" s="19"/>
      <c r="EF17" s="19"/>
      <c r="EG17" s="19"/>
      <c r="EH17" s="19"/>
      <c r="EI17" s="19"/>
      <c r="EJ17" s="19"/>
      <c r="EK17" s="19"/>
      <c r="EL17" s="19"/>
      <c r="EM17" s="19"/>
      <c r="EN17" s="19"/>
      <c r="EO17" s="19">
        <v>1</v>
      </c>
      <c r="EP17" s="19">
        <v>1</v>
      </c>
      <c r="EQ17" s="19"/>
      <c r="ER17" s="19"/>
      <c r="ES17" s="19"/>
      <c r="ET17" s="19"/>
      <c r="EU17" s="19"/>
      <c r="EV17" s="19"/>
      <c r="EW17" s="19"/>
      <c r="EX17" s="19"/>
      <c r="EY17" s="19"/>
      <c r="EZ17" s="19"/>
      <c r="FA17" s="19"/>
      <c r="FB17" s="19"/>
      <c r="FC17" s="20"/>
      <c r="FD17" s="8">
        <f t="array" ref="FD17">Bin2DecRange($DX17:$FC17)</f>
        <v>24576</v>
      </c>
      <c r="FE17" s="63" t="str">
        <f t="shared" si="9"/>
        <v>RO_Data[1].ACT1[</v>
      </c>
      <c r="FF17" s="23">
        <f t="shared" si="20"/>
        <v>12</v>
      </c>
      <c r="FG17" s="27" t="s">
        <v>22</v>
      </c>
      <c r="FH17" s="21">
        <v>1</v>
      </c>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c r="GJ17" s="19">
        <v>1</v>
      </c>
      <c r="GK17" s="19">
        <v>1</v>
      </c>
      <c r="GL17" s="19">
        <v>1</v>
      </c>
      <c r="GM17" s="20">
        <v>1</v>
      </c>
      <c r="GN17" s="8" cm="1">
        <f t="array" ref="GN17">Bin2DecRange($FH17:$GM17)</f>
        <v>-2147483153</v>
      </c>
      <c r="GO17" s="63" t="str">
        <f t="shared" si="10"/>
        <v>RO_Data[1].ACT5[</v>
      </c>
      <c r="GP17" s="23">
        <f t="shared" si="21"/>
        <v>12</v>
      </c>
      <c r="GQ17" s="27"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3" t="str">
        <f t="shared" si="11"/>
        <v>RO_Data[1].ACT6[</v>
      </c>
      <c r="HZ17" s="23">
        <f t="shared" si="22"/>
        <v>12</v>
      </c>
      <c r="IA17" s="27" t="s">
        <v>22</v>
      </c>
      <c r="IB17" s="10" t="s">
        <v>218</v>
      </c>
      <c r="IC17" s="63" t="str">
        <f t="shared" si="12"/>
        <v>RO_Data[1].STEP_DESC[</v>
      </c>
      <c r="ID17" s="23">
        <f t="shared" si="23"/>
        <v>12</v>
      </c>
      <c r="IE17" s="27" t="s">
        <v>22</v>
      </c>
    </row>
    <row r="18" spans="1:239" x14ac:dyDescent="0.25">
      <c r="A18" s="8">
        <v>13</v>
      </c>
      <c r="B18" s="8" t="str">
        <f t="shared" si="0"/>
        <v>FLUSHING STAGES 3-5</v>
      </c>
      <c r="C18" s="10"/>
      <c r="D18" s="6" t="str">
        <f t="shared" si="1"/>
        <v>RO_Data[1].ACK_DESC[</v>
      </c>
      <c r="E18" s="23">
        <f t="shared" si="13"/>
        <v>13</v>
      </c>
      <c r="F18" s="27" t="s">
        <v>22</v>
      </c>
      <c r="G18" s="161">
        <v>0</v>
      </c>
      <c r="H18" s="6" t="str">
        <f t="shared" si="2"/>
        <v>RO_Data[1].MIN[</v>
      </c>
      <c r="I18" s="23">
        <f t="shared" si="14"/>
        <v>13</v>
      </c>
      <c r="J18" s="27" t="s">
        <v>22</v>
      </c>
      <c r="K18" s="161">
        <v>1</v>
      </c>
      <c r="L18" s="6" t="str">
        <f t="shared" si="3"/>
        <v>RO_Data[1].SEC[</v>
      </c>
      <c r="M18" s="23">
        <f t="shared" si="15"/>
        <v>13</v>
      </c>
      <c r="N18" s="27" t="s">
        <v>22</v>
      </c>
      <c r="O18" s="165">
        <v>0</v>
      </c>
      <c r="P18" s="6" t="str">
        <f t="shared" si="4"/>
        <v>RO_Data[1].SETPOINT[</v>
      </c>
      <c r="Q18" s="23">
        <f t="shared" si="16"/>
        <v>13</v>
      </c>
      <c r="R18" s="27" t="s">
        <v>22</v>
      </c>
      <c r="S18" s="9" t="str">
        <f t="shared" si="5"/>
        <v>P</v>
      </c>
      <c r="T18" s="18"/>
      <c r="U18" s="19"/>
      <c r="V18" s="19"/>
      <c r="W18" s="19"/>
      <c r="X18" s="19">
        <v>1</v>
      </c>
      <c r="Y18" s="58"/>
      <c r="Z18" s="58"/>
      <c r="AA18" s="58"/>
      <c r="AB18" s="19"/>
      <c r="AC18" s="19"/>
      <c r="AD18" s="19"/>
      <c r="AE18" s="19"/>
      <c r="AF18" s="19"/>
      <c r="AG18" s="19"/>
      <c r="AH18" s="19"/>
      <c r="AI18" s="19"/>
      <c r="AJ18" s="19"/>
      <c r="AK18" s="19"/>
      <c r="AL18" s="19">
        <v>1</v>
      </c>
      <c r="AM18" s="19"/>
      <c r="AN18" s="19"/>
      <c r="AO18" s="19"/>
      <c r="AP18" s="19">
        <v>1</v>
      </c>
      <c r="AQ18" s="19"/>
      <c r="AR18" s="19"/>
      <c r="AS18" s="19"/>
      <c r="AT18" s="19"/>
      <c r="AU18" s="19"/>
      <c r="AV18" s="19"/>
      <c r="AW18" s="19"/>
      <c r="AX18" s="19"/>
      <c r="AY18" s="20"/>
      <c r="AZ18" s="8">
        <f t="array" ref="AZ18">Bin2DecRange($T18:$AY18)</f>
        <v>134226432</v>
      </c>
      <c r="BA18" s="63" t="str">
        <f t="shared" si="6"/>
        <v>RO_Data[1].COND1[</v>
      </c>
      <c r="BB18" s="23">
        <f t="shared" si="17"/>
        <v>13</v>
      </c>
      <c r="BC18" s="27"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3" t="str">
        <f t="shared" si="7"/>
        <v>RO_Data[1].COND2[</v>
      </c>
      <c r="CL18" s="23">
        <f t="shared" si="18"/>
        <v>13</v>
      </c>
      <c r="CM18" s="27"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v>1</v>
      </c>
      <c r="DR18" s="19"/>
      <c r="DS18" s="20"/>
      <c r="DT18" s="8" cm="1">
        <f t="array" ref="DT18">Bin2DecRange($CN18:$DS18)</f>
        <v>4</v>
      </c>
      <c r="DU18" s="63" t="str">
        <f t="shared" si="8"/>
        <v>RO_Data[1].COND3[</v>
      </c>
      <c r="DV18" s="23">
        <f t="shared" si="19"/>
        <v>13</v>
      </c>
      <c r="DW18" s="27" t="s">
        <v>22</v>
      </c>
      <c r="DX18" s="21"/>
      <c r="DY18" s="19"/>
      <c r="DZ18" s="19"/>
      <c r="EA18" s="19"/>
      <c r="EB18" s="19"/>
      <c r="EC18" s="19"/>
      <c r="ED18" s="19"/>
      <c r="EE18" s="19"/>
      <c r="EF18" s="19"/>
      <c r="EG18" s="19"/>
      <c r="EH18" s="19"/>
      <c r="EI18" s="19"/>
      <c r="EJ18" s="19"/>
      <c r="EK18" s="19"/>
      <c r="EL18" s="19"/>
      <c r="EM18" s="19"/>
      <c r="EN18" s="19"/>
      <c r="EO18" s="19">
        <v>1</v>
      </c>
      <c r="EP18" s="19">
        <v>1</v>
      </c>
      <c r="EQ18" s="19"/>
      <c r="ER18" s="19"/>
      <c r="ES18" s="19"/>
      <c r="ET18" s="19"/>
      <c r="EU18" s="19"/>
      <c r="EV18" s="19"/>
      <c r="EW18" s="19"/>
      <c r="EX18" s="19"/>
      <c r="EY18" s="19"/>
      <c r="EZ18" s="19"/>
      <c r="FA18" s="19"/>
      <c r="FB18" s="19"/>
      <c r="FC18" s="20"/>
      <c r="FD18" s="8">
        <f t="array" ref="FD18">Bin2DecRange($DX18:$FC18)</f>
        <v>24576</v>
      </c>
      <c r="FE18" s="63" t="str">
        <f t="shared" si="9"/>
        <v>RO_Data[1].ACT1[</v>
      </c>
      <c r="FF18" s="23">
        <f t="shared" si="20"/>
        <v>13</v>
      </c>
      <c r="FG18" s="27" t="s">
        <v>22</v>
      </c>
      <c r="FH18" s="21">
        <v>1</v>
      </c>
      <c r="FI18" s="19">
        <v>1</v>
      </c>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c r="GJ18" s="19"/>
      <c r="GK18" s="19">
        <v>1</v>
      </c>
      <c r="GL18" s="19">
        <v>1</v>
      </c>
      <c r="GM18" s="20">
        <v>1</v>
      </c>
      <c r="GN18" s="8" cm="1">
        <f t="array" ref="GN18">Bin2DecRange($FH18:$GM18)</f>
        <v>-1073741337</v>
      </c>
      <c r="GO18" s="63" t="str">
        <f t="shared" si="10"/>
        <v>RO_Data[1].ACT5[</v>
      </c>
      <c r="GP18" s="23">
        <f t="shared" si="21"/>
        <v>13</v>
      </c>
      <c r="GQ18" s="27"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3" t="str">
        <f t="shared" si="11"/>
        <v>RO_Data[1].ACT6[</v>
      </c>
      <c r="HZ18" s="23">
        <f t="shared" si="22"/>
        <v>13</v>
      </c>
      <c r="IA18" s="27" t="s">
        <v>22</v>
      </c>
      <c r="IB18" s="10" t="s">
        <v>219</v>
      </c>
      <c r="IC18" s="63" t="str">
        <f t="shared" si="12"/>
        <v>RO_Data[1].STEP_DESC[</v>
      </c>
      <c r="ID18" s="23">
        <f t="shared" si="23"/>
        <v>13</v>
      </c>
      <c r="IE18" s="27" t="s">
        <v>22</v>
      </c>
    </row>
    <row r="19" spans="1:239" x14ac:dyDescent="0.25">
      <c r="A19" s="8">
        <v>14</v>
      </c>
      <c r="B19" s="8" t="str">
        <f t="shared" si="0"/>
        <v>FLUSHING STAGES 4-5</v>
      </c>
      <c r="C19" s="10"/>
      <c r="D19" s="6" t="str">
        <f t="shared" si="1"/>
        <v>RO_Data[1].ACK_DESC[</v>
      </c>
      <c r="E19" s="23">
        <f t="shared" si="13"/>
        <v>14</v>
      </c>
      <c r="F19" s="27" t="s">
        <v>22</v>
      </c>
      <c r="G19" s="161">
        <v>0</v>
      </c>
      <c r="H19" s="6" t="str">
        <f t="shared" si="2"/>
        <v>RO_Data[1].MIN[</v>
      </c>
      <c r="I19" s="23">
        <f t="shared" si="14"/>
        <v>14</v>
      </c>
      <c r="J19" s="27" t="s">
        <v>22</v>
      </c>
      <c r="K19" s="161">
        <v>1</v>
      </c>
      <c r="L19" s="6" t="str">
        <f t="shared" si="3"/>
        <v>RO_Data[1].SEC[</v>
      </c>
      <c r="M19" s="23">
        <f t="shared" si="15"/>
        <v>14</v>
      </c>
      <c r="N19" s="27" t="s">
        <v>22</v>
      </c>
      <c r="O19" s="165">
        <v>0</v>
      </c>
      <c r="P19" s="6" t="str">
        <f t="shared" si="4"/>
        <v>RO_Data[1].SETPOINT[</v>
      </c>
      <c r="Q19" s="23">
        <f t="shared" si="16"/>
        <v>14</v>
      </c>
      <c r="R19" s="27" t="s">
        <v>22</v>
      </c>
      <c r="S19" s="9" t="str">
        <f t="shared" si="5"/>
        <v>P</v>
      </c>
      <c r="T19" s="18"/>
      <c r="U19" s="19"/>
      <c r="V19" s="19"/>
      <c r="W19" s="19"/>
      <c r="X19" s="19">
        <v>1</v>
      </c>
      <c r="Y19" s="58"/>
      <c r="Z19" s="58"/>
      <c r="AA19" s="58"/>
      <c r="AB19" s="19"/>
      <c r="AC19" s="19"/>
      <c r="AD19" s="19"/>
      <c r="AE19" s="19"/>
      <c r="AF19" s="19"/>
      <c r="AG19" s="19"/>
      <c r="AH19" s="19"/>
      <c r="AI19" s="19"/>
      <c r="AJ19" s="19"/>
      <c r="AK19" s="19"/>
      <c r="AL19" s="19">
        <v>1</v>
      </c>
      <c r="AM19" s="19"/>
      <c r="AN19" s="19"/>
      <c r="AO19" s="19"/>
      <c r="AP19" s="19">
        <v>1</v>
      </c>
      <c r="AQ19" s="19"/>
      <c r="AR19" s="19"/>
      <c r="AS19" s="19"/>
      <c r="AT19" s="19"/>
      <c r="AU19" s="19"/>
      <c r="AV19" s="19"/>
      <c r="AW19" s="19"/>
      <c r="AX19" s="19"/>
      <c r="AY19" s="20"/>
      <c r="AZ19" s="8">
        <f t="array" ref="AZ19">Bin2DecRange($T19:$AY19)</f>
        <v>134226432</v>
      </c>
      <c r="BA19" s="63" t="str">
        <f t="shared" si="6"/>
        <v>RO_Data[1].COND1[</v>
      </c>
      <c r="BB19" s="23">
        <f t="shared" si="17"/>
        <v>14</v>
      </c>
      <c r="BC19" s="27" t="s">
        <v>22</v>
      </c>
      <c r="BD19" s="18"/>
      <c r="BE19" s="19"/>
      <c r="BF19" s="19"/>
      <c r="BG19" s="19"/>
      <c r="BH19" s="19"/>
      <c r="BI19" s="19"/>
      <c r="BJ19" s="19"/>
      <c r="BK19" s="19"/>
      <c r="BL19" s="19"/>
      <c r="BM19" s="19">
        <v>1</v>
      </c>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4194304</v>
      </c>
      <c r="CK19" s="63" t="str">
        <f t="shared" si="7"/>
        <v>RO_Data[1].COND2[</v>
      </c>
      <c r="CL19" s="23">
        <f t="shared" si="18"/>
        <v>14</v>
      </c>
      <c r="CM19" s="27"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v>1</v>
      </c>
      <c r="DQ19" s="19"/>
      <c r="DR19" s="19"/>
      <c r="DS19" s="20"/>
      <c r="DT19" s="8" cm="1">
        <f t="array" ref="DT19">Bin2DecRange($CN19:$DS19)</f>
        <v>8</v>
      </c>
      <c r="DU19" s="63" t="str">
        <f t="shared" si="8"/>
        <v>RO_Data[1].COND3[</v>
      </c>
      <c r="DV19" s="23">
        <f t="shared" si="19"/>
        <v>14</v>
      </c>
      <c r="DW19" s="27" t="s">
        <v>22</v>
      </c>
      <c r="DX19" s="21"/>
      <c r="DY19" s="19"/>
      <c r="DZ19" s="19"/>
      <c r="EA19" s="19"/>
      <c r="EB19" s="19"/>
      <c r="EC19" s="19"/>
      <c r="ED19" s="19"/>
      <c r="EE19" s="19"/>
      <c r="EF19" s="19"/>
      <c r="EG19" s="19"/>
      <c r="EH19" s="19"/>
      <c r="EI19" s="19"/>
      <c r="EJ19" s="19"/>
      <c r="EK19" s="19"/>
      <c r="EL19" s="19"/>
      <c r="EM19" s="19"/>
      <c r="EN19" s="19"/>
      <c r="EO19" s="19">
        <v>1</v>
      </c>
      <c r="EP19" s="19">
        <v>1</v>
      </c>
      <c r="EQ19" s="19"/>
      <c r="ER19" s="19"/>
      <c r="ES19" s="19"/>
      <c r="ET19" s="19"/>
      <c r="EU19" s="19"/>
      <c r="EV19" s="19"/>
      <c r="EW19" s="19"/>
      <c r="EX19" s="19"/>
      <c r="EY19" s="19"/>
      <c r="EZ19" s="19"/>
      <c r="FA19" s="19"/>
      <c r="FB19" s="19"/>
      <c r="FC19" s="20"/>
      <c r="FD19" s="8">
        <f t="array" ref="FD19">Bin2DecRange($DX19:$FC19)</f>
        <v>24576</v>
      </c>
      <c r="FE19" s="63" t="str">
        <f t="shared" si="9"/>
        <v>RO_Data[1].ACT1[</v>
      </c>
      <c r="FF19" s="23">
        <f t="shared" si="20"/>
        <v>14</v>
      </c>
      <c r="FG19" s="27" t="s">
        <v>22</v>
      </c>
      <c r="FH19" s="21">
        <v>1</v>
      </c>
      <c r="FI19" s="19">
        <v>1</v>
      </c>
      <c r="FJ19" s="19">
        <v>1</v>
      </c>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c r="GJ19" s="19"/>
      <c r="GK19" s="19"/>
      <c r="GL19" s="19">
        <v>1</v>
      </c>
      <c r="GM19" s="20">
        <v>1</v>
      </c>
      <c r="GN19" s="8" cm="1">
        <f t="array" ref="GN19">Bin2DecRange($FH19:$GM19)</f>
        <v>-536870429</v>
      </c>
      <c r="GO19" s="63" t="str">
        <f t="shared" si="10"/>
        <v>RO_Data[1].ACT5[</v>
      </c>
      <c r="GP19" s="23">
        <f t="shared" si="21"/>
        <v>14</v>
      </c>
      <c r="GQ19" s="27"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3" t="str">
        <f t="shared" si="11"/>
        <v>RO_Data[1].ACT6[</v>
      </c>
      <c r="HZ19" s="23">
        <f t="shared" si="22"/>
        <v>14</v>
      </c>
      <c r="IA19" s="27" t="s">
        <v>22</v>
      </c>
      <c r="IB19" s="10" t="s">
        <v>220</v>
      </c>
      <c r="IC19" s="63" t="str">
        <f t="shared" si="12"/>
        <v>RO_Data[1].STEP_DESC[</v>
      </c>
      <c r="ID19" s="23">
        <f t="shared" si="23"/>
        <v>14</v>
      </c>
      <c r="IE19" s="27" t="s">
        <v>22</v>
      </c>
    </row>
    <row r="20" spans="1:239" x14ac:dyDescent="0.25">
      <c r="A20" s="8">
        <v>15</v>
      </c>
      <c r="B20" s="8" t="str">
        <f t="shared" si="0"/>
        <v>FLUSHING STAGES 5</v>
      </c>
      <c r="C20" s="10"/>
      <c r="D20" s="6" t="str">
        <f t="shared" si="1"/>
        <v>RO_Data[1].ACK_DESC[</v>
      </c>
      <c r="E20" s="23">
        <f t="shared" si="13"/>
        <v>15</v>
      </c>
      <c r="F20" s="27" t="s">
        <v>22</v>
      </c>
      <c r="G20" s="161">
        <v>0</v>
      </c>
      <c r="H20" s="6" t="str">
        <f t="shared" si="2"/>
        <v>RO_Data[1].MIN[</v>
      </c>
      <c r="I20" s="23">
        <f t="shared" si="14"/>
        <v>15</v>
      </c>
      <c r="J20" s="27" t="s">
        <v>22</v>
      </c>
      <c r="K20" s="161">
        <v>1</v>
      </c>
      <c r="L20" s="6" t="str">
        <f t="shared" si="3"/>
        <v>RO_Data[1].SEC[</v>
      </c>
      <c r="M20" s="23">
        <f t="shared" si="15"/>
        <v>15</v>
      </c>
      <c r="N20" s="27" t="s">
        <v>22</v>
      </c>
      <c r="O20" s="165">
        <v>0</v>
      </c>
      <c r="P20" s="6" t="str">
        <f t="shared" si="4"/>
        <v>RO_Data[1].SETPOINT[</v>
      </c>
      <c r="Q20" s="23">
        <f t="shared" si="16"/>
        <v>15</v>
      </c>
      <c r="R20" s="27" t="s">
        <v>22</v>
      </c>
      <c r="S20" s="9" t="str">
        <f t="shared" si="5"/>
        <v>P</v>
      </c>
      <c r="T20" s="18"/>
      <c r="U20" s="19"/>
      <c r="V20" s="19"/>
      <c r="W20" s="19"/>
      <c r="X20" s="19">
        <v>1</v>
      </c>
      <c r="Y20" s="58"/>
      <c r="Z20" s="58"/>
      <c r="AA20" s="58"/>
      <c r="AB20" s="19"/>
      <c r="AC20" s="19"/>
      <c r="AD20" s="19"/>
      <c r="AE20" s="19"/>
      <c r="AF20" s="19"/>
      <c r="AG20" s="19"/>
      <c r="AH20" s="19"/>
      <c r="AI20" s="19"/>
      <c r="AJ20" s="19"/>
      <c r="AK20" s="19"/>
      <c r="AL20" s="19">
        <v>1</v>
      </c>
      <c r="AM20" s="19"/>
      <c r="AN20" s="19"/>
      <c r="AO20" s="19"/>
      <c r="AP20" s="19">
        <v>1</v>
      </c>
      <c r="AQ20" s="19"/>
      <c r="AR20" s="19"/>
      <c r="AS20" s="19"/>
      <c r="AT20" s="19"/>
      <c r="AU20" s="19"/>
      <c r="AV20" s="19"/>
      <c r="AW20" s="19"/>
      <c r="AX20" s="19"/>
      <c r="AY20" s="20"/>
      <c r="AZ20" s="8">
        <f t="array" ref="AZ20">Bin2DecRange($T20:$AY20)</f>
        <v>134226432</v>
      </c>
      <c r="BA20" s="63" t="str">
        <f t="shared" si="6"/>
        <v>RO_Data[1].COND1[</v>
      </c>
      <c r="BB20" s="23">
        <f t="shared" si="17"/>
        <v>15</v>
      </c>
      <c r="BC20" s="27" t="s">
        <v>22</v>
      </c>
      <c r="BD20" s="18"/>
      <c r="BE20" s="19"/>
      <c r="BF20" s="19"/>
      <c r="BG20" s="19"/>
      <c r="BH20" s="19"/>
      <c r="BI20" s="19"/>
      <c r="BJ20" s="19"/>
      <c r="BK20" s="19"/>
      <c r="BL20" s="19"/>
      <c r="BM20" s="19">
        <v>1</v>
      </c>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4194304</v>
      </c>
      <c r="CK20" s="63" t="str">
        <f t="shared" si="7"/>
        <v>RO_Data[1].COND2[</v>
      </c>
      <c r="CL20" s="23">
        <f t="shared" si="18"/>
        <v>15</v>
      </c>
      <c r="CM20" s="27"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v>1</v>
      </c>
      <c r="DP20" s="19"/>
      <c r="DQ20" s="19"/>
      <c r="DR20" s="19"/>
      <c r="DS20" s="20"/>
      <c r="DT20" s="8" cm="1">
        <f t="array" ref="DT20">Bin2DecRange($CN20:$DS20)</f>
        <v>16</v>
      </c>
      <c r="DU20" s="63" t="str">
        <f t="shared" si="8"/>
        <v>RO_Data[1].COND3[</v>
      </c>
      <c r="DV20" s="23">
        <f t="shared" si="19"/>
        <v>15</v>
      </c>
      <c r="DW20" s="27" t="s">
        <v>22</v>
      </c>
      <c r="DX20" s="21"/>
      <c r="DY20" s="19"/>
      <c r="DZ20" s="19"/>
      <c r="EA20" s="19"/>
      <c r="EB20" s="19"/>
      <c r="EC20" s="19"/>
      <c r="ED20" s="19"/>
      <c r="EE20" s="19"/>
      <c r="EF20" s="19"/>
      <c r="EG20" s="19"/>
      <c r="EH20" s="19"/>
      <c r="EI20" s="19"/>
      <c r="EJ20" s="19"/>
      <c r="EK20" s="19"/>
      <c r="EL20" s="19"/>
      <c r="EM20" s="19"/>
      <c r="EN20" s="19"/>
      <c r="EO20" s="19">
        <v>1</v>
      </c>
      <c r="EP20" s="19">
        <v>1</v>
      </c>
      <c r="EQ20" s="19"/>
      <c r="ER20" s="19"/>
      <c r="ES20" s="19"/>
      <c r="ET20" s="19"/>
      <c r="EU20" s="19"/>
      <c r="EV20" s="19"/>
      <c r="EW20" s="19"/>
      <c r="EX20" s="19"/>
      <c r="EY20" s="19"/>
      <c r="EZ20" s="19"/>
      <c r="FA20" s="19"/>
      <c r="FB20" s="19"/>
      <c r="FC20" s="20"/>
      <c r="FD20" s="8">
        <f t="array" ref="FD20">Bin2DecRange($DX20:$FC20)</f>
        <v>24576</v>
      </c>
      <c r="FE20" s="63" t="str">
        <f t="shared" si="9"/>
        <v>RO_Data[1].ACT1[</v>
      </c>
      <c r="FF20" s="23">
        <f t="shared" si="20"/>
        <v>15</v>
      </c>
      <c r="FG20" s="27" t="s">
        <v>22</v>
      </c>
      <c r="FH20" s="21">
        <v>1</v>
      </c>
      <c r="FI20" s="19">
        <v>1</v>
      </c>
      <c r="FJ20" s="19">
        <v>1</v>
      </c>
      <c r="FK20" s="19">
        <v>1</v>
      </c>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c r="GJ20" s="19"/>
      <c r="GK20" s="19"/>
      <c r="GL20" s="19"/>
      <c r="GM20" s="20">
        <v>1</v>
      </c>
      <c r="GN20" s="8" cm="1">
        <f t="array" ref="GN20">Bin2DecRange($FH20:$GM20)</f>
        <v>-268434975</v>
      </c>
      <c r="GO20" s="63" t="str">
        <f t="shared" si="10"/>
        <v>RO_Data[1].ACT5[</v>
      </c>
      <c r="GP20" s="23">
        <f t="shared" si="21"/>
        <v>15</v>
      </c>
      <c r="GQ20" s="27"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3" t="str">
        <f t="shared" si="11"/>
        <v>RO_Data[1].ACT6[</v>
      </c>
      <c r="HZ20" s="23">
        <f t="shared" si="22"/>
        <v>15</v>
      </c>
      <c r="IA20" s="27" t="s">
        <v>22</v>
      </c>
      <c r="IB20" s="10" t="s">
        <v>221</v>
      </c>
      <c r="IC20" s="63" t="str">
        <f t="shared" si="12"/>
        <v>RO_Data[1].STEP_DESC[</v>
      </c>
      <c r="ID20" s="23">
        <f t="shared" si="23"/>
        <v>15</v>
      </c>
      <c r="IE20" s="27" t="s">
        <v>22</v>
      </c>
    </row>
    <row r="21" spans="1:239" x14ac:dyDescent="0.25">
      <c r="A21" s="8">
        <v>16</v>
      </c>
      <c r="B21" s="8" t="str">
        <f t="shared" si="0"/>
        <v>PAUSE</v>
      </c>
      <c r="C21" s="10"/>
      <c r="D21" s="6" t="str">
        <f t="shared" si="1"/>
        <v>RO_Data[1].ACK_DESC[</v>
      </c>
      <c r="E21" s="23">
        <f t="shared" si="13"/>
        <v>16</v>
      </c>
      <c r="F21" s="27" t="s">
        <v>22</v>
      </c>
      <c r="G21" s="161">
        <v>0</v>
      </c>
      <c r="H21" s="6" t="str">
        <f t="shared" si="2"/>
        <v>RO_Data[1].MIN[</v>
      </c>
      <c r="I21" s="23">
        <f t="shared" si="14"/>
        <v>16</v>
      </c>
      <c r="J21" s="27" t="s">
        <v>22</v>
      </c>
      <c r="K21" s="161">
        <v>10</v>
      </c>
      <c r="L21" s="6" t="str">
        <f t="shared" si="3"/>
        <v>RO_Data[1].SEC[</v>
      </c>
      <c r="M21" s="23">
        <f t="shared" si="15"/>
        <v>16</v>
      </c>
      <c r="N21" s="27" t="s">
        <v>22</v>
      </c>
      <c r="O21" s="165">
        <v>0</v>
      </c>
      <c r="P21" s="6" t="str">
        <f t="shared" si="4"/>
        <v>RO_Data[1].SETPOINT[</v>
      </c>
      <c r="Q21" s="23">
        <f t="shared" si="16"/>
        <v>16</v>
      </c>
      <c r="R21" s="27" t="s">
        <v>22</v>
      </c>
      <c r="S21" s="9" t="str">
        <f t="shared" si="5"/>
        <v>P</v>
      </c>
      <c r="T21" s="18"/>
      <c r="U21" s="19"/>
      <c r="V21" s="19"/>
      <c r="W21" s="19"/>
      <c r="X21" s="19"/>
      <c r="Y21" s="58"/>
      <c r="Z21" s="58"/>
      <c r="AA21" s="58"/>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3" t="str">
        <f t="shared" si="6"/>
        <v>RO_Data[1].COND1[</v>
      </c>
      <c r="BB21" s="23">
        <f t="shared" si="17"/>
        <v>16</v>
      </c>
      <c r="BC21" s="27"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3" t="str">
        <f t="shared" si="7"/>
        <v>RO_Data[1].COND2[</v>
      </c>
      <c r="CL21" s="23">
        <f t="shared" si="18"/>
        <v>16</v>
      </c>
      <c r="CM21" s="27"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3" t="str">
        <f t="shared" si="8"/>
        <v>RO_Data[1].COND3[</v>
      </c>
      <c r="DV21" s="23">
        <f t="shared" si="19"/>
        <v>16</v>
      </c>
      <c r="DW21" s="27"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3" t="str">
        <f t="shared" si="9"/>
        <v>RO_Data[1].ACT1[</v>
      </c>
      <c r="FF21" s="23">
        <f t="shared" si="20"/>
        <v>16</v>
      </c>
      <c r="FG21" s="27"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3" t="str">
        <f t="shared" si="10"/>
        <v>RO_Data[1].ACT5[</v>
      </c>
      <c r="GP21" s="23">
        <f t="shared" si="21"/>
        <v>16</v>
      </c>
      <c r="GQ21" s="27"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3" t="str">
        <f t="shared" si="11"/>
        <v>RO_Data[1].ACT6[</v>
      </c>
      <c r="HZ21" s="23">
        <f t="shared" si="22"/>
        <v>16</v>
      </c>
      <c r="IA21" s="27" t="s">
        <v>22</v>
      </c>
      <c r="IB21" s="10" t="s">
        <v>222</v>
      </c>
      <c r="IC21" s="63" t="str">
        <f t="shared" si="12"/>
        <v>RO_Data[1].STEP_DESC[</v>
      </c>
      <c r="ID21" s="23">
        <f t="shared" si="23"/>
        <v>16</v>
      </c>
      <c r="IE21" s="27" t="s">
        <v>22</v>
      </c>
    </row>
    <row r="22" spans="1:239" x14ac:dyDescent="0.25">
      <c r="A22" s="8">
        <v>17</v>
      </c>
      <c r="B22" s="8" t="str">
        <f t="shared" si="0"/>
        <v>CYCLE COMPLETE</v>
      </c>
      <c r="C22" s="10"/>
      <c r="D22" s="6" t="str">
        <f t="shared" si="1"/>
        <v>RO_Data[1].ACK_DESC[</v>
      </c>
      <c r="E22" s="23">
        <f t="shared" si="13"/>
        <v>17</v>
      </c>
      <c r="F22" s="27" t="s">
        <v>22</v>
      </c>
      <c r="G22" s="161">
        <v>0</v>
      </c>
      <c r="H22" s="6" t="str">
        <f t="shared" si="2"/>
        <v>RO_Data[1].MIN[</v>
      </c>
      <c r="I22" s="23">
        <f t="shared" si="14"/>
        <v>17</v>
      </c>
      <c r="J22" s="27" t="s">
        <v>22</v>
      </c>
      <c r="K22" s="161">
        <v>1</v>
      </c>
      <c r="L22" s="6" t="str">
        <f t="shared" si="3"/>
        <v>RO_Data[1].SEC[</v>
      </c>
      <c r="M22" s="23">
        <f t="shared" si="15"/>
        <v>17</v>
      </c>
      <c r="N22" s="27" t="s">
        <v>22</v>
      </c>
      <c r="O22" s="165">
        <v>0</v>
      </c>
      <c r="P22" s="6" t="str">
        <f t="shared" si="4"/>
        <v>RO_Data[1].SETPOINT[</v>
      </c>
      <c r="Q22" s="23">
        <f t="shared" si="16"/>
        <v>17</v>
      </c>
      <c r="R22" s="27" t="s">
        <v>22</v>
      </c>
      <c r="S22" s="9" t="str">
        <f t="shared" si="5"/>
        <v/>
      </c>
      <c r="T22" s="18"/>
      <c r="U22" s="19"/>
      <c r="V22" s="19"/>
      <c r="W22" s="19"/>
      <c r="X22" s="19"/>
      <c r="Y22" s="58"/>
      <c r="Z22" s="58"/>
      <c r="AA22" s="58"/>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v>1</v>
      </c>
      <c r="AZ22" s="8">
        <f t="array" ref="AZ22">Bin2DecRange($T22:$AY22)</f>
        <v>1</v>
      </c>
      <c r="BA22" s="63" t="str">
        <f t="shared" si="6"/>
        <v>RO_Data[1].COND1[</v>
      </c>
      <c r="BB22" s="23">
        <f t="shared" si="17"/>
        <v>17</v>
      </c>
      <c r="BC22" s="27"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3" t="str">
        <f t="shared" si="7"/>
        <v>RO_Data[1].COND2[</v>
      </c>
      <c r="CL22" s="23">
        <f t="shared" si="18"/>
        <v>17</v>
      </c>
      <c r="CM22" s="27"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3" t="str">
        <f t="shared" si="8"/>
        <v>RO_Data[1].COND3[</v>
      </c>
      <c r="DV22" s="23">
        <f t="shared" si="19"/>
        <v>17</v>
      </c>
      <c r="DW22" s="27"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3" t="str">
        <f t="shared" si="9"/>
        <v>RO_Data[1].ACT1[</v>
      </c>
      <c r="FF22" s="23">
        <f t="shared" si="20"/>
        <v>17</v>
      </c>
      <c r="FG22" s="27"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3" t="str">
        <f t="shared" si="10"/>
        <v>RO_Data[1].ACT5[</v>
      </c>
      <c r="GP22" s="23">
        <f t="shared" si="21"/>
        <v>17</v>
      </c>
      <c r="GQ22" s="27"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3" t="str">
        <f t="shared" si="11"/>
        <v>RO_Data[1].ACT6[</v>
      </c>
      <c r="HZ22" s="23">
        <f t="shared" si="22"/>
        <v>17</v>
      </c>
      <c r="IA22" s="27" t="s">
        <v>22</v>
      </c>
      <c r="IB22" s="10" t="s">
        <v>223</v>
      </c>
      <c r="IC22" s="63" t="str">
        <f t="shared" si="12"/>
        <v>RO_Data[1].STEP_DESC[</v>
      </c>
      <c r="ID22" s="23">
        <f t="shared" si="23"/>
        <v>17</v>
      </c>
      <c r="IE22" s="27" t="s">
        <v>22</v>
      </c>
    </row>
    <row r="23" spans="1:239" x14ac:dyDescent="0.25">
      <c r="A23" s="8">
        <v>18</v>
      </c>
      <c r="B23" s="8" t="str">
        <f t="shared" si="0"/>
        <v/>
      </c>
      <c r="C23" s="10"/>
      <c r="D23" s="6" t="str">
        <f t="shared" si="1"/>
        <v>RO_Data[1].ACK_DESC[</v>
      </c>
      <c r="E23" s="23">
        <f t="shared" si="13"/>
        <v>18</v>
      </c>
      <c r="F23" s="27" t="s">
        <v>22</v>
      </c>
      <c r="G23" s="161">
        <v>0</v>
      </c>
      <c r="H23" s="6" t="str">
        <f t="shared" si="2"/>
        <v>RO_Data[1].MIN[</v>
      </c>
      <c r="I23" s="23">
        <f t="shared" si="14"/>
        <v>18</v>
      </c>
      <c r="J23" s="27" t="s">
        <v>22</v>
      </c>
      <c r="K23" s="161">
        <v>0</v>
      </c>
      <c r="L23" s="6" t="str">
        <f t="shared" si="3"/>
        <v>RO_Data[1].SEC[</v>
      </c>
      <c r="M23" s="23">
        <f t="shared" si="15"/>
        <v>18</v>
      </c>
      <c r="N23" s="27" t="s">
        <v>22</v>
      </c>
      <c r="O23" s="165">
        <v>0</v>
      </c>
      <c r="P23" s="6" t="str">
        <f t="shared" si="4"/>
        <v>RO_Data[1].SETPOINT[</v>
      </c>
      <c r="Q23" s="23">
        <f t="shared" si="16"/>
        <v>18</v>
      </c>
      <c r="R23" s="27" t="s">
        <v>22</v>
      </c>
      <c r="S23" s="9" t="str">
        <f t="shared" si="5"/>
        <v/>
      </c>
      <c r="T23" s="18"/>
      <c r="U23" s="19"/>
      <c r="V23" s="19"/>
      <c r="W23" s="19"/>
      <c r="X23" s="19"/>
      <c r="Y23" s="58"/>
      <c r="Z23" s="58"/>
      <c r="AA23" s="58"/>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3" t="str">
        <f t="shared" si="6"/>
        <v>RO_Data[1].COND1[</v>
      </c>
      <c r="BB23" s="23">
        <f t="shared" si="17"/>
        <v>18</v>
      </c>
      <c r="BC23" s="27"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3" t="str">
        <f t="shared" si="7"/>
        <v>RO_Data[1].COND2[</v>
      </c>
      <c r="CL23" s="23">
        <f t="shared" si="18"/>
        <v>18</v>
      </c>
      <c r="CM23" s="27"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3" t="str">
        <f t="shared" si="8"/>
        <v>RO_Data[1].COND3[</v>
      </c>
      <c r="DV23" s="23">
        <f t="shared" si="19"/>
        <v>18</v>
      </c>
      <c r="DW23" s="27"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3" t="str">
        <f t="shared" si="9"/>
        <v>RO_Data[1].ACT1[</v>
      </c>
      <c r="FF23" s="23">
        <f t="shared" si="20"/>
        <v>18</v>
      </c>
      <c r="FG23" s="27"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3" t="str">
        <f t="shared" si="10"/>
        <v>RO_Data[1].ACT5[</v>
      </c>
      <c r="GP23" s="23">
        <f t="shared" si="21"/>
        <v>18</v>
      </c>
      <c r="GQ23" s="27"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3" t="str">
        <f t="shared" si="11"/>
        <v>RO_Data[1].ACT6[</v>
      </c>
      <c r="HZ23" s="23">
        <f t="shared" si="22"/>
        <v>18</v>
      </c>
      <c r="IA23" s="27" t="s">
        <v>22</v>
      </c>
      <c r="IB23" s="10"/>
      <c r="IC23" s="63" t="str">
        <f t="shared" si="12"/>
        <v>RO_Data[1].STEP_DESC[</v>
      </c>
      <c r="ID23" s="23">
        <f t="shared" si="23"/>
        <v>18</v>
      </c>
      <c r="IE23" s="27" t="s">
        <v>22</v>
      </c>
    </row>
    <row r="24" spans="1:239" x14ac:dyDescent="0.25">
      <c r="A24" s="8">
        <v>19</v>
      </c>
      <c r="B24" s="8" t="str">
        <f t="shared" si="0"/>
        <v/>
      </c>
      <c r="C24" s="10"/>
      <c r="D24" s="6" t="str">
        <f t="shared" si="1"/>
        <v>RO_Data[1].ACK_DESC[</v>
      </c>
      <c r="E24" s="23">
        <f t="shared" si="13"/>
        <v>19</v>
      </c>
      <c r="F24" s="27" t="s">
        <v>22</v>
      </c>
      <c r="G24" s="161">
        <v>0</v>
      </c>
      <c r="H24" s="6" t="str">
        <f t="shared" si="2"/>
        <v>RO_Data[1].MIN[</v>
      </c>
      <c r="I24" s="23">
        <f t="shared" si="14"/>
        <v>19</v>
      </c>
      <c r="J24" s="27" t="s">
        <v>22</v>
      </c>
      <c r="K24" s="161">
        <v>0</v>
      </c>
      <c r="L24" s="6" t="str">
        <f t="shared" si="3"/>
        <v>RO_Data[1].SEC[</v>
      </c>
      <c r="M24" s="23">
        <f t="shared" si="15"/>
        <v>19</v>
      </c>
      <c r="N24" s="27" t="s">
        <v>22</v>
      </c>
      <c r="O24" s="165">
        <v>0</v>
      </c>
      <c r="P24" s="6" t="str">
        <f t="shared" si="4"/>
        <v>RO_Data[1].SETPOINT[</v>
      </c>
      <c r="Q24" s="23">
        <f t="shared" si="16"/>
        <v>19</v>
      </c>
      <c r="R24" s="27" t="s">
        <v>22</v>
      </c>
      <c r="S24" s="9" t="str">
        <f t="shared" si="5"/>
        <v/>
      </c>
      <c r="T24" s="18"/>
      <c r="U24" s="19"/>
      <c r="V24" s="19"/>
      <c r="W24" s="19"/>
      <c r="X24" s="19"/>
      <c r="Y24" s="58"/>
      <c r="Z24" s="58"/>
      <c r="AA24" s="58"/>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3" t="str">
        <f t="shared" si="6"/>
        <v>RO_Data[1].COND1[</v>
      </c>
      <c r="BB24" s="23">
        <f t="shared" si="17"/>
        <v>19</v>
      </c>
      <c r="BC24" s="27"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3" t="str">
        <f t="shared" si="7"/>
        <v>RO_Data[1].COND2[</v>
      </c>
      <c r="CL24" s="23">
        <f t="shared" si="18"/>
        <v>19</v>
      </c>
      <c r="CM24" s="27"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3" t="str">
        <f t="shared" si="8"/>
        <v>RO_Data[1].COND3[</v>
      </c>
      <c r="DV24" s="23">
        <f t="shared" si="19"/>
        <v>19</v>
      </c>
      <c r="DW24" s="27"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3" t="str">
        <f t="shared" si="9"/>
        <v>RO_Data[1].ACT1[</v>
      </c>
      <c r="FF24" s="23">
        <f t="shared" si="20"/>
        <v>19</v>
      </c>
      <c r="FG24" s="27"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3" t="str">
        <f t="shared" si="10"/>
        <v>RO_Data[1].ACT5[</v>
      </c>
      <c r="GP24" s="23">
        <f t="shared" si="21"/>
        <v>19</v>
      </c>
      <c r="GQ24" s="27"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3" t="str">
        <f t="shared" si="11"/>
        <v>RO_Data[1].ACT6[</v>
      </c>
      <c r="HZ24" s="23">
        <f t="shared" si="22"/>
        <v>19</v>
      </c>
      <c r="IA24" s="27" t="s">
        <v>22</v>
      </c>
      <c r="IB24" s="10"/>
      <c r="IC24" s="63" t="str">
        <f t="shared" si="12"/>
        <v>RO_Data[1].STEP_DESC[</v>
      </c>
      <c r="ID24" s="23">
        <f t="shared" si="23"/>
        <v>19</v>
      </c>
      <c r="IE24" s="27" t="s">
        <v>22</v>
      </c>
    </row>
    <row r="25" spans="1:239" x14ac:dyDescent="0.25">
      <c r="A25" s="8">
        <v>20</v>
      </c>
      <c r="B25" s="8" t="str">
        <f t="shared" si="0"/>
        <v/>
      </c>
      <c r="C25" s="10"/>
      <c r="D25" s="6" t="str">
        <f t="shared" si="1"/>
        <v>RO_Data[1].ACK_DESC[</v>
      </c>
      <c r="E25" s="23">
        <f t="shared" si="13"/>
        <v>20</v>
      </c>
      <c r="F25" s="27" t="s">
        <v>22</v>
      </c>
      <c r="G25" s="161">
        <v>0</v>
      </c>
      <c r="H25" s="6" t="str">
        <f t="shared" si="2"/>
        <v>RO_Data[1].MIN[</v>
      </c>
      <c r="I25" s="23">
        <f t="shared" si="14"/>
        <v>20</v>
      </c>
      <c r="J25" s="27" t="s">
        <v>22</v>
      </c>
      <c r="K25" s="161">
        <v>0</v>
      </c>
      <c r="L25" s="6" t="str">
        <f t="shared" si="3"/>
        <v>RO_Data[1].SEC[</v>
      </c>
      <c r="M25" s="23">
        <f t="shared" si="15"/>
        <v>20</v>
      </c>
      <c r="N25" s="27" t="s">
        <v>22</v>
      </c>
      <c r="O25" s="165">
        <v>0</v>
      </c>
      <c r="P25" s="6" t="str">
        <f t="shared" si="4"/>
        <v>RO_Data[1].SETPOINT[</v>
      </c>
      <c r="Q25" s="23">
        <f t="shared" si="16"/>
        <v>20</v>
      </c>
      <c r="R25" s="27" t="s">
        <v>22</v>
      </c>
      <c r="S25" s="9" t="str">
        <f t="shared" si="5"/>
        <v/>
      </c>
      <c r="T25" s="18"/>
      <c r="U25" s="19"/>
      <c r="V25" s="19"/>
      <c r="W25" s="19"/>
      <c r="X25" s="19"/>
      <c r="Y25" s="58"/>
      <c r="Z25" s="58"/>
      <c r="AA25" s="58"/>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3" t="str">
        <f t="shared" si="6"/>
        <v>RO_Data[1].COND1[</v>
      </c>
      <c r="BB25" s="23">
        <f t="shared" si="17"/>
        <v>20</v>
      </c>
      <c r="BC25" s="27"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3" t="str">
        <f t="shared" si="7"/>
        <v>RO_Data[1].COND2[</v>
      </c>
      <c r="CL25" s="23">
        <f t="shared" si="18"/>
        <v>20</v>
      </c>
      <c r="CM25" s="27"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3" t="str">
        <f t="shared" si="8"/>
        <v>RO_Data[1].COND3[</v>
      </c>
      <c r="DV25" s="23">
        <f t="shared" si="19"/>
        <v>20</v>
      </c>
      <c r="DW25" s="27"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3" t="str">
        <f t="shared" si="9"/>
        <v>RO_Data[1].ACT1[</v>
      </c>
      <c r="FF25" s="23">
        <f t="shared" si="20"/>
        <v>20</v>
      </c>
      <c r="FG25" s="27"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3" t="str">
        <f t="shared" si="10"/>
        <v>RO_Data[1].ACT5[</v>
      </c>
      <c r="GP25" s="23">
        <f t="shared" si="21"/>
        <v>20</v>
      </c>
      <c r="GQ25" s="27"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3" t="str">
        <f t="shared" si="11"/>
        <v>RO_Data[1].ACT6[</v>
      </c>
      <c r="HZ25" s="23">
        <f t="shared" si="22"/>
        <v>20</v>
      </c>
      <c r="IA25" s="27" t="s">
        <v>22</v>
      </c>
      <c r="IB25" s="10"/>
      <c r="IC25" s="63" t="str">
        <f t="shared" si="12"/>
        <v>RO_Data[1].STEP_DESC[</v>
      </c>
      <c r="ID25" s="23">
        <f t="shared" si="23"/>
        <v>20</v>
      </c>
      <c r="IE25" s="27" t="s">
        <v>22</v>
      </c>
    </row>
    <row r="26" spans="1:239" x14ac:dyDescent="0.25">
      <c r="A26" s="8">
        <v>21</v>
      </c>
      <c r="B26" s="8" t="str">
        <f t="shared" si="0"/>
        <v/>
      </c>
      <c r="C26" s="10"/>
      <c r="D26" s="6" t="str">
        <f t="shared" si="1"/>
        <v>RO_Data[1].ACK_DESC[</v>
      </c>
      <c r="E26" s="23">
        <f t="shared" si="13"/>
        <v>21</v>
      </c>
      <c r="F26" s="27" t="s">
        <v>22</v>
      </c>
      <c r="G26" s="161">
        <v>0</v>
      </c>
      <c r="H26" s="6" t="str">
        <f t="shared" si="2"/>
        <v>RO_Data[1].MIN[</v>
      </c>
      <c r="I26" s="23">
        <f t="shared" si="14"/>
        <v>21</v>
      </c>
      <c r="J26" s="27" t="s">
        <v>22</v>
      </c>
      <c r="K26" s="161">
        <v>0</v>
      </c>
      <c r="L26" s="6" t="str">
        <f t="shared" si="3"/>
        <v>RO_Data[1].SEC[</v>
      </c>
      <c r="M26" s="23">
        <f t="shared" si="15"/>
        <v>21</v>
      </c>
      <c r="N26" s="27" t="s">
        <v>22</v>
      </c>
      <c r="O26" s="165">
        <v>0</v>
      </c>
      <c r="P26" s="6" t="str">
        <f t="shared" si="4"/>
        <v>RO_Data[1].SETPOINT[</v>
      </c>
      <c r="Q26" s="23">
        <f t="shared" si="16"/>
        <v>21</v>
      </c>
      <c r="R26" s="27" t="s">
        <v>22</v>
      </c>
      <c r="S26" s="9" t="str">
        <f t="shared" si="5"/>
        <v/>
      </c>
      <c r="T26" s="18"/>
      <c r="U26" s="19"/>
      <c r="V26" s="19"/>
      <c r="W26" s="19"/>
      <c r="X26" s="19"/>
      <c r="Y26" s="58"/>
      <c r="Z26" s="58"/>
      <c r="AA26" s="58"/>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3" t="str">
        <f t="shared" si="6"/>
        <v>RO_Data[1].COND1[</v>
      </c>
      <c r="BB26" s="23">
        <f t="shared" si="17"/>
        <v>21</v>
      </c>
      <c r="BC26" s="27"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3" t="str">
        <f t="shared" si="7"/>
        <v>RO_Data[1].COND2[</v>
      </c>
      <c r="CL26" s="23">
        <f t="shared" si="18"/>
        <v>21</v>
      </c>
      <c r="CM26" s="27"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3" t="str">
        <f t="shared" si="8"/>
        <v>RO_Data[1].COND3[</v>
      </c>
      <c r="DV26" s="23">
        <f t="shared" si="19"/>
        <v>21</v>
      </c>
      <c r="DW26" s="27"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3" t="str">
        <f t="shared" si="9"/>
        <v>RO_Data[1].ACT1[</v>
      </c>
      <c r="FF26" s="23">
        <f t="shared" si="20"/>
        <v>21</v>
      </c>
      <c r="FG26" s="27"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3" t="str">
        <f t="shared" si="10"/>
        <v>RO_Data[1].ACT5[</v>
      </c>
      <c r="GP26" s="23">
        <f t="shared" si="21"/>
        <v>21</v>
      </c>
      <c r="GQ26" s="27"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3" t="str">
        <f t="shared" si="11"/>
        <v>RO_Data[1].ACT6[</v>
      </c>
      <c r="HZ26" s="23">
        <f t="shared" si="22"/>
        <v>21</v>
      </c>
      <c r="IA26" s="27" t="s">
        <v>22</v>
      </c>
      <c r="IB26" s="10"/>
      <c r="IC26" s="63" t="str">
        <f t="shared" si="12"/>
        <v>RO_Data[1].STEP_DESC[</v>
      </c>
      <c r="ID26" s="23">
        <f t="shared" si="23"/>
        <v>21</v>
      </c>
      <c r="IE26" s="27" t="s">
        <v>22</v>
      </c>
    </row>
    <row r="27" spans="1:239" x14ac:dyDescent="0.25">
      <c r="A27" s="8">
        <v>22</v>
      </c>
      <c r="B27" s="8" t="str">
        <f t="shared" si="0"/>
        <v/>
      </c>
      <c r="C27" s="10"/>
      <c r="D27" s="6" t="str">
        <f t="shared" si="1"/>
        <v>RO_Data[1].ACK_DESC[</v>
      </c>
      <c r="E27" s="23">
        <f t="shared" si="13"/>
        <v>22</v>
      </c>
      <c r="F27" s="27" t="s">
        <v>22</v>
      </c>
      <c r="G27" s="161">
        <v>0</v>
      </c>
      <c r="H27" s="6" t="str">
        <f t="shared" si="2"/>
        <v>RO_Data[1].MIN[</v>
      </c>
      <c r="I27" s="23">
        <f t="shared" si="14"/>
        <v>22</v>
      </c>
      <c r="J27" s="27" t="s">
        <v>22</v>
      </c>
      <c r="K27" s="161">
        <v>0</v>
      </c>
      <c r="L27" s="6" t="str">
        <f t="shared" si="3"/>
        <v>RO_Data[1].SEC[</v>
      </c>
      <c r="M27" s="23">
        <f t="shared" si="15"/>
        <v>22</v>
      </c>
      <c r="N27" s="27" t="s">
        <v>22</v>
      </c>
      <c r="O27" s="165">
        <v>0</v>
      </c>
      <c r="P27" s="6" t="str">
        <f t="shared" si="4"/>
        <v>RO_Data[1].SETPOINT[</v>
      </c>
      <c r="Q27" s="23">
        <f t="shared" si="16"/>
        <v>22</v>
      </c>
      <c r="R27" s="27" t="s">
        <v>22</v>
      </c>
      <c r="S27" s="9" t="str">
        <f t="shared" si="5"/>
        <v/>
      </c>
      <c r="T27" s="18"/>
      <c r="U27" s="19"/>
      <c r="V27" s="19"/>
      <c r="W27" s="19"/>
      <c r="X27" s="19"/>
      <c r="Y27" s="58"/>
      <c r="Z27" s="58"/>
      <c r="AA27" s="58"/>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3" t="str">
        <f t="shared" si="6"/>
        <v>RO_Data[1].COND1[</v>
      </c>
      <c r="BB27" s="23">
        <f t="shared" si="17"/>
        <v>22</v>
      </c>
      <c r="BC27" s="27"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3" t="str">
        <f t="shared" si="7"/>
        <v>RO_Data[1].COND2[</v>
      </c>
      <c r="CL27" s="23">
        <f t="shared" si="18"/>
        <v>22</v>
      </c>
      <c r="CM27" s="27"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3" t="str">
        <f t="shared" si="8"/>
        <v>RO_Data[1].COND3[</v>
      </c>
      <c r="DV27" s="23">
        <f t="shared" si="19"/>
        <v>22</v>
      </c>
      <c r="DW27" s="27"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3" t="str">
        <f t="shared" si="9"/>
        <v>RO_Data[1].ACT1[</v>
      </c>
      <c r="FF27" s="23">
        <f t="shared" si="20"/>
        <v>22</v>
      </c>
      <c r="FG27" s="27"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3" t="str">
        <f t="shared" si="10"/>
        <v>RO_Data[1].ACT5[</v>
      </c>
      <c r="GP27" s="23">
        <f t="shared" si="21"/>
        <v>22</v>
      </c>
      <c r="GQ27" s="27"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3" t="str">
        <f t="shared" si="11"/>
        <v>RO_Data[1].ACT6[</v>
      </c>
      <c r="HZ27" s="23">
        <f t="shared" si="22"/>
        <v>22</v>
      </c>
      <c r="IA27" s="27" t="s">
        <v>22</v>
      </c>
      <c r="IB27" s="10"/>
      <c r="IC27" s="63" t="str">
        <f t="shared" si="12"/>
        <v>RO_Data[1].STEP_DESC[</v>
      </c>
      <c r="ID27" s="23">
        <f t="shared" si="23"/>
        <v>22</v>
      </c>
      <c r="IE27" s="27" t="s">
        <v>22</v>
      </c>
    </row>
    <row r="28" spans="1:239" x14ac:dyDescent="0.25">
      <c r="A28" s="8">
        <v>23</v>
      </c>
      <c r="B28" s="8" t="str">
        <f t="shared" si="0"/>
        <v/>
      </c>
      <c r="C28" s="10"/>
      <c r="D28" s="6" t="str">
        <f t="shared" si="1"/>
        <v>RO_Data[1].ACK_DESC[</v>
      </c>
      <c r="E28" s="23">
        <f t="shared" si="13"/>
        <v>23</v>
      </c>
      <c r="F28" s="27" t="s">
        <v>22</v>
      </c>
      <c r="G28" s="161">
        <v>0</v>
      </c>
      <c r="H28" s="6" t="str">
        <f t="shared" si="2"/>
        <v>RO_Data[1].MIN[</v>
      </c>
      <c r="I28" s="23">
        <f t="shared" si="14"/>
        <v>23</v>
      </c>
      <c r="J28" s="27" t="s">
        <v>22</v>
      </c>
      <c r="K28" s="161">
        <v>0</v>
      </c>
      <c r="L28" s="6" t="str">
        <f t="shared" si="3"/>
        <v>RO_Data[1].SEC[</v>
      </c>
      <c r="M28" s="23">
        <f t="shared" si="15"/>
        <v>23</v>
      </c>
      <c r="N28" s="27" t="s">
        <v>22</v>
      </c>
      <c r="O28" s="165">
        <v>0</v>
      </c>
      <c r="P28" s="6" t="str">
        <f t="shared" si="4"/>
        <v>RO_Data[1].SETPOINT[</v>
      </c>
      <c r="Q28" s="23">
        <f t="shared" si="16"/>
        <v>23</v>
      </c>
      <c r="R28" s="27" t="s">
        <v>22</v>
      </c>
      <c r="S28" s="9" t="str">
        <f t="shared" si="5"/>
        <v/>
      </c>
      <c r="T28" s="18"/>
      <c r="U28" s="19"/>
      <c r="V28" s="19"/>
      <c r="W28" s="19"/>
      <c r="X28" s="19"/>
      <c r="Y28" s="58"/>
      <c r="Z28" s="58"/>
      <c r="AA28" s="58"/>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3" t="str">
        <f t="shared" si="6"/>
        <v>RO_Data[1].COND1[</v>
      </c>
      <c r="BB28" s="23">
        <f t="shared" si="17"/>
        <v>23</v>
      </c>
      <c r="BC28" s="27"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3" t="str">
        <f t="shared" si="7"/>
        <v>RO_Data[1].COND2[</v>
      </c>
      <c r="CL28" s="23">
        <f t="shared" si="18"/>
        <v>23</v>
      </c>
      <c r="CM28" s="27"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3" t="str">
        <f t="shared" si="8"/>
        <v>RO_Data[1].COND3[</v>
      </c>
      <c r="DV28" s="23">
        <f t="shared" si="19"/>
        <v>23</v>
      </c>
      <c r="DW28" s="27"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3" t="str">
        <f t="shared" si="9"/>
        <v>RO_Data[1].ACT1[</v>
      </c>
      <c r="FF28" s="23">
        <f t="shared" si="20"/>
        <v>23</v>
      </c>
      <c r="FG28" s="27"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3" t="str">
        <f t="shared" si="10"/>
        <v>RO_Data[1].ACT5[</v>
      </c>
      <c r="GP28" s="23">
        <f t="shared" si="21"/>
        <v>23</v>
      </c>
      <c r="GQ28" s="27"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3" t="str">
        <f t="shared" si="11"/>
        <v>RO_Data[1].ACT6[</v>
      </c>
      <c r="HZ28" s="23">
        <f t="shared" si="22"/>
        <v>23</v>
      </c>
      <c r="IA28" s="27" t="s">
        <v>22</v>
      </c>
      <c r="IB28" s="10"/>
      <c r="IC28" s="63" t="str">
        <f t="shared" si="12"/>
        <v>RO_Data[1].STEP_DESC[</v>
      </c>
      <c r="ID28" s="23">
        <f t="shared" si="23"/>
        <v>23</v>
      </c>
      <c r="IE28" s="27" t="s">
        <v>22</v>
      </c>
    </row>
    <row r="29" spans="1:239" ht="15.75" customHeight="1" thickBot="1" x14ac:dyDescent="0.3">
      <c r="A29" s="53">
        <v>24</v>
      </c>
      <c r="B29" s="53" t="str">
        <f t="shared" si="0"/>
        <v/>
      </c>
      <c r="C29" s="54"/>
      <c r="D29" s="51" t="str">
        <f t="shared" si="1"/>
        <v>RO_Data[1].ACK_DESC[</v>
      </c>
      <c r="E29" s="52">
        <f t="shared" si="13"/>
        <v>24</v>
      </c>
      <c r="F29" s="55" t="s">
        <v>22</v>
      </c>
      <c r="G29" s="164">
        <v>0</v>
      </c>
      <c r="H29" s="51" t="str">
        <f t="shared" si="2"/>
        <v>RO_Data[1].MIN[</v>
      </c>
      <c r="I29" s="52">
        <f t="shared" si="14"/>
        <v>24</v>
      </c>
      <c r="J29" s="55" t="s">
        <v>22</v>
      </c>
      <c r="K29" s="164">
        <v>0</v>
      </c>
      <c r="L29" s="51" t="str">
        <f t="shared" si="3"/>
        <v>RO_Data[1].SEC[</v>
      </c>
      <c r="M29" s="52">
        <f t="shared" si="15"/>
        <v>24</v>
      </c>
      <c r="N29" s="55" t="s">
        <v>22</v>
      </c>
      <c r="O29" s="167">
        <v>0</v>
      </c>
      <c r="P29" s="51" t="str">
        <f t="shared" si="4"/>
        <v>RO_Data[1].SETPOINT[</v>
      </c>
      <c r="Q29" s="52">
        <f t="shared" si="16"/>
        <v>24</v>
      </c>
      <c r="R29" s="55" t="s">
        <v>22</v>
      </c>
      <c r="S29" s="87" t="str">
        <f t="shared" si="5"/>
        <v/>
      </c>
      <c r="T29" s="88"/>
      <c r="U29" s="89"/>
      <c r="V29" s="89"/>
      <c r="W29" s="89"/>
      <c r="X29" s="89"/>
      <c r="Y29" s="90"/>
      <c r="Z29" s="90"/>
      <c r="AA29" s="90"/>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91"/>
      <c r="AZ29" s="53">
        <f t="array" ref="AZ29">Bin2DecRange($T29:$AY29)</f>
        <v>0</v>
      </c>
      <c r="BA29" s="127" t="str">
        <f t="shared" si="6"/>
        <v>RO_Data[1].COND1[</v>
      </c>
      <c r="BB29" s="52">
        <f t="shared" si="17"/>
        <v>24</v>
      </c>
      <c r="BC29" s="55" t="s">
        <v>22</v>
      </c>
      <c r="BD29" s="88"/>
      <c r="BE29" s="89"/>
      <c r="BF29" s="89"/>
      <c r="BG29" s="89"/>
      <c r="BH29" s="89"/>
      <c r="BI29" s="89"/>
      <c r="BJ29" s="89"/>
      <c r="BK29" s="89"/>
      <c r="BL29" s="89"/>
      <c r="BM29" s="89"/>
      <c r="BN29" s="89"/>
      <c r="BO29" s="89"/>
      <c r="BP29" s="89"/>
      <c r="BQ29" s="89"/>
      <c r="BR29" s="89"/>
      <c r="BS29" s="89"/>
      <c r="BT29" s="89"/>
      <c r="BU29" s="89"/>
      <c r="BV29" s="89"/>
      <c r="BW29" s="89"/>
      <c r="BX29" s="89"/>
      <c r="BY29" s="89"/>
      <c r="BZ29" s="89"/>
      <c r="CA29" s="89"/>
      <c r="CB29" s="89"/>
      <c r="CC29" s="89"/>
      <c r="CD29" s="89"/>
      <c r="CE29" s="89"/>
      <c r="CF29" s="89"/>
      <c r="CG29" s="89"/>
      <c r="CH29" s="89"/>
      <c r="CI29" s="91"/>
      <c r="CJ29" s="53" cm="1">
        <f t="array" ref="CJ29">Bin2DecRange($BD29:$CI29)</f>
        <v>0</v>
      </c>
      <c r="CK29" s="127" t="str">
        <f t="shared" si="7"/>
        <v>RO_Data[1].COND2[</v>
      </c>
      <c r="CL29" s="52">
        <f t="shared" si="18"/>
        <v>24</v>
      </c>
      <c r="CM29" s="55" t="s">
        <v>22</v>
      </c>
      <c r="CN29" s="88"/>
      <c r="CO29" s="89"/>
      <c r="CP29" s="89"/>
      <c r="CQ29" s="89"/>
      <c r="CR29" s="89"/>
      <c r="CS29" s="89"/>
      <c r="CT29" s="89"/>
      <c r="CU29" s="89"/>
      <c r="CV29" s="89"/>
      <c r="CW29" s="89"/>
      <c r="CX29" s="89"/>
      <c r="CY29" s="89"/>
      <c r="CZ29" s="89"/>
      <c r="DA29" s="89"/>
      <c r="DB29" s="89"/>
      <c r="DC29" s="89"/>
      <c r="DD29" s="89"/>
      <c r="DE29" s="89"/>
      <c r="DF29" s="89"/>
      <c r="DG29" s="89"/>
      <c r="DH29" s="89"/>
      <c r="DI29" s="89"/>
      <c r="DJ29" s="89"/>
      <c r="DK29" s="89"/>
      <c r="DL29" s="89"/>
      <c r="DM29" s="89"/>
      <c r="DN29" s="89"/>
      <c r="DO29" s="89"/>
      <c r="DP29" s="89"/>
      <c r="DQ29" s="89"/>
      <c r="DR29" s="89"/>
      <c r="DS29" s="91"/>
      <c r="DT29" s="53" cm="1">
        <f t="array" ref="DT29">Bin2DecRange($CN29:$DS29)</f>
        <v>0</v>
      </c>
      <c r="DU29" s="127" t="str">
        <f t="shared" si="8"/>
        <v>RO_Data[1].COND3[</v>
      </c>
      <c r="DV29" s="52">
        <f t="shared" si="19"/>
        <v>24</v>
      </c>
      <c r="DW29" s="55" t="s">
        <v>22</v>
      </c>
      <c r="DX29" s="92"/>
      <c r="DY29" s="89"/>
      <c r="DZ29" s="89"/>
      <c r="EA29" s="89"/>
      <c r="EB29" s="89"/>
      <c r="EC29" s="89"/>
      <c r="ED29" s="89"/>
      <c r="EE29" s="89"/>
      <c r="EF29" s="89"/>
      <c r="EG29" s="89"/>
      <c r="EH29" s="89"/>
      <c r="EI29" s="89"/>
      <c r="EJ29" s="89"/>
      <c r="EK29" s="89"/>
      <c r="EL29" s="89"/>
      <c r="EM29" s="89"/>
      <c r="EN29" s="89"/>
      <c r="EO29" s="89"/>
      <c r="EP29" s="89"/>
      <c r="EQ29" s="89"/>
      <c r="ER29" s="89"/>
      <c r="ES29" s="89"/>
      <c r="ET29" s="89"/>
      <c r="EU29" s="89"/>
      <c r="EV29" s="89"/>
      <c r="EW29" s="89"/>
      <c r="EX29" s="89"/>
      <c r="EY29" s="89"/>
      <c r="EZ29" s="89"/>
      <c r="FA29" s="89"/>
      <c r="FB29" s="89"/>
      <c r="FC29" s="91"/>
      <c r="FD29" s="53">
        <f t="array" ref="FD29">Bin2DecRange($DX29:$FC29)</f>
        <v>0</v>
      </c>
      <c r="FE29" s="127" t="str">
        <f t="shared" si="9"/>
        <v>RO_Data[1].ACT1[</v>
      </c>
      <c r="FF29" s="52">
        <f t="shared" si="20"/>
        <v>24</v>
      </c>
      <c r="FG29" s="55" t="s">
        <v>22</v>
      </c>
      <c r="FH29" s="92"/>
      <c r="FI29" s="89"/>
      <c r="FJ29" s="89"/>
      <c r="FK29" s="89"/>
      <c r="FL29" s="89"/>
      <c r="FM29" s="89"/>
      <c r="FN29" s="89"/>
      <c r="FO29" s="89"/>
      <c r="FP29" s="89"/>
      <c r="FQ29" s="89"/>
      <c r="FR29" s="89"/>
      <c r="FS29" s="89"/>
      <c r="FT29" s="89"/>
      <c r="FU29" s="89"/>
      <c r="FV29" s="89"/>
      <c r="FW29" s="89"/>
      <c r="FX29" s="89"/>
      <c r="FY29" s="89"/>
      <c r="FZ29" s="89"/>
      <c r="GA29" s="89"/>
      <c r="GB29" s="89"/>
      <c r="GC29" s="89"/>
      <c r="GD29" s="89"/>
      <c r="GE29" s="89"/>
      <c r="GF29" s="89"/>
      <c r="GG29" s="89"/>
      <c r="GH29" s="89"/>
      <c r="GI29" s="89"/>
      <c r="GJ29" s="89"/>
      <c r="GK29" s="89"/>
      <c r="GL29" s="89"/>
      <c r="GM29" s="91"/>
      <c r="GN29" s="53" cm="1">
        <f t="array" ref="GN29">Bin2DecRange($FH29:$GM29)</f>
        <v>0</v>
      </c>
      <c r="GO29" s="127" t="str">
        <f t="shared" si="10"/>
        <v>RO_Data[1].ACT5[</v>
      </c>
      <c r="GP29" s="52">
        <f t="shared" si="21"/>
        <v>24</v>
      </c>
      <c r="GQ29" s="55" t="s">
        <v>22</v>
      </c>
      <c r="GR29" s="92"/>
      <c r="GS29" s="89"/>
      <c r="GT29" s="89"/>
      <c r="GU29" s="89"/>
      <c r="GV29" s="89"/>
      <c r="GW29" s="89"/>
      <c r="GX29" s="89"/>
      <c r="GY29" s="89"/>
      <c r="GZ29" s="89"/>
      <c r="HA29" s="89"/>
      <c r="HB29" s="89"/>
      <c r="HC29" s="89"/>
      <c r="HD29" s="89"/>
      <c r="HE29" s="89"/>
      <c r="HF29" s="89"/>
      <c r="HG29" s="89"/>
      <c r="HH29" s="89"/>
      <c r="HI29" s="89"/>
      <c r="HJ29" s="89"/>
      <c r="HK29" s="89"/>
      <c r="HL29" s="89"/>
      <c r="HM29" s="89"/>
      <c r="HN29" s="89"/>
      <c r="HO29" s="89"/>
      <c r="HP29" s="89"/>
      <c r="HQ29" s="89"/>
      <c r="HR29" s="89"/>
      <c r="HS29" s="89"/>
      <c r="HT29" s="89"/>
      <c r="HU29" s="89"/>
      <c r="HV29" s="89"/>
      <c r="HW29" s="91"/>
      <c r="HX29" s="53" cm="1">
        <f t="array" ref="HX29">Bin2DecRange($GR29:$HW29)</f>
        <v>0</v>
      </c>
      <c r="HY29" s="127" t="str">
        <f t="shared" si="11"/>
        <v>RO_Data[1].ACT6[</v>
      </c>
      <c r="HZ29" s="52">
        <f t="shared" si="22"/>
        <v>24</v>
      </c>
      <c r="IA29" s="55" t="s">
        <v>22</v>
      </c>
      <c r="IB29" s="54"/>
      <c r="IC29" s="127" t="str">
        <f t="shared" si="12"/>
        <v>RO_Data[1].STEP_DESC[</v>
      </c>
      <c r="ID29" s="26">
        <f t="shared" si="23"/>
        <v>24</v>
      </c>
      <c r="IE29" s="99" t="s">
        <v>22</v>
      </c>
    </row>
  </sheetData>
  <mergeCells count="51">
    <mergeCell ref="H4:J4"/>
    <mergeCell ref="L4:N4"/>
    <mergeCell ref="P4:R4"/>
    <mergeCell ref="C1:F1"/>
    <mergeCell ref="D2:F2"/>
    <mergeCell ref="D3:F3"/>
    <mergeCell ref="D4:F4"/>
    <mergeCell ref="H2:J2"/>
    <mergeCell ref="L2:N2"/>
    <mergeCell ref="P2:R2"/>
    <mergeCell ref="H3:J3"/>
    <mergeCell ref="L3:N3"/>
    <mergeCell ref="P3:R3"/>
    <mergeCell ref="IB1:IE1"/>
    <mergeCell ref="A1:B1"/>
    <mergeCell ref="DX1:FG1"/>
    <mergeCell ref="T1:BC1"/>
    <mergeCell ref="BD1:CM1"/>
    <mergeCell ref="CN1:DW1"/>
    <mergeCell ref="FH1:GQ1"/>
    <mergeCell ref="GR1:IA1"/>
    <mergeCell ref="G1:J1"/>
    <mergeCell ref="K1:N1"/>
    <mergeCell ref="O1:R1"/>
    <mergeCell ref="FE4:FG4"/>
    <mergeCell ref="BA4:BC4"/>
    <mergeCell ref="IC4:IE4"/>
    <mergeCell ref="CK4:CM4"/>
    <mergeCell ref="DU4:DW4"/>
    <mergeCell ref="GO4:GQ4"/>
    <mergeCell ref="HY4:IA4"/>
    <mergeCell ref="BA2:BC2"/>
    <mergeCell ref="FE2:FG2"/>
    <mergeCell ref="IC2:IE2"/>
    <mergeCell ref="CK2:CM2"/>
    <mergeCell ref="DU2:DW2"/>
    <mergeCell ref="GO2:GQ2"/>
    <mergeCell ref="HY2:IA2"/>
    <mergeCell ref="IC3:IE3"/>
    <mergeCell ref="T3:AY3"/>
    <mergeCell ref="BA3:BC3"/>
    <mergeCell ref="FE3:FG3"/>
    <mergeCell ref="DX3:FC3"/>
    <mergeCell ref="BD3:CI3"/>
    <mergeCell ref="CK3:CM3"/>
    <mergeCell ref="CN3:DS3"/>
    <mergeCell ref="DU3:DW3"/>
    <mergeCell ref="FH3:GM3"/>
    <mergeCell ref="GO3:GQ3"/>
    <mergeCell ref="GR3:HW3"/>
    <mergeCell ref="HY3:IA3"/>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E5C555-455B-48D2-84DC-510A0CE98FB4}">
          <x14:formula1>
            <xm:f>'Main Program'!$B$32:$B$37</xm:f>
          </x14:formula1>
          <xm:sqref>AZ3 C3 FD3 K3 G3 HX3 GN3 DT3 CJ3 IB3 O3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DD47C-7185-4A8E-AD07-A1A3C96AFAE9}">
  <sheetPr codeName="Sheet3"/>
  <dimension ref="A1:IE104"/>
  <sheetViews>
    <sheetView zoomScale="80" zoomScaleNormal="80" workbookViewId="0">
      <pane xSplit="2" ySplit="4" topLeftCell="C5" activePane="bottomRight" state="frozen"/>
      <selection pane="topRight" activeCell="C1" sqref="C1"/>
      <selection pane="bottomLeft" activeCell="A5" sqref="A5"/>
      <selection pane="bottomRight" activeCell="H17" sqref="H17"/>
    </sheetView>
  </sheetViews>
  <sheetFormatPr defaultRowHeight="15" x14ac:dyDescent="0.25"/>
  <cols>
    <col min="1" max="1" width="6.7109375" style="72" bestFit="1" customWidth="1"/>
    <col min="2" max="2" width="46.85546875" style="72" customWidth="1"/>
    <col min="3" max="3" width="24.5703125" style="72" customWidth="1"/>
    <col min="4" max="4" width="22.5703125" style="72" customWidth="1"/>
    <col min="5" max="5" width="4.42578125" style="25" bestFit="1" customWidth="1"/>
    <col min="6" max="6" width="1.85546875" style="72" customWidth="1"/>
    <col min="7" max="7" width="12.42578125" style="72" customWidth="1"/>
    <col min="8" max="8" width="17.140625" style="72" customWidth="1"/>
    <col min="9" max="9" width="4.42578125" style="25" bestFit="1" customWidth="1"/>
    <col min="10" max="10" width="1.7109375" style="72" customWidth="1"/>
    <col min="11" max="11" width="12.42578125" style="72" customWidth="1"/>
    <col min="12" max="12" width="16.42578125" style="72" customWidth="1"/>
    <col min="13" max="13" width="4.42578125" style="25" bestFit="1" customWidth="1"/>
    <col min="14" max="14" width="1.7109375" style="72" customWidth="1"/>
    <col min="15" max="15" width="12.5703125" style="72" customWidth="1"/>
    <col min="16" max="16" width="22.140625" style="72" customWidth="1"/>
    <col min="17" max="17" width="4.42578125" style="25" bestFit="1" customWidth="1"/>
    <col min="18" max="18" width="2" style="72" bestFit="1" customWidth="1"/>
    <col min="19" max="19" width="3.5703125" style="72" customWidth="1"/>
    <col min="20" max="24" width="3" style="25" customWidth="1"/>
    <col min="25" max="27" width="3" style="59" customWidth="1"/>
    <col min="28" max="51" width="3" style="25" customWidth="1"/>
    <col min="52" max="52" width="12.7109375" style="72" bestFit="1" customWidth="1"/>
    <col min="53" max="53" width="20.140625" style="72" bestFit="1" customWidth="1"/>
    <col min="54" max="54" width="4.42578125" style="25" bestFit="1" customWidth="1"/>
    <col min="55" max="55" width="1.7109375" style="72" bestFit="1" customWidth="1"/>
    <col min="56" max="87" width="3" style="25" customWidth="1"/>
    <col min="88" max="88" width="11.85546875" style="72" bestFit="1" customWidth="1"/>
    <col min="89" max="89" width="19.7109375" style="72" bestFit="1" customWidth="1"/>
    <col min="90" max="90" width="4.42578125" style="25" bestFit="1" customWidth="1"/>
    <col min="91" max="91" width="1.7109375" style="72" bestFit="1" customWidth="1"/>
    <col min="92" max="123" width="3" style="25" customWidth="1"/>
    <col min="124" max="124" width="11.85546875" style="72" bestFit="1" customWidth="1"/>
    <col min="125" max="125" width="19.7109375" style="72" bestFit="1" customWidth="1"/>
    <col min="126" max="126" width="4.42578125" style="25" bestFit="1" customWidth="1"/>
    <col min="127" max="127" width="1.7109375" style="72" bestFit="1" customWidth="1"/>
    <col min="128" max="142" width="3" style="25" customWidth="1"/>
    <col min="143" max="143" width="3.140625" style="25" bestFit="1" customWidth="1"/>
    <col min="144" max="159" width="3" style="25" customWidth="1"/>
    <col min="160" max="160" width="11.5703125" style="72" bestFit="1" customWidth="1"/>
    <col min="161" max="161" width="17.85546875" style="72" bestFit="1" customWidth="1"/>
    <col min="162" max="162" width="4.42578125" style="25" bestFit="1" customWidth="1"/>
    <col min="163" max="163" width="1.85546875" style="72" bestFit="1" customWidth="1"/>
    <col min="164" max="178" width="3" style="25" customWidth="1"/>
    <col min="179" max="179" width="3.140625" style="25" bestFit="1" customWidth="1"/>
    <col min="180" max="195" width="3" style="25" customWidth="1"/>
    <col min="196" max="196" width="10.7109375" style="72" bestFit="1" customWidth="1"/>
    <col min="197" max="197" width="17.85546875" style="72" bestFit="1" customWidth="1"/>
    <col min="198" max="198" width="4.42578125" style="25" bestFit="1" customWidth="1"/>
    <col min="199" max="199" width="1.85546875" style="72" bestFit="1" customWidth="1"/>
    <col min="200" max="214" width="3" style="25" customWidth="1"/>
    <col min="215" max="215" width="3.140625" style="25" bestFit="1" customWidth="1"/>
    <col min="216" max="231" width="3" style="25" customWidth="1"/>
    <col min="232" max="232" width="10.7109375" style="72" bestFit="1" customWidth="1"/>
    <col min="233" max="233" width="17.85546875" style="72" bestFit="1" customWidth="1"/>
    <col min="234" max="234" width="4.42578125" style="25" bestFit="1" customWidth="1"/>
    <col min="235" max="235" width="1.85546875" style="72" bestFit="1" customWidth="1"/>
    <col min="236" max="236" width="55.28515625" style="72" customWidth="1"/>
    <col min="237" max="237" width="23.140625" style="72" bestFit="1" customWidth="1"/>
    <col min="238" max="238" width="4.42578125" style="25" bestFit="1" customWidth="1"/>
    <col min="239" max="239" width="1.85546875" style="72" bestFit="1" customWidth="1"/>
    <col min="240" max="16384" width="9.140625" style="72"/>
  </cols>
  <sheetData>
    <row r="1" spans="1:239" ht="15.75" customHeight="1" thickBot="1" x14ac:dyDescent="0.3">
      <c r="A1" s="216" t="s">
        <v>134</v>
      </c>
      <c r="B1" s="196"/>
      <c r="C1" s="196" t="s">
        <v>123</v>
      </c>
      <c r="D1" s="214"/>
      <c r="E1" s="214"/>
      <c r="F1" s="215"/>
      <c r="G1" s="196" t="s">
        <v>124</v>
      </c>
      <c r="H1" s="214"/>
      <c r="I1" s="214"/>
      <c r="J1" s="215"/>
      <c r="K1" s="196" t="s">
        <v>125</v>
      </c>
      <c r="L1" s="214"/>
      <c r="M1" s="214"/>
      <c r="N1" s="215"/>
      <c r="O1" s="196" t="s">
        <v>126</v>
      </c>
      <c r="P1" s="214"/>
      <c r="Q1" s="214"/>
      <c r="R1" s="215"/>
      <c r="S1" s="76"/>
      <c r="T1" s="217" t="s">
        <v>127</v>
      </c>
      <c r="U1" s="217"/>
      <c r="V1" s="217"/>
      <c r="W1" s="217"/>
      <c r="X1" s="217"/>
      <c r="Y1" s="217"/>
      <c r="Z1" s="217"/>
      <c r="AA1" s="217"/>
      <c r="AB1" s="217"/>
      <c r="AC1" s="217"/>
      <c r="AD1" s="217"/>
      <c r="AE1" s="217"/>
      <c r="AF1" s="217"/>
      <c r="AG1" s="217"/>
      <c r="AH1" s="217"/>
      <c r="AI1" s="217"/>
      <c r="AJ1" s="217"/>
      <c r="AK1" s="217"/>
      <c r="AL1" s="217"/>
      <c r="AM1" s="217"/>
      <c r="AN1" s="217"/>
      <c r="AO1" s="217"/>
      <c r="AP1" s="217"/>
      <c r="AQ1" s="217"/>
      <c r="AR1" s="217"/>
      <c r="AS1" s="217"/>
      <c r="AT1" s="217"/>
      <c r="AU1" s="217"/>
      <c r="AV1" s="217"/>
      <c r="AW1" s="217"/>
      <c r="AX1" s="217"/>
      <c r="AY1" s="217"/>
      <c r="AZ1" s="217"/>
      <c r="BA1" s="217"/>
      <c r="BB1" s="217"/>
      <c r="BC1" s="217"/>
      <c r="BD1" s="217" t="s">
        <v>128</v>
      </c>
      <c r="BE1" s="217"/>
      <c r="BF1" s="217"/>
      <c r="BG1" s="217"/>
      <c r="BH1" s="217"/>
      <c r="BI1" s="217"/>
      <c r="BJ1" s="217"/>
      <c r="BK1" s="217"/>
      <c r="BL1" s="217"/>
      <c r="BM1" s="217"/>
      <c r="BN1" s="217"/>
      <c r="BO1" s="217"/>
      <c r="BP1" s="217"/>
      <c r="BQ1" s="217"/>
      <c r="BR1" s="217"/>
      <c r="BS1" s="217"/>
      <c r="BT1" s="217"/>
      <c r="BU1" s="217"/>
      <c r="BV1" s="217"/>
      <c r="BW1" s="217"/>
      <c r="BX1" s="217"/>
      <c r="BY1" s="217"/>
      <c r="BZ1" s="217"/>
      <c r="CA1" s="217"/>
      <c r="CB1" s="217"/>
      <c r="CC1" s="217"/>
      <c r="CD1" s="217"/>
      <c r="CE1" s="217"/>
      <c r="CF1" s="217"/>
      <c r="CG1" s="217"/>
      <c r="CH1" s="217"/>
      <c r="CI1" s="217"/>
      <c r="CJ1" s="217"/>
      <c r="CK1" s="217"/>
      <c r="CL1" s="217"/>
      <c r="CM1" s="217"/>
      <c r="CN1" s="217" t="s">
        <v>129</v>
      </c>
      <c r="CO1" s="217"/>
      <c r="CP1" s="217"/>
      <c r="CQ1" s="217"/>
      <c r="CR1" s="217"/>
      <c r="CS1" s="217"/>
      <c r="CT1" s="217"/>
      <c r="CU1" s="217"/>
      <c r="CV1" s="217"/>
      <c r="CW1" s="217"/>
      <c r="CX1" s="217"/>
      <c r="CY1" s="217"/>
      <c r="CZ1" s="217"/>
      <c r="DA1" s="217"/>
      <c r="DB1" s="217"/>
      <c r="DC1" s="217"/>
      <c r="DD1" s="217"/>
      <c r="DE1" s="217"/>
      <c r="DF1" s="217"/>
      <c r="DG1" s="217"/>
      <c r="DH1" s="217"/>
      <c r="DI1" s="217"/>
      <c r="DJ1" s="217"/>
      <c r="DK1" s="217"/>
      <c r="DL1" s="217"/>
      <c r="DM1" s="217"/>
      <c r="DN1" s="217"/>
      <c r="DO1" s="217"/>
      <c r="DP1" s="217"/>
      <c r="DQ1" s="217"/>
      <c r="DR1" s="217"/>
      <c r="DS1" s="217"/>
      <c r="DT1" s="217"/>
      <c r="DU1" s="217"/>
      <c r="DV1" s="217"/>
      <c r="DW1" s="217"/>
      <c r="DX1" s="196" t="s">
        <v>130</v>
      </c>
      <c r="DY1" s="196"/>
      <c r="DZ1" s="196"/>
      <c r="EA1" s="196"/>
      <c r="EB1" s="196"/>
      <c r="EC1" s="196"/>
      <c r="ED1" s="196"/>
      <c r="EE1" s="196"/>
      <c r="EF1" s="196"/>
      <c r="EG1" s="196"/>
      <c r="EH1" s="196"/>
      <c r="EI1" s="196"/>
      <c r="EJ1" s="196"/>
      <c r="EK1" s="196"/>
      <c r="EL1" s="196"/>
      <c r="EM1" s="196"/>
      <c r="EN1" s="196"/>
      <c r="EO1" s="196"/>
      <c r="EP1" s="196"/>
      <c r="EQ1" s="196"/>
      <c r="ER1" s="196"/>
      <c r="ES1" s="196"/>
      <c r="ET1" s="196"/>
      <c r="EU1" s="196"/>
      <c r="EV1" s="196"/>
      <c r="EW1" s="196"/>
      <c r="EX1" s="196"/>
      <c r="EY1" s="196"/>
      <c r="EZ1" s="196"/>
      <c r="FA1" s="196"/>
      <c r="FB1" s="196"/>
      <c r="FC1" s="196"/>
      <c r="FD1" s="196"/>
      <c r="FE1" s="196"/>
      <c r="FF1" s="196"/>
      <c r="FG1" s="196"/>
      <c r="FH1" s="196" t="s">
        <v>131</v>
      </c>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t="s">
        <v>132</v>
      </c>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t="s">
        <v>133</v>
      </c>
      <c r="IC1" s="214"/>
      <c r="ID1" s="214"/>
      <c r="IE1" s="215"/>
    </row>
    <row r="2" spans="1:239" ht="312.75" thickBot="1" x14ac:dyDescent="0.3">
      <c r="A2" s="1"/>
      <c r="B2" s="2" t="s">
        <v>51</v>
      </c>
      <c r="C2" s="4" t="s">
        <v>109</v>
      </c>
      <c r="D2" s="209"/>
      <c r="E2" s="207"/>
      <c r="F2" s="208"/>
      <c r="G2" s="102" t="s">
        <v>107</v>
      </c>
      <c r="H2" s="218"/>
      <c r="I2" s="181"/>
      <c r="J2" s="182"/>
      <c r="K2" s="102" t="s">
        <v>110</v>
      </c>
      <c r="L2" s="218"/>
      <c r="M2" s="181"/>
      <c r="N2" s="226"/>
      <c r="O2" s="4" t="s">
        <v>106</v>
      </c>
      <c r="P2" s="219"/>
      <c r="Q2" s="181"/>
      <c r="R2" s="182"/>
      <c r="S2" s="103" t="s">
        <v>135</v>
      </c>
      <c r="T2" s="13" t="s">
        <v>24</v>
      </c>
      <c r="U2" s="14" t="s">
        <v>25</v>
      </c>
      <c r="V2" s="14"/>
      <c r="W2" s="14" t="s">
        <v>26</v>
      </c>
      <c r="X2" s="14" t="s">
        <v>27</v>
      </c>
      <c r="Y2" s="56" t="s">
        <v>136</v>
      </c>
      <c r="Z2" s="56" t="s">
        <v>137</v>
      </c>
      <c r="AA2" s="56" t="s">
        <v>138</v>
      </c>
      <c r="AB2" s="14" t="s">
        <v>28</v>
      </c>
      <c r="AC2" s="14" t="s">
        <v>29</v>
      </c>
      <c r="AD2" s="14" t="s">
        <v>30</v>
      </c>
      <c r="AE2" s="71" t="s">
        <v>31</v>
      </c>
      <c r="AF2" s="71" t="s">
        <v>139</v>
      </c>
      <c r="AG2" s="71" t="s">
        <v>32</v>
      </c>
      <c r="AH2" s="71" t="s">
        <v>33</v>
      </c>
      <c r="AI2" s="71" t="s">
        <v>34</v>
      </c>
      <c r="AJ2" s="71" t="s">
        <v>35</v>
      </c>
      <c r="AK2" s="71" t="s">
        <v>36</v>
      </c>
      <c r="AL2" s="71" t="s">
        <v>37</v>
      </c>
      <c r="AM2" s="71" t="s">
        <v>38</v>
      </c>
      <c r="AN2" s="71" t="s">
        <v>39</v>
      </c>
      <c r="AO2" s="71" t="s">
        <v>40</v>
      </c>
      <c r="AP2" s="71" t="s">
        <v>41</v>
      </c>
      <c r="AQ2" s="71" t="s">
        <v>42</v>
      </c>
      <c r="AR2" s="71" t="s">
        <v>43</v>
      </c>
      <c r="AS2" s="71" t="s">
        <v>44</v>
      </c>
      <c r="AT2" s="71" t="s">
        <v>45</v>
      </c>
      <c r="AU2" s="71" t="s">
        <v>46</v>
      </c>
      <c r="AV2" s="71" t="s">
        <v>47</v>
      </c>
      <c r="AW2" s="14" t="s">
        <v>48</v>
      </c>
      <c r="AX2" s="14" t="s">
        <v>49</v>
      </c>
      <c r="AY2" s="15" t="s">
        <v>50</v>
      </c>
      <c r="AZ2" s="2"/>
      <c r="BA2" s="205"/>
      <c r="BB2" s="197"/>
      <c r="BC2" s="198"/>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205"/>
      <c r="CL2" s="197"/>
      <c r="CM2" s="198"/>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205"/>
      <c r="DV2" s="197"/>
      <c r="DW2" s="198"/>
      <c r="DX2" s="48" t="s">
        <v>149</v>
      </c>
      <c r="DY2" s="44" t="s">
        <v>150</v>
      </c>
      <c r="DZ2" s="44" t="s">
        <v>151</v>
      </c>
      <c r="EA2" s="44" t="s">
        <v>152</v>
      </c>
      <c r="EB2" s="44" t="s">
        <v>153</v>
      </c>
      <c r="EC2" s="44" t="s">
        <v>154</v>
      </c>
      <c r="ED2" s="44" t="s">
        <v>155</v>
      </c>
      <c r="EE2" s="44" t="s">
        <v>156</v>
      </c>
      <c r="EF2" s="44" t="s">
        <v>157</v>
      </c>
      <c r="EG2" s="44" t="s">
        <v>158</v>
      </c>
      <c r="EH2" s="44" t="s">
        <v>159</v>
      </c>
      <c r="EI2" s="44" t="s">
        <v>160</v>
      </c>
      <c r="EJ2" s="44" t="s">
        <v>161</v>
      </c>
      <c r="EK2" s="44"/>
      <c r="EL2" s="44"/>
      <c r="EM2" s="44" t="s">
        <v>162</v>
      </c>
      <c r="EN2" s="44" t="s">
        <v>163</v>
      </c>
      <c r="EO2" s="44" t="s">
        <v>164</v>
      </c>
      <c r="EP2" s="44" t="s">
        <v>165</v>
      </c>
      <c r="EQ2" s="44" t="s">
        <v>166</v>
      </c>
      <c r="ER2" s="44"/>
      <c r="ES2" s="44"/>
      <c r="ET2" s="44" t="s">
        <v>167</v>
      </c>
      <c r="EU2" s="44"/>
      <c r="EV2" s="44"/>
      <c r="EW2" s="44"/>
      <c r="EX2" s="44"/>
      <c r="EY2" s="44" t="s">
        <v>168</v>
      </c>
      <c r="EZ2" s="44" t="s">
        <v>169</v>
      </c>
      <c r="FA2" s="44" t="s">
        <v>170</v>
      </c>
      <c r="FB2" s="44" t="s">
        <v>171</v>
      </c>
      <c r="FC2" s="45" t="s">
        <v>172</v>
      </c>
      <c r="FD2" s="2"/>
      <c r="FE2" s="206"/>
      <c r="FF2" s="207"/>
      <c r="FG2" s="208"/>
      <c r="FH2" s="101" t="s">
        <v>173</v>
      </c>
      <c r="FI2" s="44" t="s">
        <v>174</v>
      </c>
      <c r="FJ2" s="44" t="s">
        <v>175</v>
      </c>
      <c r="FK2" s="44" t="s">
        <v>176</v>
      </c>
      <c r="FL2" s="44" t="s">
        <v>177</v>
      </c>
      <c r="FM2" s="44"/>
      <c r="FN2" s="44"/>
      <c r="FO2" s="44"/>
      <c r="FP2" s="44"/>
      <c r="FQ2" s="44"/>
      <c r="FR2" s="44"/>
      <c r="FS2" s="44"/>
      <c r="FT2" s="44"/>
      <c r="FU2" s="44"/>
      <c r="FV2" s="44"/>
      <c r="FW2" s="44"/>
      <c r="FX2" s="44"/>
      <c r="FY2" s="44"/>
      <c r="FZ2" s="44"/>
      <c r="GA2" s="44"/>
      <c r="GB2" s="44"/>
      <c r="GC2" s="44"/>
      <c r="GD2" s="44"/>
      <c r="GE2" s="44" t="s">
        <v>178</v>
      </c>
      <c r="GF2" s="44" t="s">
        <v>179</v>
      </c>
      <c r="GG2" s="44" t="s">
        <v>180</v>
      </c>
      <c r="GH2" s="44" t="s">
        <v>181</v>
      </c>
      <c r="GI2" s="44" t="s">
        <v>182</v>
      </c>
      <c r="GJ2" s="44" t="s">
        <v>183</v>
      </c>
      <c r="GK2" s="44" t="s">
        <v>184</v>
      </c>
      <c r="GL2" s="44" t="s">
        <v>185</v>
      </c>
      <c r="GM2" s="45" t="s">
        <v>186</v>
      </c>
      <c r="GN2" s="2"/>
      <c r="GO2" s="206"/>
      <c r="GP2" s="207"/>
      <c r="GQ2" s="208"/>
      <c r="GR2" s="101"/>
      <c r="GS2" s="44" t="s">
        <v>187</v>
      </c>
      <c r="GT2" s="44" t="s">
        <v>188</v>
      </c>
      <c r="GU2" s="44" t="s">
        <v>189</v>
      </c>
      <c r="GV2" s="44" t="s">
        <v>190</v>
      </c>
      <c r="GW2" s="44" t="s">
        <v>191</v>
      </c>
      <c r="GX2" s="44" t="s">
        <v>192</v>
      </c>
      <c r="GY2" s="44" t="s">
        <v>193</v>
      </c>
      <c r="GZ2" s="44"/>
      <c r="HA2" s="44"/>
      <c r="HB2" s="44"/>
      <c r="HC2" s="44"/>
      <c r="HD2" s="44"/>
      <c r="HE2" s="44"/>
      <c r="HF2" s="44"/>
      <c r="HG2" s="44"/>
      <c r="HH2" s="44"/>
      <c r="HI2" s="44"/>
      <c r="HJ2" s="44" t="s">
        <v>194</v>
      </c>
      <c r="HK2" s="44" t="s">
        <v>195</v>
      </c>
      <c r="HL2" s="44" t="s">
        <v>196</v>
      </c>
      <c r="HM2" s="44" t="s">
        <v>197</v>
      </c>
      <c r="HN2" s="44" t="s">
        <v>198</v>
      </c>
      <c r="HO2" s="44" t="s">
        <v>199</v>
      </c>
      <c r="HP2" s="44"/>
      <c r="HQ2" s="44"/>
      <c r="HR2" s="44" t="s">
        <v>200</v>
      </c>
      <c r="HS2" s="44" t="s">
        <v>201</v>
      </c>
      <c r="HT2" s="44" t="s">
        <v>202</v>
      </c>
      <c r="HU2" s="44" t="s">
        <v>203</v>
      </c>
      <c r="HV2" s="44" t="s">
        <v>204</v>
      </c>
      <c r="HW2" s="45" t="s">
        <v>205</v>
      </c>
      <c r="HX2" s="2"/>
      <c r="HY2" s="206"/>
      <c r="HZ2" s="207"/>
      <c r="IA2" s="207"/>
      <c r="IB2" s="4" t="s">
        <v>18</v>
      </c>
      <c r="IC2" s="209"/>
      <c r="ID2" s="207"/>
      <c r="IE2" s="208"/>
    </row>
    <row r="3" spans="1:239" ht="15.75" customHeight="1" thickBot="1" x14ac:dyDescent="0.3">
      <c r="A3" s="114" t="s">
        <v>19</v>
      </c>
      <c r="B3" s="114"/>
      <c r="C3" s="114" t="s">
        <v>17</v>
      </c>
      <c r="D3" s="196" t="s">
        <v>20</v>
      </c>
      <c r="E3" s="197"/>
      <c r="F3" s="198"/>
      <c r="G3" s="115" t="s">
        <v>15</v>
      </c>
      <c r="H3" s="201" t="s">
        <v>20</v>
      </c>
      <c r="I3" s="197"/>
      <c r="J3" s="198"/>
      <c r="K3" s="115" t="s">
        <v>15</v>
      </c>
      <c r="L3" s="201" t="s">
        <v>20</v>
      </c>
      <c r="M3" s="197"/>
      <c r="N3" s="198"/>
      <c r="O3" s="114" t="s">
        <v>15</v>
      </c>
      <c r="P3" s="196" t="s">
        <v>20</v>
      </c>
      <c r="Q3" s="197"/>
      <c r="R3" s="198"/>
      <c r="S3" s="103"/>
      <c r="T3" s="224"/>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8"/>
      <c r="AZ3" s="114" t="s">
        <v>423</v>
      </c>
      <c r="BA3" s="201" t="s">
        <v>20</v>
      </c>
      <c r="BB3" s="197"/>
      <c r="BC3" s="198"/>
      <c r="BD3" s="224"/>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8"/>
      <c r="CJ3" s="141" t="s">
        <v>423</v>
      </c>
      <c r="CK3" s="201" t="s">
        <v>20</v>
      </c>
      <c r="CL3" s="197"/>
      <c r="CM3" s="198"/>
      <c r="CN3" s="224"/>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8"/>
      <c r="DT3" s="141" t="s">
        <v>423</v>
      </c>
      <c r="DU3" s="201" t="s">
        <v>20</v>
      </c>
      <c r="DV3" s="197"/>
      <c r="DW3" s="198"/>
      <c r="DX3" s="225"/>
      <c r="DY3" s="203"/>
      <c r="DZ3" s="203"/>
      <c r="EA3" s="203"/>
      <c r="EB3" s="203"/>
      <c r="EC3" s="203"/>
      <c r="ED3" s="203"/>
      <c r="EE3" s="203"/>
      <c r="EF3" s="203"/>
      <c r="EG3" s="203"/>
      <c r="EH3" s="203"/>
      <c r="EI3" s="203"/>
      <c r="EJ3" s="203"/>
      <c r="EK3" s="203"/>
      <c r="EL3" s="203"/>
      <c r="EM3" s="203"/>
      <c r="EN3" s="203"/>
      <c r="EO3" s="203"/>
      <c r="EP3" s="203"/>
      <c r="EQ3" s="203"/>
      <c r="ER3" s="203"/>
      <c r="ES3" s="203"/>
      <c r="ET3" s="203"/>
      <c r="EU3" s="203"/>
      <c r="EV3" s="203"/>
      <c r="EW3" s="203"/>
      <c r="EX3" s="203"/>
      <c r="EY3" s="203"/>
      <c r="EZ3" s="203"/>
      <c r="FA3" s="203"/>
      <c r="FB3" s="203"/>
      <c r="FC3" s="204"/>
      <c r="FD3" s="141" t="s">
        <v>423</v>
      </c>
      <c r="FE3" s="201" t="s">
        <v>20</v>
      </c>
      <c r="FF3" s="197"/>
      <c r="FG3" s="198"/>
      <c r="FH3" s="202"/>
      <c r="FI3" s="203"/>
      <c r="FJ3" s="203"/>
      <c r="FK3" s="203"/>
      <c r="FL3" s="203"/>
      <c r="FM3" s="203"/>
      <c r="FN3" s="203"/>
      <c r="FO3" s="203"/>
      <c r="FP3" s="203"/>
      <c r="FQ3" s="203"/>
      <c r="FR3" s="203"/>
      <c r="FS3" s="203"/>
      <c r="FT3" s="203"/>
      <c r="FU3" s="203"/>
      <c r="FV3" s="203"/>
      <c r="FW3" s="203"/>
      <c r="FX3" s="203"/>
      <c r="FY3" s="203"/>
      <c r="FZ3" s="203"/>
      <c r="GA3" s="203"/>
      <c r="GB3" s="203"/>
      <c r="GC3" s="203"/>
      <c r="GD3" s="203"/>
      <c r="GE3" s="203"/>
      <c r="GF3" s="203"/>
      <c r="GG3" s="203"/>
      <c r="GH3" s="203"/>
      <c r="GI3" s="203"/>
      <c r="GJ3" s="203"/>
      <c r="GK3" s="203"/>
      <c r="GL3" s="203"/>
      <c r="GM3" s="204"/>
      <c r="GN3" s="141" t="s">
        <v>423</v>
      </c>
      <c r="GO3" s="201" t="s">
        <v>20</v>
      </c>
      <c r="GP3" s="197"/>
      <c r="GQ3" s="198"/>
      <c r="GR3" s="202"/>
      <c r="GS3" s="203"/>
      <c r="GT3" s="203"/>
      <c r="GU3" s="203"/>
      <c r="GV3" s="203"/>
      <c r="GW3" s="203"/>
      <c r="GX3" s="203"/>
      <c r="GY3" s="203"/>
      <c r="GZ3" s="203"/>
      <c r="HA3" s="203"/>
      <c r="HB3" s="203"/>
      <c r="HC3" s="203"/>
      <c r="HD3" s="203"/>
      <c r="HE3" s="203"/>
      <c r="HF3" s="203"/>
      <c r="HG3" s="203"/>
      <c r="HH3" s="203"/>
      <c r="HI3" s="203"/>
      <c r="HJ3" s="203"/>
      <c r="HK3" s="203"/>
      <c r="HL3" s="203"/>
      <c r="HM3" s="203"/>
      <c r="HN3" s="203"/>
      <c r="HO3" s="203"/>
      <c r="HP3" s="203"/>
      <c r="HQ3" s="203"/>
      <c r="HR3" s="203"/>
      <c r="HS3" s="203"/>
      <c r="HT3" s="203"/>
      <c r="HU3" s="203"/>
      <c r="HV3" s="203"/>
      <c r="HW3" s="204"/>
      <c r="HX3" s="141" t="s">
        <v>423</v>
      </c>
      <c r="HY3" s="201" t="s">
        <v>20</v>
      </c>
      <c r="HZ3" s="197"/>
      <c r="IA3" s="198"/>
      <c r="IB3" s="114" t="s">
        <v>17</v>
      </c>
      <c r="IC3" s="196" t="s">
        <v>20</v>
      </c>
      <c r="ID3" s="197"/>
      <c r="IE3" s="198"/>
    </row>
    <row r="4" spans="1:239" x14ac:dyDescent="0.25">
      <c r="A4" s="120" t="s">
        <v>21</v>
      </c>
      <c r="B4" s="120" t="s">
        <v>18</v>
      </c>
      <c r="C4" s="121"/>
      <c r="D4" s="220"/>
      <c r="E4" s="221"/>
      <c r="F4" s="223"/>
      <c r="G4" s="122"/>
      <c r="H4" s="220"/>
      <c r="I4" s="221"/>
      <c r="J4" s="223"/>
      <c r="K4" s="122"/>
      <c r="L4" s="220"/>
      <c r="M4" s="221"/>
      <c r="N4" s="222"/>
      <c r="O4" s="123"/>
      <c r="P4" s="220"/>
      <c r="Q4" s="221"/>
      <c r="R4" s="223"/>
      <c r="S4" s="124"/>
      <c r="T4" s="125">
        <v>31</v>
      </c>
      <c r="U4" s="46">
        <v>30</v>
      </c>
      <c r="V4" s="46">
        <v>29</v>
      </c>
      <c r="W4" s="46">
        <v>28</v>
      </c>
      <c r="X4" s="46">
        <v>27</v>
      </c>
      <c r="Y4" s="126">
        <v>26</v>
      </c>
      <c r="Z4" s="126">
        <v>25</v>
      </c>
      <c r="AA4" s="126">
        <v>24</v>
      </c>
      <c r="AB4" s="46">
        <v>23</v>
      </c>
      <c r="AC4" s="46">
        <v>22</v>
      </c>
      <c r="AD4" s="46">
        <v>21</v>
      </c>
      <c r="AE4" s="46">
        <v>20</v>
      </c>
      <c r="AF4" s="46">
        <v>19</v>
      </c>
      <c r="AG4" s="46">
        <v>18</v>
      </c>
      <c r="AH4" s="46">
        <v>17</v>
      </c>
      <c r="AI4" s="46">
        <v>16</v>
      </c>
      <c r="AJ4" s="46">
        <v>15</v>
      </c>
      <c r="AK4" s="46">
        <v>14</v>
      </c>
      <c r="AL4" s="46">
        <v>13</v>
      </c>
      <c r="AM4" s="46">
        <v>12</v>
      </c>
      <c r="AN4" s="46">
        <v>11</v>
      </c>
      <c r="AO4" s="46">
        <v>10</v>
      </c>
      <c r="AP4" s="46">
        <v>9</v>
      </c>
      <c r="AQ4" s="46">
        <v>8</v>
      </c>
      <c r="AR4" s="46">
        <v>7</v>
      </c>
      <c r="AS4" s="46">
        <v>6</v>
      </c>
      <c r="AT4" s="46">
        <v>5</v>
      </c>
      <c r="AU4" s="46">
        <v>4</v>
      </c>
      <c r="AV4" s="46">
        <v>3</v>
      </c>
      <c r="AW4" s="46">
        <v>2</v>
      </c>
      <c r="AX4" s="46">
        <v>1</v>
      </c>
      <c r="AY4" s="47">
        <v>0</v>
      </c>
      <c r="AZ4" s="120"/>
      <c r="BA4" s="220"/>
      <c r="BB4" s="221"/>
      <c r="BC4" s="222"/>
      <c r="BD4" s="125">
        <v>31</v>
      </c>
      <c r="BE4" s="46">
        <v>30</v>
      </c>
      <c r="BF4" s="46">
        <v>29</v>
      </c>
      <c r="BG4" s="46">
        <v>28</v>
      </c>
      <c r="BH4" s="46">
        <v>27</v>
      </c>
      <c r="BI4" s="46">
        <v>26</v>
      </c>
      <c r="BJ4" s="46">
        <v>25</v>
      </c>
      <c r="BK4" s="46">
        <v>24</v>
      </c>
      <c r="BL4" s="46">
        <v>23</v>
      </c>
      <c r="BM4" s="46">
        <v>22</v>
      </c>
      <c r="BN4" s="46">
        <v>21</v>
      </c>
      <c r="BO4" s="46">
        <v>20</v>
      </c>
      <c r="BP4" s="46">
        <v>19</v>
      </c>
      <c r="BQ4" s="46">
        <v>18</v>
      </c>
      <c r="BR4" s="46">
        <v>17</v>
      </c>
      <c r="BS4" s="46">
        <v>16</v>
      </c>
      <c r="BT4" s="46">
        <v>15</v>
      </c>
      <c r="BU4" s="46">
        <v>14</v>
      </c>
      <c r="BV4" s="46">
        <v>13</v>
      </c>
      <c r="BW4" s="46">
        <v>12</v>
      </c>
      <c r="BX4" s="46">
        <v>11</v>
      </c>
      <c r="BY4" s="46">
        <v>10</v>
      </c>
      <c r="BZ4" s="46">
        <v>9</v>
      </c>
      <c r="CA4" s="46">
        <v>8</v>
      </c>
      <c r="CB4" s="46">
        <v>7</v>
      </c>
      <c r="CC4" s="46">
        <v>6</v>
      </c>
      <c r="CD4" s="46">
        <v>5</v>
      </c>
      <c r="CE4" s="46">
        <v>4</v>
      </c>
      <c r="CF4" s="46">
        <v>3</v>
      </c>
      <c r="CG4" s="46">
        <v>2</v>
      </c>
      <c r="CH4" s="46">
        <v>1</v>
      </c>
      <c r="CI4" s="47">
        <v>0</v>
      </c>
      <c r="CJ4" s="120"/>
      <c r="CK4" s="220"/>
      <c r="CL4" s="221"/>
      <c r="CM4" s="222"/>
      <c r="CN4" s="125">
        <v>31</v>
      </c>
      <c r="CO4" s="46">
        <v>30</v>
      </c>
      <c r="CP4" s="46">
        <v>29</v>
      </c>
      <c r="CQ4" s="46">
        <v>28</v>
      </c>
      <c r="CR4" s="46">
        <v>27</v>
      </c>
      <c r="CS4" s="46">
        <v>26</v>
      </c>
      <c r="CT4" s="46">
        <v>25</v>
      </c>
      <c r="CU4" s="46">
        <v>24</v>
      </c>
      <c r="CV4" s="46">
        <v>23</v>
      </c>
      <c r="CW4" s="46">
        <v>22</v>
      </c>
      <c r="CX4" s="46">
        <v>21</v>
      </c>
      <c r="CY4" s="46">
        <v>20</v>
      </c>
      <c r="CZ4" s="46">
        <v>19</v>
      </c>
      <c r="DA4" s="46">
        <v>18</v>
      </c>
      <c r="DB4" s="46">
        <v>17</v>
      </c>
      <c r="DC4" s="46">
        <v>16</v>
      </c>
      <c r="DD4" s="46">
        <v>15</v>
      </c>
      <c r="DE4" s="46">
        <v>14</v>
      </c>
      <c r="DF4" s="46">
        <v>13</v>
      </c>
      <c r="DG4" s="46">
        <v>12</v>
      </c>
      <c r="DH4" s="46">
        <v>11</v>
      </c>
      <c r="DI4" s="46">
        <v>10</v>
      </c>
      <c r="DJ4" s="46">
        <v>9</v>
      </c>
      <c r="DK4" s="46">
        <v>8</v>
      </c>
      <c r="DL4" s="46">
        <v>7</v>
      </c>
      <c r="DM4" s="46">
        <v>6</v>
      </c>
      <c r="DN4" s="46">
        <v>5</v>
      </c>
      <c r="DO4" s="46">
        <v>4</v>
      </c>
      <c r="DP4" s="46">
        <v>3</v>
      </c>
      <c r="DQ4" s="46">
        <v>2</v>
      </c>
      <c r="DR4" s="46">
        <v>1</v>
      </c>
      <c r="DS4" s="47">
        <v>0</v>
      </c>
      <c r="DT4" s="120"/>
      <c r="DU4" s="220"/>
      <c r="DV4" s="221"/>
      <c r="DW4" s="222"/>
      <c r="DX4" s="49">
        <v>31</v>
      </c>
      <c r="DY4" s="46">
        <v>30</v>
      </c>
      <c r="DZ4" s="46">
        <v>29</v>
      </c>
      <c r="EA4" s="46">
        <v>28</v>
      </c>
      <c r="EB4" s="46">
        <v>27</v>
      </c>
      <c r="EC4" s="46">
        <v>26</v>
      </c>
      <c r="ED4" s="46">
        <v>25</v>
      </c>
      <c r="EE4" s="46">
        <v>24</v>
      </c>
      <c r="EF4" s="46">
        <v>23</v>
      </c>
      <c r="EG4" s="46">
        <v>22</v>
      </c>
      <c r="EH4" s="46">
        <v>21</v>
      </c>
      <c r="EI4" s="46">
        <v>20</v>
      </c>
      <c r="EJ4" s="46">
        <v>19</v>
      </c>
      <c r="EK4" s="46">
        <v>18</v>
      </c>
      <c r="EL4" s="46">
        <v>17</v>
      </c>
      <c r="EM4" s="46">
        <v>16</v>
      </c>
      <c r="EN4" s="46">
        <v>15</v>
      </c>
      <c r="EO4" s="46">
        <v>14</v>
      </c>
      <c r="EP4" s="46">
        <v>13</v>
      </c>
      <c r="EQ4" s="46">
        <v>12</v>
      </c>
      <c r="ER4" s="46">
        <v>11</v>
      </c>
      <c r="ES4" s="46">
        <v>10</v>
      </c>
      <c r="ET4" s="46">
        <v>9</v>
      </c>
      <c r="EU4" s="46">
        <v>8</v>
      </c>
      <c r="EV4" s="46">
        <v>7</v>
      </c>
      <c r="EW4" s="46">
        <v>6</v>
      </c>
      <c r="EX4" s="46">
        <v>5</v>
      </c>
      <c r="EY4" s="46">
        <v>4</v>
      </c>
      <c r="EZ4" s="46">
        <v>3</v>
      </c>
      <c r="FA4" s="46">
        <v>2</v>
      </c>
      <c r="FB4" s="46">
        <v>1</v>
      </c>
      <c r="FC4" s="47">
        <v>0</v>
      </c>
      <c r="FD4" s="120"/>
      <c r="FE4" s="220"/>
      <c r="FF4" s="221"/>
      <c r="FG4" s="223"/>
      <c r="FH4" s="49">
        <v>31</v>
      </c>
      <c r="FI4" s="46">
        <v>30</v>
      </c>
      <c r="FJ4" s="46">
        <v>29</v>
      </c>
      <c r="FK4" s="46">
        <v>28</v>
      </c>
      <c r="FL4" s="46">
        <v>27</v>
      </c>
      <c r="FM4" s="46">
        <v>26</v>
      </c>
      <c r="FN4" s="46">
        <v>25</v>
      </c>
      <c r="FO4" s="46">
        <v>24</v>
      </c>
      <c r="FP4" s="46">
        <v>23</v>
      </c>
      <c r="FQ4" s="46">
        <v>22</v>
      </c>
      <c r="FR4" s="46">
        <v>21</v>
      </c>
      <c r="FS4" s="46">
        <v>20</v>
      </c>
      <c r="FT4" s="46">
        <v>19</v>
      </c>
      <c r="FU4" s="46">
        <v>18</v>
      </c>
      <c r="FV4" s="46">
        <v>17</v>
      </c>
      <c r="FW4" s="46">
        <v>16</v>
      </c>
      <c r="FX4" s="46">
        <v>15</v>
      </c>
      <c r="FY4" s="46">
        <v>14</v>
      </c>
      <c r="FZ4" s="46">
        <v>13</v>
      </c>
      <c r="GA4" s="46">
        <v>12</v>
      </c>
      <c r="GB4" s="46">
        <v>11</v>
      </c>
      <c r="GC4" s="46">
        <v>10</v>
      </c>
      <c r="GD4" s="46">
        <v>9</v>
      </c>
      <c r="GE4" s="46">
        <v>8</v>
      </c>
      <c r="GF4" s="46">
        <v>7</v>
      </c>
      <c r="GG4" s="46">
        <v>6</v>
      </c>
      <c r="GH4" s="46">
        <v>5</v>
      </c>
      <c r="GI4" s="46">
        <v>4</v>
      </c>
      <c r="GJ4" s="46">
        <v>3</v>
      </c>
      <c r="GK4" s="46">
        <v>2</v>
      </c>
      <c r="GL4" s="46">
        <v>1</v>
      </c>
      <c r="GM4" s="47">
        <v>0</v>
      </c>
      <c r="GN4" s="120"/>
      <c r="GO4" s="220"/>
      <c r="GP4" s="221"/>
      <c r="GQ4" s="223"/>
      <c r="GR4" s="49">
        <v>31</v>
      </c>
      <c r="GS4" s="46">
        <v>30</v>
      </c>
      <c r="GT4" s="46">
        <v>29</v>
      </c>
      <c r="GU4" s="46">
        <v>28</v>
      </c>
      <c r="GV4" s="46">
        <v>27</v>
      </c>
      <c r="GW4" s="46">
        <v>26</v>
      </c>
      <c r="GX4" s="46">
        <v>25</v>
      </c>
      <c r="GY4" s="46">
        <v>24</v>
      </c>
      <c r="GZ4" s="46">
        <v>23</v>
      </c>
      <c r="HA4" s="46">
        <v>22</v>
      </c>
      <c r="HB4" s="46">
        <v>21</v>
      </c>
      <c r="HC4" s="46">
        <v>20</v>
      </c>
      <c r="HD4" s="46">
        <v>19</v>
      </c>
      <c r="HE4" s="46">
        <v>18</v>
      </c>
      <c r="HF4" s="46">
        <v>17</v>
      </c>
      <c r="HG4" s="46">
        <v>16</v>
      </c>
      <c r="HH4" s="46">
        <v>15</v>
      </c>
      <c r="HI4" s="46">
        <v>14</v>
      </c>
      <c r="HJ4" s="46">
        <v>13</v>
      </c>
      <c r="HK4" s="46">
        <v>12</v>
      </c>
      <c r="HL4" s="46">
        <v>11</v>
      </c>
      <c r="HM4" s="46">
        <v>10</v>
      </c>
      <c r="HN4" s="46">
        <v>9</v>
      </c>
      <c r="HO4" s="46">
        <v>8</v>
      </c>
      <c r="HP4" s="46">
        <v>7</v>
      </c>
      <c r="HQ4" s="46">
        <v>6</v>
      </c>
      <c r="HR4" s="46">
        <v>5</v>
      </c>
      <c r="HS4" s="46">
        <v>4</v>
      </c>
      <c r="HT4" s="46">
        <v>3</v>
      </c>
      <c r="HU4" s="46">
        <v>2</v>
      </c>
      <c r="HV4" s="46">
        <v>1</v>
      </c>
      <c r="HW4" s="47">
        <v>0</v>
      </c>
      <c r="HX4" s="120"/>
      <c r="HY4" s="220"/>
      <c r="HZ4" s="221"/>
      <c r="IA4" s="222"/>
      <c r="IB4" s="120"/>
      <c r="IC4" s="220"/>
      <c r="ID4" s="221"/>
      <c r="IE4" s="223"/>
    </row>
    <row r="5" spans="1:239" x14ac:dyDescent="0.25">
      <c r="A5" s="8">
        <v>0</v>
      </c>
      <c r="B5" s="8" t="str">
        <f t="shared" ref="B5:B68" si="0">IF($IB5&lt;&gt;"", $IB5, "")</f>
        <v>HOME</v>
      </c>
      <c r="C5" s="77"/>
      <c r="D5" s="22" t="s">
        <v>360</v>
      </c>
      <c r="E5" s="23">
        <v>0</v>
      </c>
      <c r="F5" s="113" t="s">
        <v>22</v>
      </c>
      <c r="G5" s="161">
        <v>0</v>
      </c>
      <c r="H5" s="22" t="s">
        <v>361</v>
      </c>
      <c r="I5" s="23">
        <v>0</v>
      </c>
      <c r="J5" s="113" t="s">
        <v>22</v>
      </c>
      <c r="K5" s="161">
        <v>0</v>
      </c>
      <c r="L5" s="22" t="s">
        <v>362</v>
      </c>
      <c r="M5" s="23">
        <v>0</v>
      </c>
      <c r="N5" s="27" t="s">
        <v>22</v>
      </c>
      <c r="O5" s="165">
        <v>0</v>
      </c>
      <c r="P5" s="22" t="s">
        <v>363</v>
      </c>
      <c r="Q5" s="23">
        <v>0</v>
      </c>
      <c r="R5" s="113" t="s">
        <v>22</v>
      </c>
      <c r="S5" s="9" t="str">
        <f>IF(AP5=1, "P", "")</f>
        <v/>
      </c>
      <c r="T5" s="18"/>
      <c r="U5" s="19"/>
      <c r="V5" s="19"/>
      <c r="W5" s="19"/>
      <c r="X5" s="19"/>
      <c r="Y5" s="58"/>
      <c r="Z5" s="58"/>
      <c r="AA5" s="58"/>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364</v>
      </c>
      <c r="BB5" s="23">
        <v>0</v>
      </c>
      <c r="BC5" s="27"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365</v>
      </c>
      <c r="CL5" s="23">
        <v>0</v>
      </c>
      <c r="CM5" s="27"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366</v>
      </c>
      <c r="DV5" s="23">
        <v>0</v>
      </c>
      <c r="DW5" s="27"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367</v>
      </c>
      <c r="FF5" s="23">
        <v>0</v>
      </c>
      <c r="FG5" s="113"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368</v>
      </c>
      <c r="GP5" s="23">
        <v>0</v>
      </c>
      <c r="GQ5" s="113"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369</v>
      </c>
      <c r="HZ5" s="23">
        <v>0</v>
      </c>
      <c r="IA5" s="27" t="s">
        <v>22</v>
      </c>
      <c r="IB5" s="10" t="s">
        <v>206</v>
      </c>
      <c r="IC5" s="22" t="s">
        <v>370</v>
      </c>
      <c r="ID5" s="23">
        <v>0</v>
      </c>
      <c r="IE5" s="113" t="s">
        <v>22</v>
      </c>
    </row>
    <row r="6" spans="1:239" x14ac:dyDescent="0.25">
      <c r="A6" s="8">
        <v>1</v>
      </c>
      <c r="B6" s="8" t="str">
        <f t="shared" si="0"/>
        <v>FILLING FEED TANK TO SET POINT LEVEL</v>
      </c>
      <c r="C6" s="77"/>
      <c r="D6" s="6" t="str">
        <f t="shared" ref="D6:D69" si="1">D$5</f>
        <v>RO_Data[2].ACK_DESC[</v>
      </c>
      <c r="E6" s="23">
        <f>E5+1</f>
        <v>1</v>
      </c>
      <c r="F6" s="113" t="s">
        <v>22</v>
      </c>
      <c r="G6" s="161">
        <v>0</v>
      </c>
      <c r="H6" s="6" t="str">
        <f t="shared" ref="H6:H69" si="2">H$5</f>
        <v>RO_Data[2].MIN[</v>
      </c>
      <c r="I6" s="23">
        <f>I5+1</f>
        <v>1</v>
      </c>
      <c r="J6" s="113" t="s">
        <v>22</v>
      </c>
      <c r="K6" s="161">
        <v>1</v>
      </c>
      <c r="L6" s="6" t="str">
        <f t="shared" ref="L6:L69" si="3">L$5</f>
        <v>RO_Data[2].SEC[</v>
      </c>
      <c r="M6" s="23">
        <f>M5+1</f>
        <v>1</v>
      </c>
      <c r="N6" s="27" t="s">
        <v>22</v>
      </c>
      <c r="O6" s="165">
        <v>0</v>
      </c>
      <c r="P6" s="6" t="str">
        <f t="shared" ref="P6:P69" si="4">P$5</f>
        <v>RO_Data[2].SETPOINT[</v>
      </c>
      <c r="Q6" s="23">
        <f>Q5+1</f>
        <v>1</v>
      </c>
      <c r="R6" s="113" t="s">
        <v>22</v>
      </c>
      <c r="S6" s="9" t="str">
        <f t="shared" ref="S6:S69" si="5">IF(AP6=1, "P", "")</f>
        <v>P</v>
      </c>
      <c r="T6" s="18"/>
      <c r="U6" s="19"/>
      <c r="V6" s="19"/>
      <c r="W6" s="19"/>
      <c r="X6" s="19"/>
      <c r="Y6" s="58"/>
      <c r="Z6" s="58"/>
      <c r="AA6" s="58"/>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69" si="6">BA$5</f>
        <v>RO_Data[2].COND1[</v>
      </c>
      <c r="BB6" s="23">
        <f>BB5+1</f>
        <v>1</v>
      </c>
      <c r="BC6" s="27"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27"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27"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3"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3"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27" t="s">
        <v>22</v>
      </c>
      <c r="IB6" s="10" t="s">
        <v>224</v>
      </c>
      <c r="IC6" s="6" t="str">
        <f t="shared" ref="IC6:IC69" si="12">IC$5</f>
        <v>RO_Data[2].STEP_DESC[</v>
      </c>
      <c r="ID6" s="23">
        <f>ID5+1</f>
        <v>1</v>
      </c>
      <c r="IE6" s="113" t="s">
        <v>22</v>
      </c>
    </row>
    <row r="7" spans="1:239" x14ac:dyDescent="0.25">
      <c r="A7" s="8">
        <v>2</v>
      </c>
      <c r="B7" s="8" t="str">
        <f t="shared" si="0"/>
        <v>STARTING PUMPS</v>
      </c>
      <c r="C7" s="77"/>
      <c r="D7" s="6" t="str">
        <f t="shared" si="1"/>
        <v>RO_Data[2].ACK_DESC[</v>
      </c>
      <c r="E7" s="23">
        <f t="shared" ref="E7:E29" si="13">E6+1</f>
        <v>2</v>
      </c>
      <c r="F7" s="113" t="s">
        <v>22</v>
      </c>
      <c r="G7" s="161">
        <v>0</v>
      </c>
      <c r="H7" s="6" t="str">
        <f t="shared" si="2"/>
        <v>RO_Data[2].MIN[</v>
      </c>
      <c r="I7" s="23">
        <f t="shared" ref="I7:I29" si="14">I6+1</f>
        <v>2</v>
      </c>
      <c r="J7" s="113" t="s">
        <v>22</v>
      </c>
      <c r="K7" s="161">
        <v>30</v>
      </c>
      <c r="L7" s="6" t="str">
        <f t="shared" si="3"/>
        <v>RO_Data[2].SEC[</v>
      </c>
      <c r="M7" s="23">
        <f t="shared" ref="M7:M29" si="15">M6+1</f>
        <v>2</v>
      </c>
      <c r="N7" s="27" t="s">
        <v>22</v>
      </c>
      <c r="O7" s="165">
        <v>0</v>
      </c>
      <c r="P7" s="6" t="str">
        <f t="shared" si="4"/>
        <v>RO_Data[2].SETPOINT[</v>
      </c>
      <c r="Q7" s="23">
        <f t="shared" ref="Q7:Q29" si="16">Q6+1</f>
        <v>2</v>
      </c>
      <c r="R7" s="113" t="s">
        <v>22</v>
      </c>
      <c r="S7" s="9" t="str">
        <f t="shared" si="5"/>
        <v>P</v>
      </c>
      <c r="T7" s="18"/>
      <c r="U7" s="19"/>
      <c r="V7" s="19"/>
      <c r="W7" s="19"/>
      <c r="X7" s="19"/>
      <c r="Y7" s="58"/>
      <c r="Z7" s="58"/>
      <c r="AA7" s="58"/>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RO_Data[2].COND1[</v>
      </c>
      <c r="BB7" s="23">
        <f t="shared" ref="BB7:BB29" si="17">BB6+1</f>
        <v>2</v>
      </c>
      <c r="BC7" s="27"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27"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27"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3"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3"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27" t="s">
        <v>22</v>
      </c>
      <c r="IB7" s="10" t="s">
        <v>225</v>
      </c>
      <c r="IC7" s="6" t="str">
        <f t="shared" si="12"/>
        <v>RO_Data[2].STEP_DESC[</v>
      </c>
      <c r="ID7" s="23">
        <f t="shared" ref="ID7:ID29" si="23">ID6+1</f>
        <v>2</v>
      </c>
      <c r="IE7" s="113" t="s">
        <v>22</v>
      </c>
    </row>
    <row r="8" spans="1:239" x14ac:dyDescent="0.25">
      <c r="A8" s="8">
        <v>3</v>
      </c>
      <c r="B8" s="8" t="str">
        <f t="shared" si="0"/>
        <v>RINSING STAGES</v>
      </c>
      <c r="C8" s="77"/>
      <c r="D8" s="6" t="str">
        <f t="shared" si="1"/>
        <v>RO_Data[2].ACK_DESC[</v>
      </c>
      <c r="E8" s="23">
        <f t="shared" si="13"/>
        <v>3</v>
      </c>
      <c r="F8" s="113" t="s">
        <v>22</v>
      </c>
      <c r="G8" s="161">
        <v>0</v>
      </c>
      <c r="H8" s="6" t="str">
        <f t="shared" si="2"/>
        <v>RO_Data[2].MIN[</v>
      </c>
      <c r="I8" s="23">
        <f t="shared" si="14"/>
        <v>3</v>
      </c>
      <c r="J8" s="113" t="s">
        <v>22</v>
      </c>
      <c r="K8" s="161">
        <v>1</v>
      </c>
      <c r="L8" s="6" t="str">
        <f t="shared" si="3"/>
        <v>RO_Data[2].SEC[</v>
      </c>
      <c r="M8" s="23">
        <f t="shared" si="15"/>
        <v>3</v>
      </c>
      <c r="N8" s="27" t="s">
        <v>22</v>
      </c>
      <c r="O8" s="165">
        <v>0</v>
      </c>
      <c r="P8" s="6" t="str">
        <f t="shared" si="4"/>
        <v>RO_Data[2].SETPOINT[</v>
      </c>
      <c r="Q8" s="23">
        <f t="shared" si="16"/>
        <v>3</v>
      </c>
      <c r="R8" s="113" t="s">
        <v>22</v>
      </c>
      <c r="S8" s="9" t="str">
        <f t="shared" si="5"/>
        <v>P</v>
      </c>
      <c r="T8" s="18"/>
      <c r="U8" s="19"/>
      <c r="V8" s="19"/>
      <c r="W8" s="19"/>
      <c r="X8" s="19"/>
      <c r="Y8" s="58"/>
      <c r="Z8" s="58"/>
      <c r="AA8" s="58"/>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RO_Data[2].COND1[</v>
      </c>
      <c r="BB8" s="23">
        <f t="shared" si="17"/>
        <v>3</v>
      </c>
      <c r="BC8" s="27"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27"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27"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3"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3"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27" t="s">
        <v>22</v>
      </c>
      <c r="IB8" s="10" t="s">
        <v>226</v>
      </c>
      <c r="IC8" s="6" t="str">
        <f t="shared" si="12"/>
        <v>RO_Data[2].STEP_DESC[</v>
      </c>
      <c r="ID8" s="23">
        <f t="shared" si="23"/>
        <v>3</v>
      </c>
      <c r="IE8" s="113" t="s">
        <v>22</v>
      </c>
    </row>
    <row r="9" spans="1:239" x14ac:dyDescent="0.25">
      <c r="A9" s="8">
        <v>4</v>
      </c>
      <c r="B9" s="8" t="str">
        <f t="shared" si="0"/>
        <v>PAUSE</v>
      </c>
      <c r="C9" s="77"/>
      <c r="D9" s="6" t="str">
        <f t="shared" si="1"/>
        <v>RO_Data[2].ACK_DESC[</v>
      </c>
      <c r="E9" s="23">
        <f t="shared" si="13"/>
        <v>4</v>
      </c>
      <c r="F9" s="113" t="s">
        <v>22</v>
      </c>
      <c r="G9" s="161">
        <v>0</v>
      </c>
      <c r="H9" s="6" t="str">
        <f t="shared" si="2"/>
        <v>RO_Data[2].MIN[</v>
      </c>
      <c r="I9" s="23">
        <f t="shared" si="14"/>
        <v>4</v>
      </c>
      <c r="J9" s="113" t="s">
        <v>22</v>
      </c>
      <c r="K9" s="161">
        <v>10</v>
      </c>
      <c r="L9" s="6" t="str">
        <f t="shared" si="3"/>
        <v>RO_Data[2].SEC[</v>
      </c>
      <c r="M9" s="23">
        <f t="shared" si="15"/>
        <v>4</v>
      </c>
      <c r="N9" s="27" t="s">
        <v>22</v>
      </c>
      <c r="O9" s="165">
        <v>0</v>
      </c>
      <c r="P9" s="6" t="str">
        <f t="shared" si="4"/>
        <v>RO_Data[2].SETPOINT[</v>
      </c>
      <c r="Q9" s="23">
        <f t="shared" si="16"/>
        <v>4</v>
      </c>
      <c r="R9" s="113" t="s">
        <v>22</v>
      </c>
      <c r="S9" s="9" t="str">
        <f t="shared" si="5"/>
        <v>P</v>
      </c>
      <c r="T9" s="18"/>
      <c r="U9" s="19"/>
      <c r="V9" s="19"/>
      <c r="W9" s="19"/>
      <c r="X9" s="19"/>
      <c r="Y9" s="58"/>
      <c r="Z9" s="58"/>
      <c r="AA9" s="58"/>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RO_Data[2].COND1[</v>
      </c>
      <c r="BB9" s="23">
        <f t="shared" si="17"/>
        <v>4</v>
      </c>
      <c r="BC9" s="27"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27"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27"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3"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3"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27" t="s">
        <v>22</v>
      </c>
      <c r="IB9" s="10" t="s">
        <v>222</v>
      </c>
      <c r="IC9" s="6" t="str">
        <f t="shared" si="12"/>
        <v>RO_Data[2].STEP_DESC[</v>
      </c>
      <c r="ID9" s="23">
        <f t="shared" si="23"/>
        <v>4</v>
      </c>
      <c r="IE9" s="113" t="s">
        <v>22</v>
      </c>
    </row>
    <row r="10" spans="1:239" x14ac:dyDescent="0.25">
      <c r="A10" s="8">
        <v>5</v>
      </c>
      <c r="B10" s="8" t="str">
        <f t="shared" si="0"/>
        <v>FILLING FEED TANK TO SET POINT LEVEL</v>
      </c>
      <c r="C10" s="77"/>
      <c r="D10" s="6" t="str">
        <f t="shared" si="1"/>
        <v>RO_Data[2].ACK_DESC[</v>
      </c>
      <c r="E10" s="23">
        <f t="shared" si="13"/>
        <v>5</v>
      </c>
      <c r="F10" s="113" t="s">
        <v>22</v>
      </c>
      <c r="G10" s="161">
        <v>0</v>
      </c>
      <c r="H10" s="6" t="str">
        <f t="shared" si="2"/>
        <v>RO_Data[2].MIN[</v>
      </c>
      <c r="I10" s="23">
        <f t="shared" si="14"/>
        <v>5</v>
      </c>
      <c r="J10" s="113" t="s">
        <v>22</v>
      </c>
      <c r="K10" s="161">
        <v>1</v>
      </c>
      <c r="L10" s="6" t="str">
        <f t="shared" si="3"/>
        <v>RO_Data[2].SEC[</v>
      </c>
      <c r="M10" s="23">
        <f t="shared" si="15"/>
        <v>5</v>
      </c>
      <c r="N10" s="27" t="s">
        <v>22</v>
      </c>
      <c r="O10" s="165">
        <v>0</v>
      </c>
      <c r="P10" s="6" t="str">
        <f t="shared" si="4"/>
        <v>RO_Data[2].SETPOINT[</v>
      </c>
      <c r="Q10" s="23">
        <f t="shared" si="16"/>
        <v>5</v>
      </c>
      <c r="R10" s="113" t="s">
        <v>22</v>
      </c>
      <c r="S10" s="9" t="str">
        <f t="shared" si="5"/>
        <v>P</v>
      </c>
      <c r="T10" s="18"/>
      <c r="U10" s="19"/>
      <c r="V10" s="19"/>
      <c r="W10" s="19"/>
      <c r="X10" s="19"/>
      <c r="Y10" s="58"/>
      <c r="Z10" s="58"/>
      <c r="AA10" s="58"/>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RO_Data[2].COND1[</v>
      </c>
      <c r="BB10" s="23">
        <f t="shared" si="17"/>
        <v>5</v>
      </c>
      <c r="BC10" s="27"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27"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27"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3"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3"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27" t="s">
        <v>22</v>
      </c>
      <c r="IB10" s="10" t="s">
        <v>224</v>
      </c>
      <c r="IC10" s="6" t="str">
        <f t="shared" si="12"/>
        <v>RO_Data[2].STEP_DESC[</v>
      </c>
      <c r="ID10" s="23">
        <f t="shared" si="23"/>
        <v>5</v>
      </c>
      <c r="IE10" s="113" t="s">
        <v>22</v>
      </c>
    </row>
    <row r="11" spans="1:239" x14ac:dyDescent="0.25">
      <c r="A11" s="8">
        <v>6</v>
      </c>
      <c r="B11" s="8" t="str">
        <f t="shared" si="0"/>
        <v>STARTING PUMPS</v>
      </c>
      <c r="C11" s="77"/>
      <c r="D11" s="6" t="str">
        <f t="shared" si="1"/>
        <v>RO_Data[2].ACK_DESC[</v>
      </c>
      <c r="E11" s="23">
        <f t="shared" si="13"/>
        <v>6</v>
      </c>
      <c r="F11" s="113" t="s">
        <v>22</v>
      </c>
      <c r="G11" s="161">
        <v>0</v>
      </c>
      <c r="H11" s="6" t="str">
        <f t="shared" si="2"/>
        <v>RO_Data[2].MIN[</v>
      </c>
      <c r="I11" s="23">
        <f t="shared" si="14"/>
        <v>6</v>
      </c>
      <c r="J11" s="113" t="s">
        <v>22</v>
      </c>
      <c r="K11" s="161">
        <v>30</v>
      </c>
      <c r="L11" s="6" t="str">
        <f t="shared" si="3"/>
        <v>RO_Data[2].SEC[</v>
      </c>
      <c r="M11" s="23">
        <f t="shared" si="15"/>
        <v>6</v>
      </c>
      <c r="N11" s="27" t="s">
        <v>22</v>
      </c>
      <c r="O11" s="165">
        <v>0</v>
      </c>
      <c r="P11" s="6" t="str">
        <f t="shared" si="4"/>
        <v>RO_Data[2].SETPOINT[</v>
      </c>
      <c r="Q11" s="23">
        <f t="shared" si="16"/>
        <v>6</v>
      </c>
      <c r="R11" s="113" t="s">
        <v>22</v>
      </c>
      <c r="S11" s="9" t="str">
        <f t="shared" si="5"/>
        <v>P</v>
      </c>
      <c r="T11" s="18"/>
      <c r="U11" s="19"/>
      <c r="V11" s="19"/>
      <c r="W11" s="19"/>
      <c r="X11" s="19"/>
      <c r="Y11" s="58"/>
      <c r="Z11" s="58"/>
      <c r="AA11" s="58"/>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RO_Data[2].COND1[</v>
      </c>
      <c r="BB11" s="23">
        <f t="shared" si="17"/>
        <v>6</v>
      </c>
      <c r="BC11" s="27"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27"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27"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3"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3"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27" t="s">
        <v>22</v>
      </c>
      <c r="IB11" s="10" t="s">
        <v>225</v>
      </c>
      <c r="IC11" s="6" t="str">
        <f t="shared" si="12"/>
        <v>RO_Data[2].STEP_DESC[</v>
      </c>
      <c r="ID11" s="23">
        <f t="shared" si="23"/>
        <v>6</v>
      </c>
      <c r="IE11" s="113" t="s">
        <v>22</v>
      </c>
    </row>
    <row r="12" spans="1:239" x14ac:dyDescent="0.25">
      <c r="A12" s="8">
        <v>7</v>
      </c>
      <c r="B12" s="8" t="str">
        <f t="shared" si="0"/>
        <v>ADDING CHEMICALS</v>
      </c>
      <c r="C12" s="77"/>
      <c r="D12" s="6" t="str">
        <f t="shared" si="1"/>
        <v>RO_Data[2].ACK_DESC[</v>
      </c>
      <c r="E12" s="23">
        <f t="shared" si="13"/>
        <v>7</v>
      </c>
      <c r="F12" s="113" t="s">
        <v>22</v>
      </c>
      <c r="G12" s="161">
        <v>0</v>
      </c>
      <c r="H12" s="6" t="str">
        <f t="shared" si="2"/>
        <v>RO_Data[2].MIN[</v>
      </c>
      <c r="I12" s="23">
        <f t="shared" si="14"/>
        <v>7</v>
      </c>
      <c r="J12" s="113" t="s">
        <v>22</v>
      </c>
      <c r="K12" s="161">
        <v>1</v>
      </c>
      <c r="L12" s="6" t="str">
        <f t="shared" si="3"/>
        <v>RO_Data[2].SEC[</v>
      </c>
      <c r="M12" s="23">
        <f t="shared" si="15"/>
        <v>7</v>
      </c>
      <c r="N12" s="27" t="s">
        <v>22</v>
      </c>
      <c r="O12" s="165">
        <v>0</v>
      </c>
      <c r="P12" s="6" t="str">
        <f t="shared" si="4"/>
        <v>RO_Data[2].SETPOINT[</v>
      </c>
      <c r="Q12" s="23">
        <f t="shared" si="16"/>
        <v>7</v>
      </c>
      <c r="R12" s="113" t="s">
        <v>22</v>
      </c>
      <c r="S12" s="9" t="str">
        <f t="shared" si="5"/>
        <v>P</v>
      </c>
      <c r="T12" s="18"/>
      <c r="U12" s="19"/>
      <c r="V12" s="19"/>
      <c r="W12" s="19"/>
      <c r="X12" s="19"/>
      <c r="Y12" s="58"/>
      <c r="Z12" s="58"/>
      <c r="AA12" s="58"/>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RO_Data[2].COND1[</v>
      </c>
      <c r="BB12" s="23">
        <f t="shared" si="17"/>
        <v>7</v>
      </c>
      <c r="BC12" s="27"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27"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27"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3"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3"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16777216</v>
      </c>
      <c r="HY12" s="6" t="str">
        <f t="shared" si="11"/>
        <v>RO_Data[2].ACT6[</v>
      </c>
      <c r="HZ12" s="23">
        <f t="shared" si="22"/>
        <v>7</v>
      </c>
      <c r="IA12" s="27" t="s">
        <v>22</v>
      </c>
      <c r="IB12" s="10" t="s">
        <v>227</v>
      </c>
      <c r="IC12" s="6" t="str">
        <f t="shared" si="12"/>
        <v>RO_Data[2].STEP_DESC[</v>
      </c>
      <c r="ID12" s="23">
        <f t="shared" si="23"/>
        <v>7</v>
      </c>
      <c r="IE12" s="113" t="s">
        <v>22</v>
      </c>
    </row>
    <row r="13" spans="1:239" s="70" customFormat="1" x14ac:dyDescent="0.25">
      <c r="A13" s="61">
        <v>8</v>
      </c>
      <c r="B13" s="61" t="str">
        <f t="shared" si="0"/>
        <v>HEATING TO TEMPERATURE (WASH 1)</v>
      </c>
      <c r="C13" s="78"/>
      <c r="D13" s="6" t="str">
        <f t="shared" si="1"/>
        <v>RO_Data[2].ACK_DESC[</v>
      </c>
      <c r="E13" s="64">
        <f t="shared" si="13"/>
        <v>8</v>
      </c>
      <c r="F13" s="65" t="s">
        <v>22</v>
      </c>
      <c r="G13" s="162">
        <v>0</v>
      </c>
      <c r="H13" s="6" t="str">
        <f t="shared" si="2"/>
        <v>RO_Data[2].MIN[</v>
      </c>
      <c r="I13" s="64">
        <f t="shared" si="14"/>
        <v>8</v>
      </c>
      <c r="J13" s="65" t="s">
        <v>22</v>
      </c>
      <c r="K13" s="162">
        <v>1</v>
      </c>
      <c r="L13" s="6" t="str">
        <f t="shared" si="3"/>
        <v>RO_Data[2].SEC[</v>
      </c>
      <c r="M13" s="64">
        <f t="shared" si="15"/>
        <v>8</v>
      </c>
      <c r="N13" s="65" t="s">
        <v>22</v>
      </c>
      <c r="O13" s="166">
        <v>0</v>
      </c>
      <c r="P13" s="6" t="str">
        <f t="shared" si="4"/>
        <v>RO_Data[2].SETPOINT[</v>
      </c>
      <c r="Q13" s="64">
        <f t="shared" si="16"/>
        <v>8</v>
      </c>
      <c r="R13" s="65" t="s">
        <v>22</v>
      </c>
      <c r="S13" s="66" t="str">
        <f t="shared" si="5"/>
        <v>P</v>
      </c>
      <c r="T13" s="67"/>
      <c r="U13" s="58"/>
      <c r="V13" s="58"/>
      <c r="W13" s="58"/>
      <c r="X13" s="58"/>
      <c r="Y13" s="58"/>
      <c r="Z13" s="58"/>
      <c r="AA13" s="58"/>
      <c r="AB13" s="58"/>
      <c r="AC13" s="58"/>
      <c r="AD13" s="58"/>
      <c r="AE13" s="58"/>
      <c r="AF13" s="58"/>
      <c r="AG13" s="58"/>
      <c r="AH13" s="58"/>
      <c r="AI13" s="58"/>
      <c r="AJ13" s="58"/>
      <c r="AK13" s="58"/>
      <c r="AL13" s="58"/>
      <c r="AM13" s="58"/>
      <c r="AN13" s="58"/>
      <c r="AO13" s="58">
        <v>1</v>
      </c>
      <c r="AP13" s="58">
        <v>1</v>
      </c>
      <c r="AQ13" s="58"/>
      <c r="AR13" s="58"/>
      <c r="AS13" s="58"/>
      <c r="AT13" s="58"/>
      <c r="AU13" s="58"/>
      <c r="AV13" s="58"/>
      <c r="AW13" s="58"/>
      <c r="AX13" s="58"/>
      <c r="AY13" s="68"/>
      <c r="AZ13" s="61">
        <f t="array" ref="AZ13">Bin2DecRange($T13:$AY13)</f>
        <v>1536</v>
      </c>
      <c r="BA13" s="6" t="str">
        <f t="shared" si="6"/>
        <v>RO_Data[2].COND1[</v>
      </c>
      <c r="BB13" s="64">
        <f t="shared" si="17"/>
        <v>8</v>
      </c>
      <c r="BC13" s="65" t="s">
        <v>22</v>
      </c>
      <c r="BD13" s="67"/>
      <c r="BE13" s="58"/>
      <c r="BF13" s="58"/>
      <c r="BG13" s="58"/>
      <c r="BH13" s="58"/>
      <c r="BI13" s="58"/>
      <c r="BJ13" s="58"/>
      <c r="BK13" s="58"/>
      <c r="BL13" s="58"/>
      <c r="BM13" s="58">
        <v>1</v>
      </c>
      <c r="BN13" s="58">
        <v>1</v>
      </c>
      <c r="BO13" s="58"/>
      <c r="BP13" s="58"/>
      <c r="BQ13" s="58"/>
      <c r="BR13" s="58"/>
      <c r="BS13" s="58"/>
      <c r="BT13" s="58"/>
      <c r="BU13" s="58"/>
      <c r="BV13" s="58"/>
      <c r="BW13" s="58"/>
      <c r="BX13" s="58"/>
      <c r="BY13" s="58"/>
      <c r="BZ13" s="58"/>
      <c r="CA13" s="58"/>
      <c r="CB13" s="58"/>
      <c r="CC13" s="58"/>
      <c r="CD13" s="58"/>
      <c r="CE13" s="58"/>
      <c r="CF13" s="58"/>
      <c r="CG13" s="58"/>
      <c r="CH13" s="58"/>
      <c r="CI13" s="68">
        <v>1</v>
      </c>
      <c r="CJ13" s="61" cm="1">
        <f t="array" ref="CJ13">Bin2DecRange($BD13:$CI13)</f>
        <v>6291457</v>
      </c>
      <c r="CK13" s="6" t="str">
        <f t="shared" si="7"/>
        <v>RO_Data[2].COND2[</v>
      </c>
      <c r="CL13" s="64">
        <f t="shared" si="18"/>
        <v>8</v>
      </c>
      <c r="CM13" s="65" t="s">
        <v>22</v>
      </c>
      <c r="CN13" s="67"/>
      <c r="CO13" s="58"/>
      <c r="CP13" s="58"/>
      <c r="CQ13" s="58"/>
      <c r="CR13" s="58"/>
      <c r="CS13" s="58"/>
      <c r="CT13" s="58"/>
      <c r="CU13" s="58"/>
      <c r="CV13" s="58"/>
      <c r="CW13" s="58"/>
      <c r="CX13" s="58"/>
      <c r="CY13" s="58"/>
      <c r="CZ13" s="58"/>
      <c r="DA13" s="58"/>
      <c r="DB13" s="58"/>
      <c r="DC13" s="58"/>
      <c r="DD13" s="58"/>
      <c r="DE13" s="58"/>
      <c r="DF13" s="58"/>
      <c r="DG13" s="58"/>
      <c r="DH13" s="58"/>
      <c r="DI13" s="58"/>
      <c r="DJ13" s="58"/>
      <c r="DK13" s="58"/>
      <c r="DL13" s="58"/>
      <c r="DM13" s="58"/>
      <c r="DN13" s="58"/>
      <c r="DO13" s="58"/>
      <c r="DP13" s="58"/>
      <c r="DQ13" s="58"/>
      <c r="DR13" s="58"/>
      <c r="DS13" s="68"/>
      <c r="DT13" s="61" cm="1">
        <f t="array" ref="DT13">Bin2DecRange($CN13:$DS13)</f>
        <v>0</v>
      </c>
      <c r="DU13" s="6" t="str">
        <f t="shared" si="8"/>
        <v>RO_Data[2].COND3[</v>
      </c>
      <c r="DV13" s="64">
        <f t="shared" si="19"/>
        <v>8</v>
      </c>
      <c r="DW13" s="65" t="s">
        <v>22</v>
      </c>
      <c r="DX13" s="69"/>
      <c r="DY13" s="58"/>
      <c r="DZ13" s="58"/>
      <c r="EA13" s="58">
        <v>1</v>
      </c>
      <c r="EB13" s="58">
        <v>1</v>
      </c>
      <c r="EC13" s="58"/>
      <c r="ED13" s="58">
        <v>1</v>
      </c>
      <c r="EE13" s="58">
        <v>1</v>
      </c>
      <c r="EF13" s="58"/>
      <c r="EG13" s="58">
        <v>1</v>
      </c>
      <c r="EH13" s="58">
        <v>1</v>
      </c>
      <c r="EI13" s="58">
        <v>1</v>
      </c>
      <c r="EJ13" s="58">
        <v>1</v>
      </c>
      <c r="EK13" s="58"/>
      <c r="EL13" s="58"/>
      <c r="EM13" s="58"/>
      <c r="EN13" s="58"/>
      <c r="EO13" s="58"/>
      <c r="EP13" s="58">
        <v>1</v>
      </c>
      <c r="EQ13" s="58">
        <v>1</v>
      </c>
      <c r="ER13" s="58"/>
      <c r="ES13" s="58"/>
      <c r="ET13" s="58"/>
      <c r="EU13" s="58"/>
      <c r="EV13" s="58"/>
      <c r="EW13" s="58"/>
      <c r="EX13" s="58"/>
      <c r="EY13" s="58"/>
      <c r="EZ13" s="58"/>
      <c r="FA13" s="58"/>
      <c r="FB13" s="58"/>
      <c r="FC13" s="68"/>
      <c r="FD13" s="61">
        <f t="array" ref="FD13">Bin2DecRange($DX13:$FC13)</f>
        <v>460861440</v>
      </c>
      <c r="FE13" s="6" t="str">
        <f t="shared" si="9"/>
        <v>RO_Data[2].ACT1[</v>
      </c>
      <c r="FF13" s="64">
        <f t="shared" si="20"/>
        <v>8</v>
      </c>
      <c r="FG13" s="65" t="s">
        <v>22</v>
      </c>
      <c r="FH13" s="69"/>
      <c r="FI13" s="58"/>
      <c r="FJ13" s="58"/>
      <c r="FK13" s="58"/>
      <c r="FL13" s="58"/>
      <c r="FM13" s="58"/>
      <c r="FN13" s="58"/>
      <c r="FO13" s="58"/>
      <c r="FP13" s="58"/>
      <c r="FQ13" s="58"/>
      <c r="FR13" s="58"/>
      <c r="FS13" s="58"/>
      <c r="FT13" s="58"/>
      <c r="FU13" s="58"/>
      <c r="FV13" s="58"/>
      <c r="FW13" s="58"/>
      <c r="FX13" s="58"/>
      <c r="FY13" s="58"/>
      <c r="FZ13" s="58"/>
      <c r="GA13" s="58"/>
      <c r="GB13" s="58"/>
      <c r="GC13" s="58"/>
      <c r="GD13" s="58"/>
      <c r="GE13" s="58">
        <v>1</v>
      </c>
      <c r="GF13" s="58">
        <v>1</v>
      </c>
      <c r="GG13" s="58">
        <v>1</v>
      </c>
      <c r="GH13" s="58">
        <v>1</v>
      </c>
      <c r="GI13" s="58">
        <v>1</v>
      </c>
      <c r="GJ13" s="58">
        <v>1</v>
      </c>
      <c r="GK13" s="58">
        <v>1</v>
      </c>
      <c r="GL13" s="58">
        <v>1</v>
      </c>
      <c r="GM13" s="68">
        <v>1</v>
      </c>
      <c r="GN13" s="61" cm="1">
        <f t="array" ref="GN13">Bin2DecRange($FH13:$GM13)</f>
        <v>511</v>
      </c>
      <c r="GO13" s="6" t="str">
        <f t="shared" si="10"/>
        <v>RO_Data[2].ACT5[</v>
      </c>
      <c r="GP13" s="64">
        <f t="shared" si="21"/>
        <v>8</v>
      </c>
      <c r="GQ13" s="65" t="s">
        <v>22</v>
      </c>
      <c r="GR13" s="69"/>
      <c r="GS13" s="58"/>
      <c r="GT13" s="58"/>
      <c r="GU13" s="58"/>
      <c r="GV13" s="58"/>
      <c r="GW13" s="58"/>
      <c r="GX13" s="58"/>
      <c r="GY13" s="58"/>
      <c r="GZ13" s="58"/>
      <c r="HA13" s="58"/>
      <c r="HB13" s="58"/>
      <c r="HC13" s="58"/>
      <c r="HD13" s="58"/>
      <c r="HE13" s="58"/>
      <c r="HF13" s="58"/>
      <c r="HG13" s="58"/>
      <c r="HH13" s="58"/>
      <c r="HI13" s="58"/>
      <c r="HJ13" s="58"/>
      <c r="HK13" s="58"/>
      <c r="HL13" s="58"/>
      <c r="HM13" s="58"/>
      <c r="HN13" s="58"/>
      <c r="HO13" s="58"/>
      <c r="HP13" s="58"/>
      <c r="HQ13" s="58"/>
      <c r="HR13" s="58"/>
      <c r="HS13" s="58"/>
      <c r="HT13" s="58"/>
      <c r="HU13" s="58"/>
      <c r="HV13" s="58"/>
      <c r="HW13" s="68"/>
      <c r="HX13" s="61" cm="1">
        <f t="array" ref="HX13">Bin2DecRange($GR13:$HW13)</f>
        <v>0</v>
      </c>
      <c r="HY13" s="6" t="str">
        <f t="shared" si="11"/>
        <v>RO_Data[2].ACT6[</v>
      </c>
      <c r="HZ13" s="64">
        <f t="shared" si="22"/>
        <v>8</v>
      </c>
      <c r="IA13" s="65" t="s">
        <v>22</v>
      </c>
      <c r="IB13" s="62" t="s">
        <v>228</v>
      </c>
      <c r="IC13" s="6" t="str">
        <f t="shared" si="12"/>
        <v>RO_Data[2].STEP_DESC[</v>
      </c>
      <c r="ID13" s="64">
        <f t="shared" si="23"/>
        <v>8</v>
      </c>
      <c r="IE13" s="65" t="s">
        <v>22</v>
      </c>
    </row>
    <row r="14" spans="1:239" s="70" customFormat="1" x14ac:dyDescent="0.25">
      <c r="A14" s="61">
        <v>9</v>
      </c>
      <c r="B14" s="61" t="str">
        <f t="shared" si="0"/>
        <v>CHECK PH - HOLD FOR ACKNOWLEDGE</v>
      </c>
      <c r="C14" s="78"/>
      <c r="D14" s="6" t="str">
        <f t="shared" si="1"/>
        <v>RO_Data[2].ACK_DESC[</v>
      </c>
      <c r="E14" s="64">
        <f t="shared" si="13"/>
        <v>9</v>
      </c>
      <c r="F14" s="65" t="s">
        <v>22</v>
      </c>
      <c r="G14" s="162">
        <v>0</v>
      </c>
      <c r="H14" s="6" t="str">
        <f t="shared" si="2"/>
        <v>RO_Data[2].MIN[</v>
      </c>
      <c r="I14" s="64">
        <f t="shared" si="14"/>
        <v>9</v>
      </c>
      <c r="J14" s="65" t="s">
        <v>22</v>
      </c>
      <c r="K14" s="162">
        <v>0</v>
      </c>
      <c r="L14" s="6" t="str">
        <f t="shared" si="3"/>
        <v>RO_Data[2].SEC[</v>
      </c>
      <c r="M14" s="64">
        <f t="shared" si="15"/>
        <v>9</v>
      </c>
      <c r="N14" s="65" t="s">
        <v>22</v>
      </c>
      <c r="O14" s="166">
        <v>0</v>
      </c>
      <c r="P14" s="6" t="str">
        <f t="shared" si="4"/>
        <v>RO_Data[2].SETPOINT[</v>
      </c>
      <c r="Q14" s="64">
        <f t="shared" si="16"/>
        <v>9</v>
      </c>
      <c r="R14" s="65" t="s">
        <v>22</v>
      </c>
      <c r="S14" s="66" t="str">
        <f t="shared" si="5"/>
        <v/>
      </c>
      <c r="T14" s="67"/>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v>1</v>
      </c>
      <c r="AW14" s="58"/>
      <c r="AX14" s="58"/>
      <c r="AY14" s="68"/>
      <c r="AZ14" s="61">
        <f t="array" ref="AZ14">Bin2DecRange($T14:$AY14)</f>
        <v>8</v>
      </c>
      <c r="BA14" s="6" t="str">
        <f t="shared" si="6"/>
        <v>RO_Data[2].COND1[</v>
      </c>
      <c r="BB14" s="64">
        <f t="shared" si="17"/>
        <v>9</v>
      </c>
      <c r="BC14" s="65" t="s">
        <v>22</v>
      </c>
      <c r="BD14" s="67"/>
      <c r="BE14" s="58"/>
      <c r="BF14" s="58"/>
      <c r="BG14" s="58">
        <v>1</v>
      </c>
      <c r="BH14" s="58"/>
      <c r="BI14" s="58"/>
      <c r="BJ14" s="58"/>
      <c r="BK14" s="58"/>
      <c r="BL14" s="58"/>
      <c r="BM14" s="58">
        <v>1</v>
      </c>
      <c r="BN14" s="58">
        <v>1</v>
      </c>
      <c r="BO14" s="58"/>
      <c r="BP14" s="58"/>
      <c r="BQ14" s="58"/>
      <c r="BR14" s="58"/>
      <c r="BS14" s="58"/>
      <c r="BT14" s="58"/>
      <c r="BU14" s="58"/>
      <c r="BV14" s="58"/>
      <c r="BW14" s="58"/>
      <c r="BX14" s="58"/>
      <c r="BY14" s="58"/>
      <c r="BZ14" s="58"/>
      <c r="CA14" s="58"/>
      <c r="CB14" s="58"/>
      <c r="CC14" s="58"/>
      <c r="CD14" s="58"/>
      <c r="CE14" s="58"/>
      <c r="CF14" s="58"/>
      <c r="CG14" s="58"/>
      <c r="CH14" s="58"/>
      <c r="CI14" s="68">
        <v>1</v>
      </c>
      <c r="CJ14" s="61" cm="1">
        <f t="array" ref="CJ14">Bin2DecRange($BD14:$CI14)</f>
        <v>274726913</v>
      </c>
      <c r="CK14" s="6" t="str">
        <f t="shared" si="7"/>
        <v>RO_Data[2].COND2[</v>
      </c>
      <c r="CL14" s="64">
        <f t="shared" si="18"/>
        <v>9</v>
      </c>
      <c r="CM14" s="65" t="s">
        <v>22</v>
      </c>
      <c r="CN14" s="67"/>
      <c r="CO14" s="58"/>
      <c r="CP14" s="58"/>
      <c r="CQ14" s="58"/>
      <c r="CR14" s="58"/>
      <c r="CS14" s="58"/>
      <c r="CT14" s="58"/>
      <c r="CU14" s="58"/>
      <c r="CV14" s="58"/>
      <c r="CW14" s="58"/>
      <c r="CX14" s="58"/>
      <c r="CY14" s="58"/>
      <c r="CZ14" s="58"/>
      <c r="DA14" s="58"/>
      <c r="DB14" s="58"/>
      <c r="DC14" s="58"/>
      <c r="DD14" s="58"/>
      <c r="DE14" s="58"/>
      <c r="DF14" s="58"/>
      <c r="DG14" s="58"/>
      <c r="DH14" s="58"/>
      <c r="DI14" s="58"/>
      <c r="DJ14" s="58"/>
      <c r="DK14" s="58"/>
      <c r="DL14" s="58"/>
      <c r="DM14" s="58"/>
      <c r="DN14" s="58"/>
      <c r="DO14" s="58"/>
      <c r="DP14" s="58"/>
      <c r="DQ14" s="58"/>
      <c r="DR14" s="58"/>
      <c r="DS14" s="68"/>
      <c r="DT14" s="61" cm="1">
        <f t="array" ref="DT14">Bin2DecRange($CN14:$DS14)</f>
        <v>0</v>
      </c>
      <c r="DU14" s="6" t="str">
        <f t="shared" si="8"/>
        <v>RO_Data[2].COND3[</v>
      </c>
      <c r="DV14" s="64">
        <f t="shared" si="19"/>
        <v>9</v>
      </c>
      <c r="DW14" s="65" t="s">
        <v>22</v>
      </c>
      <c r="DX14" s="69"/>
      <c r="DY14" s="58"/>
      <c r="DZ14" s="58"/>
      <c r="EA14" s="58">
        <v>1</v>
      </c>
      <c r="EB14" s="58">
        <v>1</v>
      </c>
      <c r="EC14" s="58"/>
      <c r="ED14" s="58">
        <v>1</v>
      </c>
      <c r="EE14" s="58">
        <v>1</v>
      </c>
      <c r="EF14" s="58"/>
      <c r="EG14" s="58">
        <v>1</v>
      </c>
      <c r="EH14" s="58">
        <v>1</v>
      </c>
      <c r="EI14" s="58">
        <v>1</v>
      </c>
      <c r="EJ14" s="58">
        <v>1</v>
      </c>
      <c r="EK14" s="58"/>
      <c r="EL14" s="58"/>
      <c r="EM14" s="58"/>
      <c r="EN14" s="58"/>
      <c r="EO14" s="58"/>
      <c r="EP14" s="58">
        <v>1</v>
      </c>
      <c r="EQ14" s="58">
        <v>1</v>
      </c>
      <c r="ER14" s="58"/>
      <c r="ES14" s="58"/>
      <c r="ET14" s="58"/>
      <c r="EU14" s="58"/>
      <c r="EV14" s="58"/>
      <c r="EW14" s="58"/>
      <c r="EX14" s="58"/>
      <c r="EY14" s="58"/>
      <c r="EZ14" s="58"/>
      <c r="FA14" s="58"/>
      <c r="FB14" s="58"/>
      <c r="FC14" s="68"/>
      <c r="FD14" s="61">
        <f t="array" ref="FD14">Bin2DecRange($DX14:$FC14)</f>
        <v>460861440</v>
      </c>
      <c r="FE14" s="6" t="str">
        <f t="shared" si="9"/>
        <v>RO_Data[2].ACT1[</v>
      </c>
      <c r="FF14" s="64">
        <f t="shared" si="20"/>
        <v>9</v>
      </c>
      <c r="FG14" s="65" t="s">
        <v>22</v>
      </c>
      <c r="FH14" s="69"/>
      <c r="FI14" s="58"/>
      <c r="FJ14" s="58"/>
      <c r="FK14" s="58"/>
      <c r="FL14" s="58"/>
      <c r="FM14" s="58"/>
      <c r="FN14" s="58"/>
      <c r="FO14" s="58"/>
      <c r="FP14" s="58"/>
      <c r="FQ14" s="58"/>
      <c r="FR14" s="58"/>
      <c r="FS14" s="58"/>
      <c r="FT14" s="58"/>
      <c r="FU14" s="58"/>
      <c r="FV14" s="58"/>
      <c r="FW14" s="58"/>
      <c r="FX14" s="58"/>
      <c r="FY14" s="58"/>
      <c r="FZ14" s="58"/>
      <c r="GA14" s="58"/>
      <c r="GB14" s="58"/>
      <c r="GC14" s="58"/>
      <c r="GD14" s="58"/>
      <c r="GE14" s="58">
        <v>1</v>
      </c>
      <c r="GF14" s="58">
        <v>1</v>
      </c>
      <c r="GG14" s="58">
        <v>1</v>
      </c>
      <c r="GH14" s="58">
        <v>1</v>
      </c>
      <c r="GI14" s="58">
        <v>1</v>
      </c>
      <c r="GJ14" s="58">
        <v>1</v>
      </c>
      <c r="GK14" s="58">
        <v>1</v>
      </c>
      <c r="GL14" s="58">
        <v>1</v>
      </c>
      <c r="GM14" s="68">
        <v>1</v>
      </c>
      <c r="GN14" s="61" cm="1">
        <f t="array" ref="GN14">Bin2DecRange($FH14:$GM14)</f>
        <v>511</v>
      </c>
      <c r="GO14" s="6" t="str">
        <f t="shared" si="10"/>
        <v>RO_Data[2].ACT5[</v>
      </c>
      <c r="GP14" s="64">
        <f t="shared" si="21"/>
        <v>9</v>
      </c>
      <c r="GQ14" s="65" t="s">
        <v>22</v>
      </c>
      <c r="GR14" s="69"/>
      <c r="GS14" s="58"/>
      <c r="GT14" s="58"/>
      <c r="GU14" s="58"/>
      <c r="GV14" s="58"/>
      <c r="GW14" s="58"/>
      <c r="GX14" s="58"/>
      <c r="GY14" s="58"/>
      <c r="GZ14" s="58"/>
      <c r="HA14" s="58"/>
      <c r="HB14" s="58"/>
      <c r="HC14" s="58"/>
      <c r="HD14" s="58"/>
      <c r="HE14" s="58"/>
      <c r="HF14" s="58"/>
      <c r="HG14" s="58"/>
      <c r="HH14" s="58"/>
      <c r="HI14" s="58"/>
      <c r="HJ14" s="58"/>
      <c r="HK14" s="58"/>
      <c r="HL14" s="58"/>
      <c r="HM14" s="58"/>
      <c r="HN14" s="58"/>
      <c r="HO14" s="58"/>
      <c r="HP14" s="58"/>
      <c r="HQ14" s="58"/>
      <c r="HR14" s="58"/>
      <c r="HS14" s="58"/>
      <c r="HT14" s="58"/>
      <c r="HU14" s="58"/>
      <c r="HV14" s="58"/>
      <c r="HW14" s="68"/>
      <c r="HX14" s="61" cm="1">
        <f t="array" ref="HX14">Bin2DecRange($GR14:$HW14)</f>
        <v>0</v>
      </c>
      <c r="HY14" s="6" t="str">
        <f t="shared" si="11"/>
        <v>RO_Data[2].ACT6[</v>
      </c>
      <c r="HZ14" s="64">
        <f t="shared" si="22"/>
        <v>9</v>
      </c>
      <c r="IA14" s="65" t="s">
        <v>22</v>
      </c>
      <c r="IB14" s="62" t="s">
        <v>355</v>
      </c>
      <c r="IC14" s="6" t="str">
        <f t="shared" si="12"/>
        <v>RO_Data[2].STEP_DESC[</v>
      </c>
      <c r="ID14" s="64">
        <f t="shared" si="23"/>
        <v>9</v>
      </c>
      <c r="IE14" s="65" t="s">
        <v>22</v>
      </c>
    </row>
    <row r="15" spans="1:239" s="70" customFormat="1" x14ac:dyDescent="0.25">
      <c r="A15" s="61">
        <v>10</v>
      </c>
      <c r="B15" s="61" t="str">
        <f t="shared" si="0"/>
        <v>WASH 1</v>
      </c>
      <c r="C15" s="78"/>
      <c r="D15" s="6" t="str">
        <f t="shared" si="1"/>
        <v>RO_Data[2].ACK_DESC[</v>
      </c>
      <c r="E15" s="64">
        <f t="shared" si="13"/>
        <v>10</v>
      </c>
      <c r="F15" s="65" t="s">
        <v>22</v>
      </c>
      <c r="G15" s="162">
        <v>0</v>
      </c>
      <c r="H15" s="6" t="str">
        <f t="shared" si="2"/>
        <v>RO_Data[2].MIN[</v>
      </c>
      <c r="I15" s="64">
        <f t="shared" si="14"/>
        <v>10</v>
      </c>
      <c r="J15" s="65" t="s">
        <v>22</v>
      </c>
      <c r="K15" s="162">
        <v>1</v>
      </c>
      <c r="L15" s="6" t="str">
        <f t="shared" si="3"/>
        <v>RO_Data[2].SEC[</v>
      </c>
      <c r="M15" s="64">
        <f t="shared" si="15"/>
        <v>10</v>
      </c>
      <c r="N15" s="65" t="s">
        <v>22</v>
      </c>
      <c r="O15" s="166">
        <v>0</v>
      </c>
      <c r="P15" s="6" t="str">
        <f t="shared" si="4"/>
        <v>RO_Data[2].SETPOINT[</v>
      </c>
      <c r="Q15" s="64">
        <f t="shared" si="16"/>
        <v>10</v>
      </c>
      <c r="R15" s="65" t="s">
        <v>22</v>
      </c>
      <c r="S15" s="66" t="str">
        <f t="shared" si="5"/>
        <v>P</v>
      </c>
      <c r="T15" s="67"/>
      <c r="U15" s="58"/>
      <c r="V15" s="58"/>
      <c r="W15" s="58"/>
      <c r="X15" s="58"/>
      <c r="Y15" s="58"/>
      <c r="Z15" s="58"/>
      <c r="AA15" s="58"/>
      <c r="AB15" s="58"/>
      <c r="AC15" s="58"/>
      <c r="AD15" s="58"/>
      <c r="AE15" s="58"/>
      <c r="AF15" s="58"/>
      <c r="AG15" s="58"/>
      <c r="AH15" s="58"/>
      <c r="AI15" s="58"/>
      <c r="AJ15" s="58"/>
      <c r="AK15" s="58"/>
      <c r="AL15" s="58"/>
      <c r="AM15" s="58"/>
      <c r="AN15" s="58"/>
      <c r="AO15" s="58"/>
      <c r="AP15" s="58">
        <v>1</v>
      </c>
      <c r="AQ15" s="58"/>
      <c r="AR15" s="58"/>
      <c r="AS15" s="58"/>
      <c r="AT15" s="58"/>
      <c r="AU15" s="58"/>
      <c r="AV15" s="58"/>
      <c r="AW15" s="58"/>
      <c r="AX15" s="58"/>
      <c r="AY15" s="68"/>
      <c r="AZ15" s="61">
        <f t="array" ref="AZ15">Bin2DecRange($T15:$AY15)</f>
        <v>512</v>
      </c>
      <c r="BA15" s="6" t="str">
        <f t="shared" si="6"/>
        <v>RO_Data[2].COND1[</v>
      </c>
      <c r="BB15" s="64">
        <f t="shared" si="17"/>
        <v>10</v>
      </c>
      <c r="BC15" s="65" t="s">
        <v>22</v>
      </c>
      <c r="BD15" s="67"/>
      <c r="BE15" s="58"/>
      <c r="BF15" s="58"/>
      <c r="BG15" s="58"/>
      <c r="BH15" s="58"/>
      <c r="BI15" s="58"/>
      <c r="BJ15" s="58"/>
      <c r="BK15" s="58"/>
      <c r="BL15" s="58"/>
      <c r="BM15" s="58">
        <v>1</v>
      </c>
      <c r="BN15" s="58">
        <v>1</v>
      </c>
      <c r="BO15" s="58"/>
      <c r="BP15" s="58"/>
      <c r="BQ15" s="58"/>
      <c r="BR15" s="58"/>
      <c r="BS15" s="58"/>
      <c r="BT15" s="58"/>
      <c r="BU15" s="58"/>
      <c r="BV15" s="58"/>
      <c r="BW15" s="58"/>
      <c r="BX15" s="58"/>
      <c r="BY15" s="58"/>
      <c r="BZ15" s="58"/>
      <c r="CA15" s="58">
        <v>1</v>
      </c>
      <c r="CB15" s="58"/>
      <c r="CC15" s="58"/>
      <c r="CD15" s="58"/>
      <c r="CE15" s="58"/>
      <c r="CF15" s="58"/>
      <c r="CG15" s="58"/>
      <c r="CH15" s="58"/>
      <c r="CI15" s="68">
        <v>1</v>
      </c>
      <c r="CJ15" s="61" cm="1">
        <f t="array" ref="CJ15">Bin2DecRange($BD15:$CI15)</f>
        <v>6291713</v>
      </c>
      <c r="CK15" s="6" t="str">
        <f t="shared" si="7"/>
        <v>RO_Data[2].COND2[</v>
      </c>
      <c r="CL15" s="64">
        <f t="shared" si="18"/>
        <v>10</v>
      </c>
      <c r="CM15" s="65" t="s">
        <v>22</v>
      </c>
      <c r="CN15" s="67"/>
      <c r="CO15" s="58"/>
      <c r="CP15" s="58"/>
      <c r="CQ15" s="58"/>
      <c r="CR15" s="58"/>
      <c r="CS15" s="58"/>
      <c r="CT15" s="58"/>
      <c r="CU15" s="58"/>
      <c r="CV15" s="58"/>
      <c r="CW15" s="58"/>
      <c r="CX15" s="58"/>
      <c r="CY15" s="58"/>
      <c r="CZ15" s="58"/>
      <c r="DA15" s="58"/>
      <c r="DB15" s="58"/>
      <c r="DC15" s="58"/>
      <c r="DD15" s="58"/>
      <c r="DE15" s="58"/>
      <c r="DF15" s="58"/>
      <c r="DG15" s="58"/>
      <c r="DH15" s="58"/>
      <c r="DI15" s="58"/>
      <c r="DJ15" s="58"/>
      <c r="DK15" s="58"/>
      <c r="DL15" s="58"/>
      <c r="DM15" s="58"/>
      <c r="DN15" s="58"/>
      <c r="DO15" s="58"/>
      <c r="DP15" s="58"/>
      <c r="DQ15" s="58"/>
      <c r="DR15" s="58"/>
      <c r="DS15" s="68"/>
      <c r="DT15" s="61" cm="1">
        <f t="array" ref="DT15">Bin2DecRange($CN15:$DS15)</f>
        <v>0</v>
      </c>
      <c r="DU15" s="6" t="str">
        <f t="shared" si="8"/>
        <v>RO_Data[2].COND3[</v>
      </c>
      <c r="DV15" s="64">
        <f t="shared" si="19"/>
        <v>10</v>
      </c>
      <c r="DW15" s="65" t="s">
        <v>22</v>
      </c>
      <c r="DX15" s="69"/>
      <c r="DY15" s="58"/>
      <c r="DZ15" s="58"/>
      <c r="EA15" s="58">
        <v>1</v>
      </c>
      <c r="EB15" s="58">
        <v>1</v>
      </c>
      <c r="EC15" s="58"/>
      <c r="ED15" s="58">
        <v>1</v>
      </c>
      <c r="EE15" s="58">
        <v>1</v>
      </c>
      <c r="EF15" s="58"/>
      <c r="EG15" s="58">
        <v>1</v>
      </c>
      <c r="EH15" s="58">
        <v>1</v>
      </c>
      <c r="EI15" s="58">
        <v>1</v>
      </c>
      <c r="EJ15" s="58">
        <v>1</v>
      </c>
      <c r="EK15" s="58"/>
      <c r="EL15" s="58"/>
      <c r="EM15" s="58"/>
      <c r="EN15" s="58"/>
      <c r="EO15" s="58"/>
      <c r="EP15" s="58">
        <v>1</v>
      </c>
      <c r="EQ15" s="58">
        <v>1</v>
      </c>
      <c r="ER15" s="58"/>
      <c r="ES15" s="58"/>
      <c r="ET15" s="58"/>
      <c r="EU15" s="58"/>
      <c r="EV15" s="58"/>
      <c r="EW15" s="58"/>
      <c r="EX15" s="58"/>
      <c r="EY15" s="58">
        <v>1</v>
      </c>
      <c r="EZ15" s="58">
        <v>1</v>
      </c>
      <c r="FA15" s="58">
        <v>1</v>
      </c>
      <c r="FB15" s="58"/>
      <c r="FC15" s="68">
        <v>1</v>
      </c>
      <c r="FD15" s="61">
        <f t="array" ref="FD15">Bin2DecRange($DX15:$FC15)</f>
        <v>460861469</v>
      </c>
      <c r="FE15" s="6" t="str">
        <f t="shared" si="9"/>
        <v>RO_Data[2].ACT1[</v>
      </c>
      <c r="FF15" s="64">
        <f t="shared" si="20"/>
        <v>10</v>
      </c>
      <c r="FG15" s="65" t="s">
        <v>22</v>
      </c>
      <c r="FH15" s="69"/>
      <c r="FI15" s="58"/>
      <c r="FJ15" s="58"/>
      <c r="FK15" s="58"/>
      <c r="FL15" s="58"/>
      <c r="FM15" s="58"/>
      <c r="FN15" s="58"/>
      <c r="FO15" s="58"/>
      <c r="FP15" s="58"/>
      <c r="FQ15" s="58"/>
      <c r="FR15" s="58"/>
      <c r="FS15" s="58"/>
      <c r="FT15" s="58"/>
      <c r="FU15" s="58"/>
      <c r="FV15" s="58"/>
      <c r="FW15" s="58"/>
      <c r="FX15" s="58"/>
      <c r="FY15" s="58"/>
      <c r="FZ15" s="58"/>
      <c r="GA15" s="58"/>
      <c r="GB15" s="58"/>
      <c r="GC15" s="58"/>
      <c r="GD15" s="58"/>
      <c r="GE15" s="58">
        <v>1</v>
      </c>
      <c r="GF15" s="58">
        <v>1</v>
      </c>
      <c r="GG15" s="58">
        <v>1</v>
      </c>
      <c r="GH15" s="58">
        <v>1</v>
      </c>
      <c r="GI15" s="58">
        <v>1</v>
      </c>
      <c r="GJ15" s="58">
        <v>1</v>
      </c>
      <c r="GK15" s="58">
        <v>1</v>
      </c>
      <c r="GL15" s="58">
        <v>1</v>
      </c>
      <c r="GM15" s="68">
        <v>1</v>
      </c>
      <c r="GN15" s="61" cm="1">
        <f t="array" ref="GN15">Bin2DecRange($FH15:$GM15)</f>
        <v>511</v>
      </c>
      <c r="GO15" s="6" t="str">
        <f t="shared" si="10"/>
        <v>RO_Data[2].ACT5[</v>
      </c>
      <c r="GP15" s="64">
        <f t="shared" si="21"/>
        <v>10</v>
      </c>
      <c r="GQ15" s="65" t="s">
        <v>22</v>
      </c>
      <c r="GR15" s="69"/>
      <c r="GS15" s="58"/>
      <c r="GT15" s="58"/>
      <c r="GU15" s="58"/>
      <c r="GV15" s="58"/>
      <c r="GW15" s="58"/>
      <c r="GX15" s="58"/>
      <c r="GY15" s="58"/>
      <c r="GZ15" s="58"/>
      <c r="HA15" s="58"/>
      <c r="HB15" s="58"/>
      <c r="HC15" s="58"/>
      <c r="HD15" s="58"/>
      <c r="HE15" s="58"/>
      <c r="HF15" s="58"/>
      <c r="HG15" s="58"/>
      <c r="HH15" s="58"/>
      <c r="HI15" s="58"/>
      <c r="HJ15" s="58"/>
      <c r="HK15" s="58"/>
      <c r="HL15" s="58"/>
      <c r="HM15" s="58"/>
      <c r="HN15" s="58"/>
      <c r="HO15" s="58"/>
      <c r="HP15" s="58"/>
      <c r="HQ15" s="58"/>
      <c r="HR15" s="58"/>
      <c r="HS15" s="58"/>
      <c r="HT15" s="58"/>
      <c r="HU15" s="58"/>
      <c r="HV15" s="58"/>
      <c r="HW15" s="68"/>
      <c r="HX15" s="61" cm="1">
        <f t="array" ref="HX15">Bin2DecRange($GR15:$HW15)</f>
        <v>0</v>
      </c>
      <c r="HY15" s="6" t="str">
        <f t="shared" si="11"/>
        <v>RO_Data[2].ACT6[</v>
      </c>
      <c r="HZ15" s="64">
        <f t="shared" si="22"/>
        <v>10</v>
      </c>
      <c r="IA15" s="65" t="s">
        <v>22</v>
      </c>
      <c r="IB15" s="62" t="s">
        <v>229</v>
      </c>
      <c r="IC15" s="6" t="str">
        <f t="shared" si="12"/>
        <v>RO_Data[2].STEP_DESC[</v>
      </c>
      <c r="ID15" s="64">
        <f t="shared" si="23"/>
        <v>10</v>
      </c>
      <c r="IE15" s="65" t="s">
        <v>22</v>
      </c>
    </row>
    <row r="16" spans="1:239" x14ac:dyDescent="0.25">
      <c r="A16" s="8">
        <v>11</v>
      </c>
      <c r="B16" s="8" t="str">
        <f t="shared" si="0"/>
        <v>PUMPING DOWN FEED TANK</v>
      </c>
      <c r="C16" s="77"/>
      <c r="D16" s="6" t="str">
        <f t="shared" si="1"/>
        <v>RO_Data[2].ACK_DESC[</v>
      </c>
      <c r="E16" s="23">
        <f t="shared" si="13"/>
        <v>11</v>
      </c>
      <c r="F16" s="113" t="s">
        <v>22</v>
      </c>
      <c r="G16" s="161">
        <v>0</v>
      </c>
      <c r="H16" s="6" t="str">
        <f t="shared" si="2"/>
        <v>RO_Data[2].MIN[</v>
      </c>
      <c r="I16" s="23">
        <f t="shared" si="14"/>
        <v>11</v>
      </c>
      <c r="J16" s="113" t="s">
        <v>22</v>
      </c>
      <c r="K16" s="161">
        <v>1</v>
      </c>
      <c r="L16" s="6" t="str">
        <f t="shared" si="3"/>
        <v>RO_Data[2].SEC[</v>
      </c>
      <c r="M16" s="23">
        <f t="shared" si="15"/>
        <v>11</v>
      </c>
      <c r="N16" s="27" t="s">
        <v>22</v>
      </c>
      <c r="O16" s="165">
        <v>0</v>
      </c>
      <c r="P16" s="6" t="str">
        <f t="shared" si="4"/>
        <v>RO_Data[2].SETPOINT[</v>
      </c>
      <c r="Q16" s="23">
        <f t="shared" si="16"/>
        <v>11</v>
      </c>
      <c r="R16" s="113" t="s">
        <v>22</v>
      </c>
      <c r="S16" s="9" t="str">
        <f t="shared" si="5"/>
        <v>P</v>
      </c>
      <c r="T16" s="18"/>
      <c r="U16" s="19"/>
      <c r="V16" s="19"/>
      <c r="W16" s="19"/>
      <c r="X16" s="19"/>
      <c r="Y16" s="58"/>
      <c r="Z16" s="58"/>
      <c r="AA16" s="58"/>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RO_Data[2].COND1[</v>
      </c>
      <c r="BB16" s="23">
        <f t="shared" si="17"/>
        <v>11</v>
      </c>
      <c r="BC16" s="27"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27"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27"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3"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3"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27" t="s">
        <v>22</v>
      </c>
      <c r="IB16" s="10" t="s">
        <v>230</v>
      </c>
      <c r="IC16" s="6" t="str">
        <f t="shared" si="12"/>
        <v>RO_Data[2].STEP_DESC[</v>
      </c>
      <c r="ID16" s="23">
        <f t="shared" si="23"/>
        <v>11</v>
      </c>
      <c r="IE16" s="113" t="s">
        <v>22</v>
      </c>
    </row>
    <row r="17" spans="1:239" x14ac:dyDescent="0.25">
      <c r="A17" s="8">
        <v>12</v>
      </c>
      <c r="B17" s="8" t="str">
        <f t="shared" si="0"/>
        <v>DRAINING FEED TANK</v>
      </c>
      <c r="C17" s="77"/>
      <c r="D17" s="6" t="str">
        <f t="shared" si="1"/>
        <v>RO_Data[2].ACK_DESC[</v>
      </c>
      <c r="E17" s="23">
        <f t="shared" si="13"/>
        <v>12</v>
      </c>
      <c r="F17" s="113" t="s">
        <v>22</v>
      </c>
      <c r="G17" s="161">
        <v>0</v>
      </c>
      <c r="H17" s="6" t="str">
        <f t="shared" si="2"/>
        <v>RO_Data[2].MIN[</v>
      </c>
      <c r="I17" s="23">
        <f t="shared" si="14"/>
        <v>12</v>
      </c>
      <c r="J17" s="113" t="s">
        <v>22</v>
      </c>
      <c r="K17" s="161">
        <v>1</v>
      </c>
      <c r="L17" s="6" t="str">
        <f t="shared" si="3"/>
        <v>RO_Data[2].SEC[</v>
      </c>
      <c r="M17" s="23">
        <f t="shared" si="15"/>
        <v>12</v>
      </c>
      <c r="N17" s="27" t="s">
        <v>22</v>
      </c>
      <c r="O17" s="165">
        <v>0</v>
      </c>
      <c r="P17" s="6" t="str">
        <f t="shared" si="4"/>
        <v>RO_Data[2].SETPOINT[</v>
      </c>
      <c r="Q17" s="23">
        <f t="shared" si="16"/>
        <v>12</v>
      </c>
      <c r="R17" s="113" t="s">
        <v>22</v>
      </c>
      <c r="S17" s="9" t="str">
        <f t="shared" si="5"/>
        <v>P</v>
      </c>
      <c r="T17" s="18"/>
      <c r="U17" s="19"/>
      <c r="V17" s="19"/>
      <c r="W17" s="19"/>
      <c r="X17" s="19"/>
      <c r="Y17" s="58"/>
      <c r="Z17" s="58"/>
      <c r="AA17" s="58"/>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RO_Data[2].COND1[</v>
      </c>
      <c r="BB17" s="23">
        <f t="shared" si="17"/>
        <v>12</v>
      </c>
      <c r="BC17" s="27"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27"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27"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3"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3"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27" t="s">
        <v>22</v>
      </c>
      <c r="IB17" s="10" t="s">
        <v>231</v>
      </c>
      <c r="IC17" s="6" t="str">
        <f t="shared" si="12"/>
        <v>RO_Data[2].STEP_DESC[</v>
      </c>
      <c r="ID17" s="23">
        <f t="shared" si="23"/>
        <v>12</v>
      </c>
      <c r="IE17" s="113" t="s">
        <v>22</v>
      </c>
    </row>
    <row r="18" spans="1:239" x14ac:dyDescent="0.25">
      <c r="A18" s="8">
        <v>13</v>
      </c>
      <c r="B18" s="8" t="str">
        <f t="shared" si="0"/>
        <v>FILLING FEED TANK TO SET POINT LEVEL</v>
      </c>
      <c r="C18" s="77"/>
      <c r="D18" s="6" t="str">
        <f t="shared" si="1"/>
        <v>RO_Data[2].ACK_DESC[</v>
      </c>
      <c r="E18" s="23">
        <f t="shared" si="13"/>
        <v>13</v>
      </c>
      <c r="F18" s="113" t="s">
        <v>22</v>
      </c>
      <c r="G18" s="161">
        <v>0</v>
      </c>
      <c r="H18" s="6" t="str">
        <f t="shared" si="2"/>
        <v>RO_Data[2].MIN[</v>
      </c>
      <c r="I18" s="23">
        <f t="shared" si="14"/>
        <v>13</v>
      </c>
      <c r="J18" s="113" t="s">
        <v>22</v>
      </c>
      <c r="K18" s="161">
        <v>1</v>
      </c>
      <c r="L18" s="6" t="str">
        <f t="shared" si="3"/>
        <v>RO_Data[2].SEC[</v>
      </c>
      <c r="M18" s="23">
        <f t="shared" si="15"/>
        <v>13</v>
      </c>
      <c r="N18" s="27" t="s">
        <v>22</v>
      </c>
      <c r="O18" s="165">
        <v>0</v>
      </c>
      <c r="P18" s="6" t="str">
        <f t="shared" si="4"/>
        <v>RO_Data[2].SETPOINT[</v>
      </c>
      <c r="Q18" s="23">
        <f t="shared" si="16"/>
        <v>13</v>
      </c>
      <c r="R18" s="113" t="s">
        <v>22</v>
      </c>
      <c r="S18" s="9" t="str">
        <f t="shared" si="5"/>
        <v>P</v>
      </c>
      <c r="T18" s="18"/>
      <c r="U18" s="19"/>
      <c r="V18" s="19"/>
      <c r="W18" s="19"/>
      <c r="X18" s="19"/>
      <c r="Y18" s="58"/>
      <c r="Z18" s="58"/>
      <c r="AA18" s="58"/>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66048</v>
      </c>
      <c r="BA18" s="6" t="str">
        <f t="shared" si="6"/>
        <v>RO_Data[2].COND1[</v>
      </c>
      <c r="BB18" s="23">
        <f t="shared" si="17"/>
        <v>13</v>
      </c>
      <c r="BC18" s="27"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27"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27"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3"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3"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27" t="s">
        <v>22</v>
      </c>
      <c r="IB18" s="10" t="s">
        <v>224</v>
      </c>
      <c r="IC18" s="6" t="str">
        <f t="shared" si="12"/>
        <v>RO_Data[2].STEP_DESC[</v>
      </c>
      <c r="ID18" s="23">
        <f t="shared" si="23"/>
        <v>13</v>
      </c>
      <c r="IE18" s="113" t="s">
        <v>22</v>
      </c>
    </row>
    <row r="19" spans="1:239" x14ac:dyDescent="0.25">
      <c r="A19" s="8">
        <v>14</v>
      </c>
      <c r="B19" s="8" t="str">
        <f t="shared" si="0"/>
        <v>STARTING PUMPS</v>
      </c>
      <c r="C19" s="77"/>
      <c r="D19" s="6" t="str">
        <f t="shared" si="1"/>
        <v>RO_Data[2].ACK_DESC[</v>
      </c>
      <c r="E19" s="23">
        <f t="shared" si="13"/>
        <v>14</v>
      </c>
      <c r="F19" s="113" t="s">
        <v>22</v>
      </c>
      <c r="G19" s="161">
        <v>0</v>
      </c>
      <c r="H19" s="6" t="str">
        <f t="shared" si="2"/>
        <v>RO_Data[2].MIN[</v>
      </c>
      <c r="I19" s="23">
        <f t="shared" si="14"/>
        <v>14</v>
      </c>
      <c r="J19" s="113" t="s">
        <v>22</v>
      </c>
      <c r="K19" s="161">
        <v>30</v>
      </c>
      <c r="L19" s="6" t="str">
        <f t="shared" si="3"/>
        <v>RO_Data[2].SEC[</v>
      </c>
      <c r="M19" s="23">
        <f t="shared" si="15"/>
        <v>14</v>
      </c>
      <c r="N19" s="27" t="s">
        <v>22</v>
      </c>
      <c r="O19" s="165">
        <v>0</v>
      </c>
      <c r="P19" s="6" t="str">
        <f t="shared" si="4"/>
        <v>RO_Data[2].SETPOINT[</v>
      </c>
      <c r="Q19" s="23">
        <f t="shared" si="16"/>
        <v>14</v>
      </c>
      <c r="R19" s="113" t="s">
        <v>22</v>
      </c>
      <c r="S19" s="9" t="str">
        <f t="shared" si="5"/>
        <v>P</v>
      </c>
      <c r="T19" s="18"/>
      <c r="U19" s="19"/>
      <c r="V19" s="19"/>
      <c r="W19" s="19"/>
      <c r="X19" s="19"/>
      <c r="Y19" s="58"/>
      <c r="Z19" s="58"/>
      <c r="AA19" s="58"/>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RO_Data[2].COND1[</v>
      </c>
      <c r="BB19" s="23">
        <f t="shared" si="17"/>
        <v>14</v>
      </c>
      <c r="BC19" s="27"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27"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27"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3"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3"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27" t="s">
        <v>22</v>
      </c>
      <c r="IB19" s="10" t="s">
        <v>225</v>
      </c>
      <c r="IC19" s="6" t="str">
        <f t="shared" si="12"/>
        <v>RO_Data[2].STEP_DESC[</v>
      </c>
      <c r="ID19" s="23">
        <f t="shared" si="23"/>
        <v>14</v>
      </c>
      <c r="IE19" s="113" t="s">
        <v>22</v>
      </c>
    </row>
    <row r="20" spans="1:239" x14ac:dyDescent="0.25">
      <c r="A20" s="8">
        <v>15</v>
      </c>
      <c r="B20" s="8" t="str">
        <f t="shared" si="0"/>
        <v>RINSING STAGES</v>
      </c>
      <c r="C20" s="77"/>
      <c r="D20" s="6" t="str">
        <f t="shared" si="1"/>
        <v>RO_Data[2].ACK_DESC[</v>
      </c>
      <c r="E20" s="23">
        <f t="shared" si="13"/>
        <v>15</v>
      </c>
      <c r="F20" s="113" t="s">
        <v>22</v>
      </c>
      <c r="G20" s="161">
        <v>0</v>
      </c>
      <c r="H20" s="6" t="str">
        <f t="shared" si="2"/>
        <v>RO_Data[2].MIN[</v>
      </c>
      <c r="I20" s="23">
        <f t="shared" si="14"/>
        <v>15</v>
      </c>
      <c r="J20" s="113" t="s">
        <v>22</v>
      </c>
      <c r="K20" s="161">
        <v>1</v>
      </c>
      <c r="L20" s="6" t="str">
        <f t="shared" si="3"/>
        <v>RO_Data[2].SEC[</v>
      </c>
      <c r="M20" s="23">
        <f t="shared" si="15"/>
        <v>15</v>
      </c>
      <c r="N20" s="27" t="s">
        <v>22</v>
      </c>
      <c r="O20" s="165">
        <v>0</v>
      </c>
      <c r="P20" s="6" t="str">
        <f t="shared" si="4"/>
        <v>RO_Data[2].SETPOINT[</v>
      </c>
      <c r="Q20" s="23">
        <f t="shared" si="16"/>
        <v>15</v>
      </c>
      <c r="R20" s="113" t="s">
        <v>22</v>
      </c>
      <c r="S20" s="9" t="str">
        <f t="shared" si="5"/>
        <v>P</v>
      </c>
      <c r="T20" s="18"/>
      <c r="U20" s="19"/>
      <c r="V20" s="19"/>
      <c r="W20" s="19"/>
      <c r="X20" s="19"/>
      <c r="Y20" s="58"/>
      <c r="Z20" s="58"/>
      <c r="AA20" s="58"/>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4608</v>
      </c>
      <c r="BA20" s="6" t="str">
        <f t="shared" si="6"/>
        <v>RO_Data[2].COND1[</v>
      </c>
      <c r="BB20" s="23">
        <f t="shared" si="17"/>
        <v>15</v>
      </c>
      <c r="BC20" s="27"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27"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27"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3"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3"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27" t="s">
        <v>22</v>
      </c>
      <c r="IB20" s="10" t="s">
        <v>226</v>
      </c>
      <c r="IC20" s="6" t="str">
        <f t="shared" si="12"/>
        <v>RO_Data[2].STEP_DESC[</v>
      </c>
      <c r="ID20" s="23">
        <f t="shared" si="23"/>
        <v>15</v>
      </c>
      <c r="IE20" s="113" t="s">
        <v>22</v>
      </c>
    </row>
    <row r="21" spans="1:239" x14ac:dyDescent="0.25">
      <c r="A21" s="8">
        <v>16</v>
      </c>
      <c r="B21" s="8" t="str">
        <f t="shared" si="0"/>
        <v>PAUSE</v>
      </c>
      <c r="C21" s="77"/>
      <c r="D21" s="6" t="str">
        <f t="shared" si="1"/>
        <v>RO_Data[2].ACK_DESC[</v>
      </c>
      <c r="E21" s="23">
        <f t="shared" si="13"/>
        <v>16</v>
      </c>
      <c r="F21" s="113" t="s">
        <v>22</v>
      </c>
      <c r="G21" s="161">
        <v>0</v>
      </c>
      <c r="H21" s="6" t="str">
        <f t="shared" si="2"/>
        <v>RO_Data[2].MIN[</v>
      </c>
      <c r="I21" s="23">
        <f t="shared" si="14"/>
        <v>16</v>
      </c>
      <c r="J21" s="113" t="s">
        <v>22</v>
      </c>
      <c r="K21" s="161">
        <v>10</v>
      </c>
      <c r="L21" s="6" t="str">
        <f t="shared" si="3"/>
        <v>RO_Data[2].SEC[</v>
      </c>
      <c r="M21" s="23">
        <f t="shared" si="15"/>
        <v>16</v>
      </c>
      <c r="N21" s="27" t="s">
        <v>22</v>
      </c>
      <c r="O21" s="165">
        <v>0</v>
      </c>
      <c r="P21" s="6" t="str">
        <f t="shared" si="4"/>
        <v>RO_Data[2].SETPOINT[</v>
      </c>
      <c r="Q21" s="23">
        <f t="shared" si="16"/>
        <v>16</v>
      </c>
      <c r="R21" s="113" t="s">
        <v>22</v>
      </c>
      <c r="S21" s="9" t="str">
        <f t="shared" si="5"/>
        <v>P</v>
      </c>
      <c r="T21" s="18"/>
      <c r="U21" s="19"/>
      <c r="V21" s="19"/>
      <c r="W21" s="19"/>
      <c r="X21" s="19"/>
      <c r="Y21" s="58"/>
      <c r="Z21" s="58"/>
      <c r="AA21" s="58"/>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RO_Data[2].COND1[</v>
      </c>
      <c r="BB21" s="23">
        <f t="shared" si="17"/>
        <v>16</v>
      </c>
      <c r="BC21" s="27"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27"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27"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3"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3"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27" t="s">
        <v>22</v>
      </c>
      <c r="IB21" s="10" t="s">
        <v>222</v>
      </c>
      <c r="IC21" s="6" t="str">
        <f t="shared" si="12"/>
        <v>RO_Data[2].STEP_DESC[</v>
      </c>
      <c r="ID21" s="23">
        <f t="shared" si="23"/>
        <v>16</v>
      </c>
      <c r="IE21" s="113" t="s">
        <v>22</v>
      </c>
    </row>
    <row r="22" spans="1:239" x14ac:dyDescent="0.25">
      <c r="A22" s="8">
        <v>17</v>
      </c>
      <c r="B22" s="8" t="str">
        <f t="shared" si="0"/>
        <v>FILLING FEED TANK TO SET POINT LEVEL</v>
      </c>
      <c r="C22" s="77"/>
      <c r="D22" s="6" t="str">
        <f t="shared" si="1"/>
        <v>RO_Data[2].ACK_DESC[</v>
      </c>
      <c r="E22" s="23">
        <f t="shared" si="13"/>
        <v>17</v>
      </c>
      <c r="F22" s="113" t="s">
        <v>22</v>
      </c>
      <c r="G22" s="161">
        <v>0</v>
      </c>
      <c r="H22" s="6" t="str">
        <f t="shared" si="2"/>
        <v>RO_Data[2].MIN[</v>
      </c>
      <c r="I22" s="23">
        <f t="shared" si="14"/>
        <v>17</v>
      </c>
      <c r="J22" s="113" t="s">
        <v>22</v>
      </c>
      <c r="K22" s="161">
        <v>1</v>
      </c>
      <c r="L22" s="6" t="str">
        <f t="shared" si="3"/>
        <v>RO_Data[2].SEC[</v>
      </c>
      <c r="M22" s="23">
        <f t="shared" si="15"/>
        <v>17</v>
      </c>
      <c r="N22" s="27" t="s">
        <v>22</v>
      </c>
      <c r="O22" s="165">
        <v>0</v>
      </c>
      <c r="P22" s="6" t="str">
        <f t="shared" si="4"/>
        <v>RO_Data[2].SETPOINT[</v>
      </c>
      <c r="Q22" s="23">
        <f t="shared" si="16"/>
        <v>17</v>
      </c>
      <c r="R22" s="113" t="s">
        <v>22</v>
      </c>
      <c r="S22" s="9" t="str">
        <f t="shared" si="5"/>
        <v>P</v>
      </c>
      <c r="T22" s="18"/>
      <c r="U22" s="19"/>
      <c r="V22" s="19"/>
      <c r="W22" s="19"/>
      <c r="X22" s="19"/>
      <c r="Y22" s="58"/>
      <c r="Z22" s="58"/>
      <c r="AA22" s="58"/>
      <c r="AB22" s="19"/>
      <c r="AC22" s="19"/>
      <c r="AD22" s="19"/>
      <c r="AE22" s="19"/>
      <c r="AF22" s="19"/>
      <c r="AG22" s="19"/>
      <c r="AH22" s="19"/>
      <c r="AI22" s="19">
        <v>1</v>
      </c>
      <c r="AJ22" s="19"/>
      <c r="AK22" s="19"/>
      <c r="AL22" s="19"/>
      <c r="AM22" s="19"/>
      <c r="AN22" s="19"/>
      <c r="AO22" s="19"/>
      <c r="AP22" s="19">
        <v>1</v>
      </c>
      <c r="AQ22" s="19"/>
      <c r="AR22" s="19"/>
      <c r="AS22" s="19"/>
      <c r="AT22" s="19"/>
      <c r="AU22" s="19"/>
      <c r="AV22" s="19"/>
      <c r="AW22" s="19"/>
      <c r="AX22" s="19"/>
      <c r="AY22" s="20"/>
      <c r="AZ22" s="8">
        <f t="array" ref="AZ22">Bin2DecRange($T22:$AY22)</f>
        <v>66048</v>
      </c>
      <c r="BA22" s="6" t="str">
        <f t="shared" si="6"/>
        <v>RO_Data[2].COND1[</v>
      </c>
      <c r="BB22" s="23">
        <f t="shared" si="17"/>
        <v>17</v>
      </c>
      <c r="BC22" s="27"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27"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27"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3"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3"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27" t="s">
        <v>22</v>
      </c>
      <c r="IB22" s="10" t="s">
        <v>224</v>
      </c>
      <c r="IC22" s="6" t="str">
        <f t="shared" si="12"/>
        <v>RO_Data[2].STEP_DESC[</v>
      </c>
      <c r="ID22" s="23">
        <f t="shared" si="23"/>
        <v>17</v>
      </c>
      <c r="IE22" s="113" t="s">
        <v>22</v>
      </c>
    </row>
    <row r="23" spans="1:239" x14ac:dyDescent="0.25">
      <c r="A23" s="8">
        <v>18</v>
      </c>
      <c r="B23" s="8" t="str">
        <f t="shared" si="0"/>
        <v>STARTING PUMPS</v>
      </c>
      <c r="C23" s="77"/>
      <c r="D23" s="6" t="str">
        <f t="shared" si="1"/>
        <v>RO_Data[2].ACK_DESC[</v>
      </c>
      <c r="E23" s="23">
        <f t="shared" si="13"/>
        <v>18</v>
      </c>
      <c r="F23" s="113" t="s">
        <v>22</v>
      </c>
      <c r="G23" s="161">
        <v>0</v>
      </c>
      <c r="H23" s="6" t="str">
        <f t="shared" si="2"/>
        <v>RO_Data[2].MIN[</v>
      </c>
      <c r="I23" s="23">
        <f t="shared" si="14"/>
        <v>18</v>
      </c>
      <c r="J23" s="113" t="s">
        <v>22</v>
      </c>
      <c r="K23" s="161">
        <v>30</v>
      </c>
      <c r="L23" s="6" t="str">
        <f t="shared" si="3"/>
        <v>RO_Data[2].SEC[</v>
      </c>
      <c r="M23" s="23">
        <f t="shared" si="15"/>
        <v>18</v>
      </c>
      <c r="N23" s="27" t="s">
        <v>22</v>
      </c>
      <c r="O23" s="165">
        <v>0</v>
      </c>
      <c r="P23" s="6" t="str">
        <f t="shared" si="4"/>
        <v>RO_Data[2].SETPOINT[</v>
      </c>
      <c r="Q23" s="23">
        <f t="shared" si="16"/>
        <v>18</v>
      </c>
      <c r="R23" s="113" t="s">
        <v>22</v>
      </c>
      <c r="S23" s="9" t="str">
        <f t="shared" si="5"/>
        <v>P</v>
      </c>
      <c r="T23" s="18"/>
      <c r="U23" s="19"/>
      <c r="V23" s="19"/>
      <c r="W23" s="19"/>
      <c r="X23" s="19"/>
      <c r="Y23" s="58"/>
      <c r="Z23" s="58"/>
      <c r="AA23" s="58"/>
      <c r="AB23" s="19"/>
      <c r="AC23" s="19"/>
      <c r="AD23" s="19"/>
      <c r="AE23" s="19"/>
      <c r="AF23" s="19"/>
      <c r="AG23" s="19"/>
      <c r="AH23" s="19"/>
      <c r="AI23" s="19"/>
      <c r="AJ23" s="19"/>
      <c r="AK23" s="19"/>
      <c r="AL23" s="19"/>
      <c r="AM23" s="19"/>
      <c r="AN23" s="19"/>
      <c r="AO23" s="19"/>
      <c r="AP23" s="19">
        <v>1</v>
      </c>
      <c r="AQ23" s="19"/>
      <c r="AR23" s="19"/>
      <c r="AS23" s="19"/>
      <c r="AT23" s="19"/>
      <c r="AU23" s="19"/>
      <c r="AV23" s="19"/>
      <c r="AW23" s="19"/>
      <c r="AX23" s="19"/>
      <c r="AY23" s="20"/>
      <c r="AZ23" s="8">
        <f t="array" ref="AZ23">Bin2DecRange($T23:$AY23)</f>
        <v>512</v>
      </c>
      <c r="BA23" s="6" t="str">
        <f t="shared" si="6"/>
        <v>RO_Data[2].COND1[</v>
      </c>
      <c r="BB23" s="23">
        <f t="shared" si="17"/>
        <v>18</v>
      </c>
      <c r="BC23" s="27"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27"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27"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3"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3"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27" t="s">
        <v>22</v>
      </c>
      <c r="IB23" s="10" t="s">
        <v>225</v>
      </c>
      <c r="IC23" s="6" t="str">
        <f t="shared" si="12"/>
        <v>RO_Data[2].STEP_DESC[</v>
      </c>
      <c r="ID23" s="23">
        <f t="shared" si="23"/>
        <v>18</v>
      </c>
      <c r="IE23" s="113" t="s">
        <v>22</v>
      </c>
    </row>
    <row r="24" spans="1:239" x14ac:dyDescent="0.25">
      <c r="A24" s="8">
        <v>19</v>
      </c>
      <c r="B24" s="8" t="str">
        <f t="shared" si="0"/>
        <v>ADDING CHEMICALS</v>
      </c>
      <c r="C24" s="77"/>
      <c r="D24" s="6" t="str">
        <f t="shared" si="1"/>
        <v>RO_Data[2].ACK_DESC[</v>
      </c>
      <c r="E24" s="23">
        <f t="shared" si="13"/>
        <v>19</v>
      </c>
      <c r="F24" s="113" t="s">
        <v>22</v>
      </c>
      <c r="G24" s="161">
        <v>0</v>
      </c>
      <c r="H24" s="6" t="str">
        <f t="shared" si="2"/>
        <v>RO_Data[2].MIN[</v>
      </c>
      <c r="I24" s="23">
        <f t="shared" si="14"/>
        <v>19</v>
      </c>
      <c r="J24" s="113" t="s">
        <v>22</v>
      </c>
      <c r="K24" s="161">
        <v>1</v>
      </c>
      <c r="L24" s="6" t="str">
        <f t="shared" si="3"/>
        <v>RO_Data[2].SEC[</v>
      </c>
      <c r="M24" s="23">
        <f t="shared" si="15"/>
        <v>19</v>
      </c>
      <c r="N24" s="27" t="s">
        <v>22</v>
      </c>
      <c r="O24" s="165">
        <v>0</v>
      </c>
      <c r="P24" s="6" t="str">
        <f t="shared" si="4"/>
        <v>RO_Data[2].SETPOINT[</v>
      </c>
      <c r="Q24" s="23">
        <f t="shared" si="16"/>
        <v>19</v>
      </c>
      <c r="R24" s="113" t="s">
        <v>22</v>
      </c>
      <c r="S24" s="9" t="str">
        <f t="shared" si="5"/>
        <v>P</v>
      </c>
      <c r="T24" s="18"/>
      <c r="U24" s="19"/>
      <c r="V24" s="19"/>
      <c r="W24" s="19"/>
      <c r="X24" s="19"/>
      <c r="Y24" s="58"/>
      <c r="Z24" s="58"/>
      <c r="AA24" s="58"/>
      <c r="AB24" s="19"/>
      <c r="AC24" s="19"/>
      <c r="AD24" s="19"/>
      <c r="AE24" s="19"/>
      <c r="AF24" s="19"/>
      <c r="AG24" s="19"/>
      <c r="AH24" s="19"/>
      <c r="AI24" s="19"/>
      <c r="AJ24" s="19"/>
      <c r="AK24" s="19">
        <v>1</v>
      </c>
      <c r="AL24" s="19"/>
      <c r="AM24" s="19"/>
      <c r="AN24" s="19"/>
      <c r="AO24" s="19"/>
      <c r="AP24" s="19">
        <v>1</v>
      </c>
      <c r="AQ24" s="19"/>
      <c r="AR24" s="19"/>
      <c r="AS24" s="19"/>
      <c r="AT24" s="19"/>
      <c r="AU24" s="19"/>
      <c r="AV24" s="19"/>
      <c r="AW24" s="19"/>
      <c r="AX24" s="19"/>
      <c r="AY24" s="20"/>
      <c r="AZ24" s="8">
        <f t="array" ref="AZ24">Bin2DecRange($T24:$AY24)</f>
        <v>16896</v>
      </c>
      <c r="BA24" s="6" t="str">
        <f t="shared" si="6"/>
        <v>RO_Data[2].COND1[</v>
      </c>
      <c r="BB24" s="23">
        <f t="shared" si="17"/>
        <v>19</v>
      </c>
      <c r="BC24" s="27"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27"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27"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3"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3"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33554432</v>
      </c>
      <c r="HY24" s="6" t="str">
        <f t="shared" si="11"/>
        <v>RO_Data[2].ACT6[</v>
      </c>
      <c r="HZ24" s="23">
        <f t="shared" si="22"/>
        <v>19</v>
      </c>
      <c r="IA24" s="27" t="s">
        <v>22</v>
      </c>
      <c r="IB24" s="10" t="s">
        <v>227</v>
      </c>
      <c r="IC24" s="6" t="str">
        <f t="shared" si="12"/>
        <v>RO_Data[2].STEP_DESC[</v>
      </c>
      <c r="ID24" s="23">
        <f t="shared" si="23"/>
        <v>19</v>
      </c>
      <c r="IE24" s="113" t="s">
        <v>22</v>
      </c>
    </row>
    <row r="25" spans="1:239" x14ac:dyDescent="0.25">
      <c r="A25" s="8">
        <v>20</v>
      </c>
      <c r="B25" s="8" t="str">
        <f t="shared" si="0"/>
        <v>HEATING TO TEMPERATURE (WASH 2)</v>
      </c>
      <c r="C25" s="77"/>
      <c r="D25" s="6" t="str">
        <f t="shared" si="1"/>
        <v>RO_Data[2].ACK_DESC[</v>
      </c>
      <c r="E25" s="23">
        <f t="shared" si="13"/>
        <v>20</v>
      </c>
      <c r="F25" s="113" t="s">
        <v>22</v>
      </c>
      <c r="G25" s="161">
        <v>0</v>
      </c>
      <c r="H25" s="6" t="str">
        <f t="shared" si="2"/>
        <v>RO_Data[2].MIN[</v>
      </c>
      <c r="I25" s="23">
        <f t="shared" si="14"/>
        <v>20</v>
      </c>
      <c r="J25" s="113" t="s">
        <v>22</v>
      </c>
      <c r="K25" s="161">
        <v>1</v>
      </c>
      <c r="L25" s="6" t="str">
        <f t="shared" si="3"/>
        <v>RO_Data[2].SEC[</v>
      </c>
      <c r="M25" s="23">
        <f t="shared" si="15"/>
        <v>20</v>
      </c>
      <c r="N25" s="27" t="s">
        <v>22</v>
      </c>
      <c r="O25" s="165">
        <v>0</v>
      </c>
      <c r="P25" s="6" t="str">
        <f t="shared" si="4"/>
        <v>RO_Data[2].SETPOINT[</v>
      </c>
      <c r="Q25" s="23">
        <f t="shared" si="16"/>
        <v>20</v>
      </c>
      <c r="R25" s="113" t="s">
        <v>22</v>
      </c>
      <c r="S25" s="9" t="str">
        <f t="shared" si="5"/>
        <v>P</v>
      </c>
      <c r="T25" s="18"/>
      <c r="U25" s="19"/>
      <c r="V25" s="19"/>
      <c r="W25" s="19"/>
      <c r="X25" s="19"/>
      <c r="Y25" s="58"/>
      <c r="Z25" s="58"/>
      <c r="AA25" s="58"/>
      <c r="AB25" s="19"/>
      <c r="AC25" s="19"/>
      <c r="AD25" s="19"/>
      <c r="AE25" s="19"/>
      <c r="AF25" s="19"/>
      <c r="AG25" s="19"/>
      <c r="AH25" s="19"/>
      <c r="AI25" s="19"/>
      <c r="AJ25" s="19"/>
      <c r="AK25" s="19"/>
      <c r="AL25" s="19"/>
      <c r="AM25" s="19"/>
      <c r="AN25" s="19"/>
      <c r="AO25" s="19">
        <v>1</v>
      </c>
      <c r="AP25" s="19">
        <v>1</v>
      </c>
      <c r="AQ25" s="19"/>
      <c r="AR25" s="19"/>
      <c r="AS25" s="19"/>
      <c r="AT25" s="19"/>
      <c r="AU25" s="19"/>
      <c r="AV25" s="19"/>
      <c r="AW25" s="19"/>
      <c r="AX25" s="19"/>
      <c r="AY25" s="20"/>
      <c r="AZ25" s="8">
        <f t="array" ref="AZ25">Bin2DecRange($T25:$AY25)</f>
        <v>1536</v>
      </c>
      <c r="BA25" s="6" t="str">
        <f t="shared" si="6"/>
        <v>RO_Data[2].COND1[</v>
      </c>
      <c r="BB25" s="23">
        <f t="shared" si="17"/>
        <v>20</v>
      </c>
      <c r="BC25" s="27"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27"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27"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3"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3"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27" t="s">
        <v>22</v>
      </c>
      <c r="IB25" s="10" t="s">
        <v>232</v>
      </c>
      <c r="IC25" s="6" t="str">
        <f t="shared" si="12"/>
        <v>RO_Data[2].STEP_DESC[</v>
      </c>
      <c r="ID25" s="23">
        <f t="shared" si="23"/>
        <v>20</v>
      </c>
      <c r="IE25" s="113" t="s">
        <v>22</v>
      </c>
    </row>
    <row r="26" spans="1:239" x14ac:dyDescent="0.25">
      <c r="A26" s="8">
        <v>21</v>
      </c>
      <c r="B26" s="8" t="str">
        <f t="shared" si="0"/>
        <v>CHECK PH - HOLD FOR ACKNOWLEDGE</v>
      </c>
      <c r="C26" s="77"/>
      <c r="D26" s="6" t="str">
        <f t="shared" si="1"/>
        <v>RO_Data[2].ACK_DESC[</v>
      </c>
      <c r="E26" s="23">
        <f t="shared" si="13"/>
        <v>21</v>
      </c>
      <c r="F26" s="113" t="s">
        <v>22</v>
      </c>
      <c r="G26" s="161">
        <v>0</v>
      </c>
      <c r="H26" s="6" t="str">
        <f t="shared" si="2"/>
        <v>RO_Data[2].MIN[</v>
      </c>
      <c r="I26" s="23">
        <f t="shared" si="14"/>
        <v>21</v>
      </c>
      <c r="J26" s="113" t="s">
        <v>22</v>
      </c>
      <c r="K26" s="161">
        <v>0</v>
      </c>
      <c r="L26" s="6" t="str">
        <f t="shared" si="3"/>
        <v>RO_Data[2].SEC[</v>
      </c>
      <c r="M26" s="23">
        <f t="shared" si="15"/>
        <v>21</v>
      </c>
      <c r="N26" s="27" t="s">
        <v>22</v>
      </c>
      <c r="O26" s="165">
        <v>0</v>
      </c>
      <c r="P26" s="6" t="str">
        <f t="shared" si="4"/>
        <v>RO_Data[2].SETPOINT[</v>
      </c>
      <c r="Q26" s="23">
        <f t="shared" si="16"/>
        <v>21</v>
      </c>
      <c r="R26" s="113" t="s">
        <v>22</v>
      </c>
      <c r="S26" s="9" t="str">
        <f t="shared" si="5"/>
        <v/>
      </c>
      <c r="T26" s="18"/>
      <c r="U26" s="19"/>
      <c r="V26" s="19"/>
      <c r="W26" s="19"/>
      <c r="X26" s="19"/>
      <c r="Y26" s="58"/>
      <c r="Z26" s="58"/>
      <c r="AA26" s="58"/>
      <c r="AB26" s="19"/>
      <c r="AC26" s="19"/>
      <c r="AD26" s="19"/>
      <c r="AE26" s="19"/>
      <c r="AF26" s="19"/>
      <c r="AG26" s="19"/>
      <c r="AH26" s="19"/>
      <c r="AI26" s="19"/>
      <c r="AJ26" s="19"/>
      <c r="AK26" s="19"/>
      <c r="AL26" s="19"/>
      <c r="AM26" s="19"/>
      <c r="AN26" s="19"/>
      <c r="AO26" s="19"/>
      <c r="AP26" s="19"/>
      <c r="AQ26" s="19"/>
      <c r="AR26" s="19"/>
      <c r="AS26" s="19"/>
      <c r="AT26" s="19"/>
      <c r="AU26" s="19"/>
      <c r="AV26" s="19">
        <v>1</v>
      </c>
      <c r="AW26" s="19"/>
      <c r="AX26" s="19"/>
      <c r="AY26" s="20"/>
      <c r="AZ26" s="8">
        <f t="array" ref="AZ26">Bin2DecRange($T26:$AY26)</f>
        <v>8</v>
      </c>
      <c r="BA26" s="6" t="str">
        <f t="shared" si="6"/>
        <v>RO_Data[2].COND1[</v>
      </c>
      <c r="BB26" s="23">
        <f t="shared" si="17"/>
        <v>21</v>
      </c>
      <c r="BC26" s="27"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27"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27"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3"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3"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RO_Data[2].ACT6[</v>
      </c>
      <c r="HZ26" s="23">
        <f t="shared" si="22"/>
        <v>21</v>
      </c>
      <c r="IA26" s="27" t="s">
        <v>22</v>
      </c>
      <c r="IB26" s="62" t="s">
        <v>355</v>
      </c>
      <c r="IC26" s="6" t="str">
        <f t="shared" si="12"/>
        <v>RO_Data[2].STEP_DESC[</v>
      </c>
      <c r="ID26" s="23">
        <f t="shared" si="23"/>
        <v>21</v>
      </c>
      <c r="IE26" s="113" t="s">
        <v>22</v>
      </c>
    </row>
    <row r="27" spans="1:239" x14ac:dyDescent="0.25">
      <c r="A27" s="8">
        <v>22</v>
      </c>
      <c r="B27" s="8" t="str">
        <f t="shared" si="0"/>
        <v>WASH 2</v>
      </c>
      <c r="C27" s="77"/>
      <c r="D27" s="6" t="str">
        <f t="shared" si="1"/>
        <v>RO_Data[2].ACK_DESC[</v>
      </c>
      <c r="E27" s="23">
        <f t="shared" si="13"/>
        <v>22</v>
      </c>
      <c r="F27" s="113" t="s">
        <v>22</v>
      </c>
      <c r="G27" s="161">
        <v>0</v>
      </c>
      <c r="H27" s="6" t="str">
        <f t="shared" si="2"/>
        <v>RO_Data[2].MIN[</v>
      </c>
      <c r="I27" s="23">
        <f t="shared" si="14"/>
        <v>22</v>
      </c>
      <c r="J27" s="113" t="s">
        <v>22</v>
      </c>
      <c r="K27" s="161">
        <v>1</v>
      </c>
      <c r="L27" s="6" t="str">
        <f t="shared" si="3"/>
        <v>RO_Data[2].SEC[</v>
      </c>
      <c r="M27" s="23">
        <f t="shared" si="15"/>
        <v>22</v>
      </c>
      <c r="N27" s="27" t="s">
        <v>22</v>
      </c>
      <c r="O27" s="165">
        <v>0</v>
      </c>
      <c r="P27" s="6" t="str">
        <f t="shared" si="4"/>
        <v>RO_Data[2].SETPOINT[</v>
      </c>
      <c r="Q27" s="23">
        <f t="shared" si="16"/>
        <v>22</v>
      </c>
      <c r="R27" s="113" t="s">
        <v>22</v>
      </c>
      <c r="S27" s="9" t="str">
        <f t="shared" si="5"/>
        <v>P</v>
      </c>
      <c r="T27" s="18"/>
      <c r="U27" s="19"/>
      <c r="V27" s="19"/>
      <c r="W27" s="19"/>
      <c r="X27" s="19"/>
      <c r="Y27" s="58"/>
      <c r="Z27" s="58"/>
      <c r="AA27" s="58"/>
      <c r="AB27" s="19"/>
      <c r="AC27" s="19"/>
      <c r="AD27" s="19"/>
      <c r="AE27" s="19"/>
      <c r="AF27" s="19"/>
      <c r="AG27" s="19"/>
      <c r="AH27" s="19"/>
      <c r="AI27" s="19"/>
      <c r="AJ27" s="19"/>
      <c r="AK27" s="19"/>
      <c r="AL27" s="19"/>
      <c r="AM27" s="19"/>
      <c r="AN27" s="19"/>
      <c r="AO27" s="19"/>
      <c r="AP27" s="19">
        <v>1</v>
      </c>
      <c r="AQ27" s="19"/>
      <c r="AR27" s="19"/>
      <c r="AS27" s="19"/>
      <c r="AT27" s="19"/>
      <c r="AU27" s="19"/>
      <c r="AV27" s="19"/>
      <c r="AW27" s="19"/>
      <c r="AX27" s="19"/>
      <c r="AY27" s="20"/>
      <c r="AZ27" s="8">
        <f t="array" ref="AZ27">Bin2DecRange($T27:$AY27)</f>
        <v>512</v>
      </c>
      <c r="BA27" s="6" t="str">
        <f t="shared" si="6"/>
        <v>RO_Data[2].COND1[</v>
      </c>
      <c r="BB27" s="23">
        <f t="shared" si="17"/>
        <v>22</v>
      </c>
      <c r="BC27" s="27"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27"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27"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3"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3"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RO_Data[2].ACT6[</v>
      </c>
      <c r="HZ27" s="23">
        <f t="shared" si="22"/>
        <v>22</v>
      </c>
      <c r="IA27" s="27" t="s">
        <v>22</v>
      </c>
      <c r="IB27" s="10" t="s">
        <v>233</v>
      </c>
      <c r="IC27" s="6" t="str">
        <f t="shared" si="12"/>
        <v>RO_Data[2].STEP_DESC[</v>
      </c>
      <c r="ID27" s="23">
        <f t="shared" si="23"/>
        <v>22</v>
      </c>
      <c r="IE27" s="113" t="s">
        <v>22</v>
      </c>
    </row>
    <row r="28" spans="1:239" x14ac:dyDescent="0.25">
      <c r="A28" s="8">
        <v>23</v>
      </c>
      <c r="B28" s="8" t="str">
        <f t="shared" si="0"/>
        <v>PUMPING DOWN FEED TANK</v>
      </c>
      <c r="C28" s="77"/>
      <c r="D28" s="6" t="str">
        <f t="shared" si="1"/>
        <v>RO_Data[2].ACK_DESC[</v>
      </c>
      <c r="E28" s="23">
        <f t="shared" si="13"/>
        <v>23</v>
      </c>
      <c r="F28" s="113" t="s">
        <v>22</v>
      </c>
      <c r="G28" s="161">
        <v>0</v>
      </c>
      <c r="H28" s="6" t="str">
        <f t="shared" si="2"/>
        <v>RO_Data[2].MIN[</v>
      </c>
      <c r="I28" s="23">
        <f t="shared" si="14"/>
        <v>23</v>
      </c>
      <c r="J28" s="113" t="s">
        <v>22</v>
      </c>
      <c r="K28" s="161">
        <v>1</v>
      </c>
      <c r="L28" s="6" t="str">
        <f t="shared" si="3"/>
        <v>RO_Data[2].SEC[</v>
      </c>
      <c r="M28" s="23">
        <f t="shared" si="15"/>
        <v>23</v>
      </c>
      <c r="N28" s="27" t="s">
        <v>22</v>
      </c>
      <c r="O28" s="165">
        <v>0</v>
      </c>
      <c r="P28" s="6" t="str">
        <f t="shared" si="4"/>
        <v>RO_Data[2].SETPOINT[</v>
      </c>
      <c r="Q28" s="23">
        <f t="shared" si="16"/>
        <v>23</v>
      </c>
      <c r="R28" s="113" t="s">
        <v>22</v>
      </c>
      <c r="S28" s="9" t="str">
        <f t="shared" si="5"/>
        <v>P</v>
      </c>
      <c r="T28" s="18"/>
      <c r="U28" s="19"/>
      <c r="V28" s="19"/>
      <c r="W28" s="19"/>
      <c r="X28" s="19"/>
      <c r="Y28" s="58"/>
      <c r="Z28" s="58"/>
      <c r="AA28" s="58"/>
      <c r="AB28" s="19"/>
      <c r="AC28" s="19"/>
      <c r="AD28" s="19"/>
      <c r="AE28" s="19"/>
      <c r="AF28" s="19">
        <v>1</v>
      </c>
      <c r="AG28" s="19"/>
      <c r="AH28" s="19"/>
      <c r="AI28" s="19"/>
      <c r="AJ28" s="19"/>
      <c r="AK28" s="19"/>
      <c r="AL28" s="19"/>
      <c r="AM28" s="19"/>
      <c r="AN28" s="19"/>
      <c r="AO28" s="19"/>
      <c r="AP28" s="19">
        <v>1</v>
      </c>
      <c r="AQ28" s="19"/>
      <c r="AR28" s="19"/>
      <c r="AS28" s="19"/>
      <c r="AT28" s="19"/>
      <c r="AU28" s="19"/>
      <c r="AV28" s="19"/>
      <c r="AW28" s="19"/>
      <c r="AX28" s="19"/>
      <c r="AY28" s="20"/>
      <c r="AZ28" s="8">
        <f t="array" ref="AZ28">Bin2DecRange($T28:$AY28)</f>
        <v>524800</v>
      </c>
      <c r="BA28" s="6" t="str">
        <f t="shared" si="6"/>
        <v>RO_Data[2].COND1[</v>
      </c>
      <c r="BB28" s="23">
        <f t="shared" si="17"/>
        <v>23</v>
      </c>
      <c r="BC28" s="27"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27"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27"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3"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3"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27" t="s">
        <v>22</v>
      </c>
      <c r="IB28" s="10" t="s">
        <v>230</v>
      </c>
      <c r="IC28" s="6" t="str">
        <f t="shared" si="12"/>
        <v>RO_Data[2].STEP_DESC[</v>
      </c>
      <c r="ID28" s="23">
        <f t="shared" si="23"/>
        <v>23</v>
      </c>
      <c r="IE28" s="113" t="s">
        <v>22</v>
      </c>
    </row>
    <row r="29" spans="1:239" ht="15.75" customHeight="1" x14ac:dyDescent="0.25">
      <c r="A29" s="8">
        <v>24</v>
      </c>
      <c r="B29" s="8" t="str">
        <f t="shared" si="0"/>
        <v>DRAINING FEED TANK</v>
      </c>
      <c r="C29" s="10"/>
      <c r="D29" s="6" t="str">
        <f t="shared" si="1"/>
        <v>RO_Data[2].ACK_DESC[</v>
      </c>
      <c r="E29" s="23">
        <f t="shared" si="13"/>
        <v>24</v>
      </c>
      <c r="F29" s="113" t="s">
        <v>22</v>
      </c>
      <c r="G29" s="168">
        <v>0</v>
      </c>
      <c r="H29" s="6" t="str">
        <f t="shared" si="2"/>
        <v>RO_Data[2].MIN[</v>
      </c>
      <c r="I29" s="23">
        <f t="shared" si="14"/>
        <v>24</v>
      </c>
      <c r="J29" s="113" t="s">
        <v>22</v>
      </c>
      <c r="K29" s="168">
        <v>1</v>
      </c>
      <c r="L29" s="6" t="str">
        <f t="shared" si="3"/>
        <v>RO_Data[2].SEC[</v>
      </c>
      <c r="M29" s="23">
        <f t="shared" si="15"/>
        <v>24</v>
      </c>
      <c r="N29" s="27" t="s">
        <v>22</v>
      </c>
      <c r="O29" s="165">
        <v>0</v>
      </c>
      <c r="P29" s="6" t="str">
        <f t="shared" si="4"/>
        <v>RO_Data[2].SETPOINT[</v>
      </c>
      <c r="Q29" s="23">
        <f t="shared" si="16"/>
        <v>24</v>
      </c>
      <c r="R29" s="113" t="s">
        <v>22</v>
      </c>
      <c r="S29" s="118" t="str">
        <f t="shared" si="5"/>
        <v>P</v>
      </c>
      <c r="T29" s="19"/>
      <c r="U29" s="19"/>
      <c r="V29" s="19"/>
      <c r="W29" s="19"/>
      <c r="X29" s="19"/>
      <c r="Y29" s="58"/>
      <c r="Z29" s="58"/>
      <c r="AA29" s="58"/>
      <c r="AB29" s="19"/>
      <c r="AC29" s="19"/>
      <c r="AD29" s="19"/>
      <c r="AE29" s="19"/>
      <c r="AF29" s="19"/>
      <c r="AG29" s="19"/>
      <c r="AH29" s="19"/>
      <c r="AI29" s="19"/>
      <c r="AJ29" s="19"/>
      <c r="AK29" s="19"/>
      <c r="AL29" s="19"/>
      <c r="AM29" s="19"/>
      <c r="AN29" s="19"/>
      <c r="AO29" s="19"/>
      <c r="AP29" s="19">
        <v>1</v>
      </c>
      <c r="AQ29" s="19"/>
      <c r="AR29" s="19"/>
      <c r="AS29" s="19"/>
      <c r="AT29" s="19"/>
      <c r="AU29" s="19"/>
      <c r="AV29" s="19"/>
      <c r="AW29" s="19"/>
      <c r="AX29" s="19"/>
      <c r="AY29" s="20"/>
      <c r="AZ29" s="8">
        <f t="array" ref="AZ29">Bin2DecRange($T29:$AY29)</f>
        <v>512</v>
      </c>
      <c r="BA29" s="6" t="str">
        <f t="shared" si="6"/>
        <v>RO_Data[2].COND1[</v>
      </c>
      <c r="BB29" s="23">
        <f t="shared" si="17"/>
        <v>24</v>
      </c>
      <c r="BC29" s="27"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27"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27"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3"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3"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27" t="s">
        <v>22</v>
      </c>
      <c r="IB29" s="10" t="s">
        <v>231</v>
      </c>
      <c r="IC29" s="6" t="str">
        <f t="shared" si="12"/>
        <v>RO_Data[2].STEP_DESC[</v>
      </c>
      <c r="ID29" s="23">
        <f t="shared" si="23"/>
        <v>24</v>
      </c>
      <c r="IE29" s="113" t="s">
        <v>22</v>
      </c>
    </row>
    <row r="30" spans="1:239" x14ac:dyDescent="0.25">
      <c r="A30" s="8">
        <v>25</v>
      </c>
      <c r="B30" s="8" t="str">
        <f t="shared" si="0"/>
        <v>FILLING FEED TANK TO SET POINT LEVEL</v>
      </c>
      <c r="C30" s="8"/>
      <c r="D30" s="6" t="str">
        <f t="shared" si="1"/>
        <v>RO_Data[2].ACK_DESC[</v>
      </c>
      <c r="E30" s="23">
        <v>25</v>
      </c>
      <c r="F30" s="113" t="s">
        <v>22</v>
      </c>
      <c r="G30" s="168">
        <v>0</v>
      </c>
      <c r="H30" s="6" t="str">
        <f t="shared" si="2"/>
        <v>RO_Data[2].MIN[</v>
      </c>
      <c r="I30" s="23">
        <v>25</v>
      </c>
      <c r="J30" s="113" t="s">
        <v>22</v>
      </c>
      <c r="K30" s="168">
        <v>1</v>
      </c>
      <c r="L30" s="6" t="str">
        <f t="shared" si="3"/>
        <v>RO_Data[2].SEC[</v>
      </c>
      <c r="M30" s="23">
        <v>25</v>
      </c>
      <c r="N30" s="27" t="s">
        <v>22</v>
      </c>
      <c r="O30" s="165">
        <v>0</v>
      </c>
      <c r="P30" s="6" t="str">
        <f t="shared" si="4"/>
        <v>RO_Data[2].SETPOINT[</v>
      </c>
      <c r="Q30" s="23">
        <v>25</v>
      </c>
      <c r="R30" s="113" t="s">
        <v>22</v>
      </c>
      <c r="S30" s="118" t="str">
        <f t="shared" si="5"/>
        <v>P</v>
      </c>
      <c r="T30" s="16"/>
      <c r="U30" s="16"/>
      <c r="V30" s="16"/>
      <c r="W30" s="16"/>
      <c r="X30" s="16"/>
      <c r="Y30" s="57"/>
      <c r="Z30" s="57"/>
      <c r="AA30" s="57"/>
      <c r="AB30" s="16"/>
      <c r="AC30" s="16"/>
      <c r="AD30" s="16"/>
      <c r="AE30" s="16"/>
      <c r="AF30" s="16"/>
      <c r="AG30" s="16"/>
      <c r="AH30" s="16"/>
      <c r="AI30" s="16">
        <v>1</v>
      </c>
      <c r="AJ30" s="16"/>
      <c r="AK30" s="16"/>
      <c r="AL30" s="16"/>
      <c r="AM30" s="16"/>
      <c r="AN30" s="16"/>
      <c r="AO30" s="16"/>
      <c r="AP30" s="16">
        <v>1</v>
      </c>
      <c r="AQ30" s="16"/>
      <c r="AR30" s="16"/>
      <c r="AS30" s="16"/>
      <c r="AT30" s="16"/>
      <c r="AU30" s="16"/>
      <c r="AV30" s="16"/>
      <c r="AW30" s="16"/>
      <c r="AX30" s="16"/>
      <c r="AY30" s="17"/>
      <c r="AZ30" s="8">
        <f t="array" ref="AZ30">Bin2DecRange($T30:$AY30)</f>
        <v>66048</v>
      </c>
      <c r="BA30" s="6" t="str">
        <f t="shared" si="6"/>
        <v>RO_Data[2].COND1[</v>
      </c>
      <c r="BB30" s="23">
        <v>25</v>
      </c>
      <c r="BC30" s="27" t="s">
        <v>22</v>
      </c>
      <c r="BD30" s="75"/>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27" t="s">
        <v>22</v>
      </c>
      <c r="CN30" s="75"/>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27" t="s">
        <v>22</v>
      </c>
      <c r="DX30" s="75">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3" t="s">
        <v>22</v>
      </c>
      <c r="FH30" s="116"/>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3" t="s">
        <v>22</v>
      </c>
      <c r="GR30" s="116"/>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27" t="s">
        <v>22</v>
      </c>
      <c r="IB30" s="8" t="s">
        <v>224</v>
      </c>
      <c r="IC30" s="6" t="str">
        <f t="shared" si="12"/>
        <v>RO_Data[2].STEP_DESC[</v>
      </c>
      <c r="ID30" s="23">
        <v>25</v>
      </c>
      <c r="IE30" s="113" t="s">
        <v>22</v>
      </c>
    </row>
    <row r="31" spans="1:239" x14ac:dyDescent="0.25">
      <c r="A31" s="8">
        <v>26</v>
      </c>
      <c r="B31" s="8" t="str">
        <f t="shared" si="0"/>
        <v>STARTING PUMPS</v>
      </c>
      <c r="C31" s="8"/>
      <c r="D31" s="6" t="str">
        <f t="shared" si="1"/>
        <v>RO_Data[2].ACK_DESC[</v>
      </c>
      <c r="E31" s="23">
        <v>26</v>
      </c>
      <c r="F31" s="113" t="s">
        <v>22</v>
      </c>
      <c r="G31" s="168">
        <v>0</v>
      </c>
      <c r="H31" s="6" t="str">
        <f t="shared" si="2"/>
        <v>RO_Data[2].MIN[</v>
      </c>
      <c r="I31" s="23">
        <v>26</v>
      </c>
      <c r="J31" s="113" t="s">
        <v>22</v>
      </c>
      <c r="K31" s="168">
        <v>30</v>
      </c>
      <c r="L31" s="6" t="str">
        <f t="shared" si="3"/>
        <v>RO_Data[2].SEC[</v>
      </c>
      <c r="M31" s="23">
        <v>26</v>
      </c>
      <c r="N31" s="27" t="s">
        <v>22</v>
      </c>
      <c r="O31" s="165">
        <v>0</v>
      </c>
      <c r="P31" s="6" t="str">
        <f t="shared" si="4"/>
        <v>RO_Data[2].SETPOINT[</v>
      </c>
      <c r="Q31" s="23">
        <v>26</v>
      </c>
      <c r="R31" s="113" t="s">
        <v>22</v>
      </c>
      <c r="S31" s="118" t="str">
        <f t="shared" si="5"/>
        <v>P</v>
      </c>
      <c r="T31" s="16"/>
      <c r="U31" s="16"/>
      <c r="V31" s="16"/>
      <c r="W31" s="16"/>
      <c r="X31" s="16"/>
      <c r="Y31" s="57"/>
      <c r="Z31" s="57"/>
      <c r="AA31" s="57"/>
      <c r="AB31" s="16"/>
      <c r="AC31" s="16"/>
      <c r="AD31" s="16"/>
      <c r="AE31" s="16"/>
      <c r="AF31" s="16"/>
      <c r="AG31" s="16"/>
      <c r="AH31" s="16"/>
      <c r="AI31" s="16"/>
      <c r="AJ31" s="16"/>
      <c r="AK31" s="16"/>
      <c r="AL31" s="16"/>
      <c r="AM31" s="16"/>
      <c r="AN31" s="16"/>
      <c r="AO31" s="16"/>
      <c r="AP31" s="16">
        <v>1</v>
      </c>
      <c r="AQ31" s="16"/>
      <c r="AR31" s="16"/>
      <c r="AS31" s="16"/>
      <c r="AT31" s="16"/>
      <c r="AU31" s="16"/>
      <c r="AV31" s="16"/>
      <c r="AW31" s="16"/>
      <c r="AX31" s="16"/>
      <c r="AY31" s="17"/>
      <c r="AZ31" s="8">
        <f t="array" ref="AZ31">Bin2DecRange($T31:$AY31)</f>
        <v>512</v>
      </c>
      <c r="BA31" s="6" t="str">
        <f t="shared" si="6"/>
        <v>RO_Data[2].COND1[</v>
      </c>
      <c r="BB31" s="23">
        <v>26</v>
      </c>
      <c r="BC31" s="27" t="s">
        <v>22</v>
      </c>
      <c r="BD31" s="75"/>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27" t="s">
        <v>22</v>
      </c>
      <c r="CN31" s="75"/>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27" t="s">
        <v>22</v>
      </c>
      <c r="DX31" s="75">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3" t="s">
        <v>22</v>
      </c>
      <c r="FH31" s="116"/>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3" t="s">
        <v>22</v>
      </c>
      <c r="GR31" s="116"/>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27" t="s">
        <v>22</v>
      </c>
      <c r="IB31" s="8" t="s">
        <v>225</v>
      </c>
      <c r="IC31" s="6" t="str">
        <f t="shared" si="12"/>
        <v>RO_Data[2].STEP_DESC[</v>
      </c>
      <c r="ID31" s="23">
        <v>26</v>
      </c>
      <c r="IE31" s="113" t="s">
        <v>22</v>
      </c>
    </row>
    <row r="32" spans="1:239" x14ac:dyDescent="0.25">
      <c r="A32" s="8">
        <v>27</v>
      </c>
      <c r="B32" s="8" t="str">
        <f t="shared" si="0"/>
        <v>RINSING STAGES</v>
      </c>
      <c r="C32" s="8"/>
      <c r="D32" s="6" t="str">
        <f t="shared" si="1"/>
        <v>RO_Data[2].ACK_DESC[</v>
      </c>
      <c r="E32" s="23">
        <v>27</v>
      </c>
      <c r="F32" s="113" t="s">
        <v>22</v>
      </c>
      <c r="G32" s="168">
        <v>0</v>
      </c>
      <c r="H32" s="6" t="str">
        <f t="shared" si="2"/>
        <v>RO_Data[2].MIN[</v>
      </c>
      <c r="I32" s="23">
        <v>27</v>
      </c>
      <c r="J32" s="113" t="s">
        <v>22</v>
      </c>
      <c r="K32" s="168">
        <v>1</v>
      </c>
      <c r="L32" s="6" t="str">
        <f t="shared" si="3"/>
        <v>RO_Data[2].SEC[</v>
      </c>
      <c r="M32" s="23">
        <v>27</v>
      </c>
      <c r="N32" s="27" t="s">
        <v>22</v>
      </c>
      <c r="O32" s="165">
        <v>0</v>
      </c>
      <c r="P32" s="6" t="str">
        <f t="shared" si="4"/>
        <v>RO_Data[2].SETPOINT[</v>
      </c>
      <c r="Q32" s="23">
        <v>27</v>
      </c>
      <c r="R32" s="113" t="s">
        <v>22</v>
      </c>
      <c r="S32" s="118" t="str">
        <f t="shared" si="5"/>
        <v>P</v>
      </c>
      <c r="T32" s="16"/>
      <c r="U32" s="16"/>
      <c r="V32" s="16"/>
      <c r="W32" s="16"/>
      <c r="X32" s="16"/>
      <c r="Y32" s="57"/>
      <c r="Z32" s="57"/>
      <c r="AA32" s="57"/>
      <c r="AB32" s="16"/>
      <c r="AC32" s="16"/>
      <c r="AD32" s="16"/>
      <c r="AE32" s="16"/>
      <c r="AF32" s="16"/>
      <c r="AG32" s="16"/>
      <c r="AH32" s="16"/>
      <c r="AI32" s="16"/>
      <c r="AJ32" s="16"/>
      <c r="AK32" s="16"/>
      <c r="AL32" s="16"/>
      <c r="AM32" s="16">
        <v>1</v>
      </c>
      <c r="AN32" s="16"/>
      <c r="AO32" s="16"/>
      <c r="AP32" s="16">
        <v>1</v>
      </c>
      <c r="AQ32" s="16"/>
      <c r="AR32" s="16"/>
      <c r="AS32" s="16"/>
      <c r="AT32" s="16"/>
      <c r="AU32" s="16"/>
      <c r="AV32" s="16"/>
      <c r="AW32" s="16"/>
      <c r="AX32" s="16"/>
      <c r="AY32" s="17"/>
      <c r="AZ32" s="8">
        <f t="array" ref="AZ32">Bin2DecRange($T32:$AY32)</f>
        <v>4608</v>
      </c>
      <c r="BA32" s="6" t="str">
        <f t="shared" si="6"/>
        <v>RO_Data[2].COND1[</v>
      </c>
      <c r="BB32" s="23">
        <v>27</v>
      </c>
      <c r="BC32" s="27" t="s">
        <v>22</v>
      </c>
      <c r="BD32" s="75"/>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27" t="s">
        <v>22</v>
      </c>
      <c r="CN32" s="75"/>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27" t="s">
        <v>22</v>
      </c>
      <c r="DX32" s="75">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3" t="s">
        <v>22</v>
      </c>
      <c r="FH32" s="116"/>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3" t="s">
        <v>22</v>
      </c>
      <c r="GR32" s="116"/>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27" t="s">
        <v>22</v>
      </c>
      <c r="IB32" s="8" t="s">
        <v>226</v>
      </c>
      <c r="IC32" s="6" t="str">
        <f t="shared" si="12"/>
        <v>RO_Data[2].STEP_DESC[</v>
      </c>
      <c r="ID32" s="23">
        <v>27</v>
      </c>
      <c r="IE32" s="113" t="s">
        <v>22</v>
      </c>
    </row>
    <row r="33" spans="1:239" x14ac:dyDescent="0.25">
      <c r="A33" s="8">
        <v>28</v>
      </c>
      <c r="B33" s="8" t="str">
        <f t="shared" si="0"/>
        <v>PAUSE</v>
      </c>
      <c r="C33" s="8"/>
      <c r="D33" s="6" t="str">
        <f t="shared" si="1"/>
        <v>RO_Data[2].ACK_DESC[</v>
      </c>
      <c r="E33" s="23">
        <v>28</v>
      </c>
      <c r="F33" s="113" t="s">
        <v>22</v>
      </c>
      <c r="G33" s="168">
        <v>0</v>
      </c>
      <c r="H33" s="6" t="str">
        <f t="shared" si="2"/>
        <v>RO_Data[2].MIN[</v>
      </c>
      <c r="I33" s="23">
        <v>28</v>
      </c>
      <c r="J33" s="113" t="s">
        <v>22</v>
      </c>
      <c r="K33" s="168">
        <v>10</v>
      </c>
      <c r="L33" s="6" t="str">
        <f t="shared" si="3"/>
        <v>RO_Data[2].SEC[</v>
      </c>
      <c r="M33" s="23">
        <v>28</v>
      </c>
      <c r="N33" s="27" t="s">
        <v>22</v>
      </c>
      <c r="O33" s="165">
        <v>0</v>
      </c>
      <c r="P33" s="6" t="str">
        <f t="shared" si="4"/>
        <v>RO_Data[2].SETPOINT[</v>
      </c>
      <c r="Q33" s="23">
        <v>28</v>
      </c>
      <c r="R33" s="113" t="s">
        <v>22</v>
      </c>
      <c r="S33" s="118" t="str">
        <f t="shared" si="5"/>
        <v>P</v>
      </c>
      <c r="T33" s="16"/>
      <c r="U33" s="16"/>
      <c r="V33" s="16"/>
      <c r="W33" s="16"/>
      <c r="X33" s="16"/>
      <c r="Y33" s="57"/>
      <c r="Z33" s="57"/>
      <c r="AA33" s="57"/>
      <c r="AB33" s="16"/>
      <c r="AC33" s="16"/>
      <c r="AD33" s="16"/>
      <c r="AE33" s="16"/>
      <c r="AF33" s="16"/>
      <c r="AG33" s="16"/>
      <c r="AH33" s="16"/>
      <c r="AI33" s="16"/>
      <c r="AJ33" s="16"/>
      <c r="AK33" s="16"/>
      <c r="AL33" s="16"/>
      <c r="AM33" s="16"/>
      <c r="AN33" s="16"/>
      <c r="AO33" s="16"/>
      <c r="AP33" s="16">
        <v>1</v>
      </c>
      <c r="AQ33" s="16"/>
      <c r="AR33" s="16"/>
      <c r="AS33" s="16"/>
      <c r="AT33" s="16"/>
      <c r="AU33" s="16"/>
      <c r="AV33" s="16"/>
      <c r="AW33" s="16"/>
      <c r="AX33" s="16"/>
      <c r="AY33" s="17"/>
      <c r="AZ33" s="8">
        <f t="array" ref="AZ33">Bin2DecRange($T33:$AY33)</f>
        <v>512</v>
      </c>
      <c r="BA33" s="6" t="str">
        <f t="shared" si="6"/>
        <v>RO_Data[2].COND1[</v>
      </c>
      <c r="BB33" s="23">
        <v>28</v>
      </c>
      <c r="BC33" s="27" t="s">
        <v>22</v>
      </c>
      <c r="BD33" s="75"/>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27" t="s">
        <v>22</v>
      </c>
      <c r="CN33" s="75"/>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27" t="s">
        <v>22</v>
      </c>
      <c r="DX33" s="75">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3" t="s">
        <v>22</v>
      </c>
      <c r="FH33" s="116"/>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3" t="s">
        <v>22</v>
      </c>
      <c r="GR33" s="116"/>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27" t="s">
        <v>22</v>
      </c>
      <c r="IB33" s="8" t="s">
        <v>222</v>
      </c>
      <c r="IC33" s="6" t="str">
        <f t="shared" si="12"/>
        <v>RO_Data[2].STEP_DESC[</v>
      </c>
      <c r="ID33" s="23">
        <v>28</v>
      </c>
      <c r="IE33" s="113" t="s">
        <v>22</v>
      </c>
    </row>
    <row r="34" spans="1:239" x14ac:dyDescent="0.25">
      <c r="A34" s="8">
        <v>29</v>
      </c>
      <c r="B34" s="8" t="str">
        <f t="shared" si="0"/>
        <v>FILLING FEED TANK TO SET POINT LEVEL</v>
      </c>
      <c r="C34" s="8"/>
      <c r="D34" s="6" t="str">
        <f t="shared" si="1"/>
        <v>RO_Data[2].ACK_DESC[</v>
      </c>
      <c r="E34" s="23">
        <v>29</v>
      </c>
      <c r="F34" s="113" t="s">
        <v>22</v>
      </c>
      <c r="G34" s="168">
        <v>0</v>
      </c>
      <c r="H34" s="6" t="str">
        <f t="shared" si="2"/>
        <v>RO_Data[2].MIN[</v>
      </c>
      <c r="I34" s="23">
        <v>29</v>
      </c>
      <c r="J34" s="113" t="s">
        <v>22</v>
      </c>
      <c r="K34" s="168">
        <v>1</v>
      </c>
      <c r="L34" s="6" t="str">
        <f t="shared" si="3"/>
        <v>RO_Data[2].SEC[</v>
      </c>
      <c r="M34" s="23">
        <v>29</v>
      </c>
      <c r="N34" s="27" t="s">
        <v>22</v>
      </c>
      <c r="O34" s="165">
        <v>0</v>
      </c>
      <c r="P34" s="6" t="str">
        <f t="shared" si="4"/>
        <v>RO_Data[2].SETPOINT[</v>
      </c>
      <c r="Q34" s="23">
        <v>29</v>
      </c>
      <c r="R34" s="113" t="s">
        <v>22</v>
      </c>
      <c r="S34" s="118" t="str">
        <f t="shared" si="5"/>
        <v>P</v>
      </c>
      <c r="T34" s="16"/>
      <c r="U34" s="16"/>
      <c r="V34" s="16"/>
      <c r="W34" s="16"/>
      <c r="X34" s="16"/>
      <c r="Y34" s="57"/>
      <c r="Z34" s="57"/>
      <c r="AA34" s="57"/>
      <c r="AB34" s="16"/>
      <c r="AC34" s="16"/>
      <c r="AD34" s="16"/>
      <c r="AE34" s="16"/>
      <c r="AF34" s="16"/>
      <c r="AG34" s="16"/>
      <c r="AH34" s="16"/>
      <c r="AI34" s="16">
        <v>1</v>
      </c>
      <c r="AJ34" s="16"/>
      <c r="AK34" s="16"/>
      <c r="AL34" s="16"/>
      <c r="AM34" s="16"/>
      <c r="AN34" s="16"/>
      <c r="AO34" s="16"/>
      <c r="AP34" s="16">
        <v>1</v>
      </c>
      <c r="AQ34" s="16"/>
      <c r="AR34" s="16"/>
      <c r="AS34" s="16"/>
      <c r="AT34" s="16"/>
      <c r="AU34" s="16"/>
      <c r="AV34" s="16"/>
      <c r="AW34" s="16"/>
      <c r="AX34" s="16"/>
      <c r="AY34" s="17"/>
      <c r="AZ34" s="8">
        <f t="array" ref="AZ34">Bin2DecRange($T34:$AY34)</f>
        <v>66048</v>
      </c>
      <c r="BA34" s="6" t="str">
        <f t="shared" si="6"/>
        <v>RO_Data[2].COND1[</v>
      </c>
      <c r="BB34" s="23">
        <v>29</v>
      </c>
      <c r="BC34" s="27" t="s">
        <v>22</v>
      </c>
      <c r="BD34" s="75"/>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27" t="s">
        <v>22</v>
      </c>
      <c r="CN34" s="75"/>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27" t="s">
        <v>22</v>
      </c>
      <c r="DX34" s="75"/>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3" t="s">
        <v>22</v>
      </c>
      <c r="FH34" s="116"/>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3" t="s">
        <v>22</v>
      </c>
      <c r="GR34" s="116"/>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27" t="s">
        <v>22</v>
      </c>
      <c r="IB34" s="8" t="s">
        <v>224</v>
      </c>
      <c r="IC34" s="6" t="str">
        <f t="shared" si="12"/>
        <v>RO_Data[2].STEP_DESC[</v>
      </c>
      <c r="ID34" s="23">
        <v>29</v>
      </c>
      <c r="IE34" s="113" t="s">
        <v>22</v>
      </c>
    </row>
    <row r="35" spans="1:239" x14ac:dyDescent="0.25">
      <c r="A35" s="8">
        <v>30</v>
      </c>
      <c r="B35" s="8" t="str">
        <f t="shared" si="0"/>
        <v>STARTING PUMPS</v>
      </c>
      <c r="C35" s="8"/>
      <c r="D35" s="6" t="str">
        <f t="shared" si="1"/>
        <v>RO_Data[2].ACK_DESC[</v>
      </c>
      <c r="E35" s="23">
        <v>30</v>
      </c>
      <c r="F35" s="113" t="s">
        <v>22</v>
      </c>
      <c r="G35" s="168">
        <v>0</v>
      </c>
      <c r="H35" s="6" t="str">
        <f t="shared" si="2"/>
        <v>RO_Data[2].MIN[</v>
      </c>
      <c r="I35" s="23">
        <v>30</v>
      </c>
      <c r="J35" s="113" t="s">
        <v>22</v>
      </c>
      <c r="K35" s="168">
        <v>30</v>
      </c>
      <c r="L35" s="6" t="str">
        <f t="shared" si="3"/>
        <v>RO_Data[2].SEC[</v>
      </c>
      <c r="M35" s="23">
        <v>30</v>
      </c>
      <c r="N35" s="27" t="s">
        <v>22</v>
      </c>
      <c r="O35" s="165">
        <v>0</v>
      </c>
      <c r="P35" s="6" t="str">
        <f t="shared" si="4"/>
        <v>RO_Data[2].SETPOINT[</v>
      </c>
      <c r="Q35" s="23">
        <v>30</v>
      </c>
      <c r="R35" s="113" t="s">
        <v>22</v>
      </c>
      <c r="S35" s="118" t="str">
        <f t="shared" si="5"/>
        <v>P</v>
      </c>
      <c r="T35" s="16"/>
      <c r="U35" s="16"/>
      <c r="V35" s="16"/>
      <c r="W35" s="16"/>
      <c r="X35" s="16"/>
      <c r="Y35" s="57"/>
      <c r="Z35" s="57"/>
      <c r="AA35" s="57"/>
      <c r="AB35" s="16"/>
      <c r="AC35" s="16"/>
      <c r="AD35" s="16"/>
      <c r="AE35" s="16"/>
      <c r="AF35" s="16"/>
      <c r="AG35" s="16"/>
      <c r="AH35" s="16"/>
      <c r="AI35" s="16"/>
      <c r="AJ35" s="16"/>
      <c r="AK35" s="16"/>
      <c r="AL35" s="16"/>
      <c r="AM35" s="16"/>
      <c r="AN35" s="16"/>
      <c r="AO35" s="16"/>
      <c r="AP35" s="16">
        <v>1</v>
      </c>
      <c r="AQ35" s="16"/>
      <c r="AR35" s="16"/>
      <c r="AS35" s="16"/>
      <c r="AT35" s="16"/>
      <c r="AU35" s="16"/>
      <c r="AV35" s="16"/>
      <c r="AW35" s="16"/>
      <c r="AX35" s="16"/>
      <c r="AY35" s="17"/>
      <c r="AZ35" s="8">
        <f t="array" ref="AZ35">Bin2DecRange($T35:$AY35)</f>
        <v>512</v>
      </c>
      <c r="BA35" s="6" t="str">
        <f t="shared" si="6"/>
        <v>RO_Data[2].COND1[</v>
      </c>
      <c r="BB35" s="23">
        <v>30</v>
      </c>
      <c r="BC35" s="27" t="s">
        <v>22</v>
      </c>
      <c r="BD35" s="75"/>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27" t="s">
        <v>22</v>
      </c>
      <c r="CN35" s="75"/>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27" t="s">
        <v>22</v>
      </c>
      <c r="DX35" s="75"/>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3" t="s">
        <v>22</v>
      </c>
      <c r="FH35" s="116"/>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3" t="s">
        <v>22</v>
      </c>
      <c r="GR35" s="116"/>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27" t="s">
        <v>22</v>
      </c>
      <c r="IB35" s="8" t="s">
        <v>225</v>
      </c>
      <c r="IC35" s="6" t="str">
        <f t="shared" si="12"/>
        <v>RO_Data[2].STEP_DESC[</v>
      </c>
      <c r="ID35" s="23">
        <v>30</v>
      </c>
      <c r="IE35" s="113" t="s">
        <v>22</v>
      </c>
    </row>
    <row r="36" spans="1:239" x14ac:dyDescent="0.25">
      <c r="A36" s="8">
        <v>31</v>
      </c>
      <c r="B36" s="8" t="str">
        <f t="shared" si="0"/>
        <v>ADDING CHEMICALS</v>
      </c>
      <c r="C36" s="8"/>
      <c r="D36" s="6" t="str">
        <f t="shared" si="1"/>
        <v>RO_Data[2].ACK_DESC[</v>
      </c>
      <c r="E36" s="23">
        <v>31</v>
      </c>
      <c r="F36" s="113" t="s">
        <v>22</v>
      </c>
      <c r="G36" s="168">
        <v>0</v>
      </c>
      <c r="H36" s="6" t="str">
        <f t="shared" si="2"/>
        <v>RO_Data[2].MIN[</v>
      </c>
      <c r="I36" s="23">
        <v>31</v>
      </c>
      <c r="J36" s="113" t="s">
        <v>22</v>
      </c>
      <c r="K36" s="168">
        <v>1</v>
      </c>
      <c r="L36" s="6" t="str">
        <f t="shared" si="3"/>
        <v>RO_Data[2].SEC[</v>
      </c>
      <c r="M36" s="23">
        <v>31</v>
      </c>
      <c r="N36" s="27" t="s">
        <v>22</v>
      </c>
      <c r="O36" s="165">
        <v>0</v>
      </c>
      <c r="P36" s="6" t="str">
        <f t="shared" si="4"/>
        <v>RO_Data[2].SETPOINT[</v>
      </c>
      <c r="Q36" s="23">
        <v>31</v>
      </c>
      <c r="R36" s="113" t="s">
        <v>22</v>
      </c>
      <c r="S36" s="118" t="str">
        <f t="shared" si="5"/>
        <v>P</v>
      </c>
      <c r="T36" s="16"/>
      <c r="U36" s="16"/>
      <c r="V36" s="16"/>
      <c r="W36" s="16"/>
      <c r="X36" s="16"/>
      <c r="Y36" s="57"/>
      <c r="Z36" s="57"/>
      <c r="AA36" s="57"/>
      <c r="AB36" s="16"/>
      <c r="AC36" s="16"/>
      <c r="AD36" s="16"/>
      <c r="AE36" s="16"/>
      <c r="AF36" s="16"/>
      <c r="AG36" s="16"/>
      <c r="AH36" s="16"/>
      <c r="AI36" s="16"/>
      <c r="AJ36" s="16"/>
      <c r="AK36" s="16">
        <v>1</v>
      </c>
      <c r="AL36" s="16"/>
      <c r="AM36" s="16"/>
      <c r="AN36" s="16"/>
      <c r="AO36" s="16"/>
      <c r="AP36" s="16">
        <v>1</v>
      </c>
      <c r="AQ36" s="16"/>
      <c r="AR36" s="16"/>
      <c r="AS36" s="16"/>
      <c r="AT36" s="16"/>
      <c r="AU36" s="16"/>
      <c r="AV36" s="16"/>
      <c r="AW36" s="16"/>
      <c r="AX36" s="16"/>
      <c r="AY36" s="17"/>
      <c r="AZ36" s="8">
        <f t="array" ref="AZ36">Bin2DecRange($T36:$AY36)</f>
        <v>16896</v>
      </c>
      <c r="BA36" s="6" t="str">
        <f t="shared" si="6"/>
        <v>RO_Data[2].COND1[</v>
      </c>
      <c r="BB36" s="23">
        <v>31</v>
      </c>
      <c r="BC36" s="27" t="s">
        <v>22</v>
      </c>
      <c r="BD36" s="75"/>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27" t="s">
        <v>22</v>
      </c>
      <c r="CN36" s="75"/>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27" t="s">
        <v>22</v>
      </c>
      <c r="DX36" s="75"/>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3" t="s">
        <v>22</v>
      </c>
      <c r="FH36" s="116"/>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3" t="s">
        <v>22</v>
      </c>
      <c r="GR36" s="116"/>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c r="HV36" s="16"/>
      <c r="HW36" s="17"/>
      <c r="HX36" s="8" cm="1">
        <f t="array" ref="HX36">Bin2DecRange($GR36:$HW36)</f>
        <v>67108864</v>
      </c>
      <c r="HY36" s="6" t="str">
        <f t="shared" si="11"/>
        <v>RO_Data[2].ACT6[</v>
      </c>
      <c r="HZ36" s="23">
        <v>31</v>
      </c>
      <c r="IA36" s="27" t="s">
        <v>22</v>
      </c>
      <c r="IB36" s="8" t="s">
        <v>227</v>
      </c>
      <c r="IC36" s="6" t="str">
        <f t="shared" si="12"/>
        <v>RO_Data[2].STEP_DESC[</v>
      </c>
      <c r="ID36" s="23">
        <v>31</v>
      </c>
      <c r="IE36" s="113" t="s">
        <v>22</v>
      </c>
    </row>
    <row r="37" spans="1:239" x14ac:dyDescent="0.25">
      <c r="A37" s="8">
        <v>32</v>
      </c>
      <c r="B37" s="8" t="str">
        <f t="shared" si="0"/>
        <v>HEATING TO TEMPERATURE (WASH 3)</v>
      </c>
      <c r="C37" s="8"/>
      <c r="D37" s="6" t="str">
        <f t="shared" si="1"/>
        <v>RO_Data[2].ACK_DESC[</v>
      </c>
      <c r="E37" s="23">
        <v>32</v>
      </c>
      <c r="F37" s="113" t="s">
        <v>22</v>
      </c>
      <c r="G37" s="168">
        <v>0</v>
      </c>
      <c r="H37" s="6" t="str">
        <f t="shared" si="2"/>
        <v>RO_Data[2].MIN[</v>
      </c>
      <c r="I37" s="23">
        <v>32</v>
      </c>
      <c r="J37" s="113" t="s">
        <v>22</v>
      </c>
      <c r="K37" s="168">
        <v>1</v>
      </c>
      <c r="L37" s="6" t="str">
        <f t="shared" si="3"/>
        <v>RO_Data[2].SEC[</v>
      </c>
      <c r="M37" s="23">
        <v>32</v>
      </c>
      <c r="N37" s="27" t="s">
        <v>22</v>
      </c>
      <c r="O37" s="165">
        <v>0</v>
      </c>
      <c r="P37" s="6" t="str">
        <f t="shared" si="4"/>
        <v>RO_Data[2].SETPOINT[</v>
      </c>
      <c r="Q37" s="23">
        <v>32</v>
      </c>
      <c r="R37" s="113" t="s">
        <v>22</v>
      </c>
      <c r="S37" s="118" t="str">
        <f t="shared" si="5"/>
        <v>P</v>
      </c>
      <c r="T37" s="16"/>
      <c r="U37" s="16"/>
      <c r="V37" s="16"/>
      <c r="W37" s="16"/>
      <c r="X37" s="16"/>
      <c r="Y37" s="57"/>
      <c r="Z37" s="57"/>
      <c r="AA37" s="57"/>
      <c r="AB37" s="16"/>
      <c r="AC37" s="16"/>
      <c r="AD37" s="16"/>
      <c r="AE37" s="16"/>
      <c r="AF37" s="16"/>
      <c r="AG37" s="16"/>
      <c r="AH37" s="16"/>
      <c r="AI37" s="16"/>
      <c r="AJ37" s="16"/>
      <c r="AK37" s="16"/>
      <c r="AL37" s="16"/>
      <c r="AM37" s="16"/>
      <c r="AN37" s="16"/>
      <c r="AO37" s="16">
        <v>1</v>
      </c>
      <c r="AP37" s="16">
        <v>1</v>
      </c>
      <c r="AQ37" s="16"/>
      <c r="AR37" s="16"/>
      <c r="AS37" s="16"/>
      <c r="AT37" s="16"/>
      <c r="AU37" s="16"/>
      <c r="AV37" s="16"/>
      <c r="AW37" s="16"/>
      <c r="AX37" s="16"/>
      <c r="AY37" s="17"/>
      <c r="AZ37" s="8">
        <f t="array" ref="AZ37">Bin2DecRange($T37:$AY37)</f>
        <v>1536</v>
      </c>
      <c r="BA37" s="6" t="str">
        <f t="shared" si="6"/>
        <v>RO_Data[2].COND1[</v>
      </c>
      <c r="BB37" s="23">
        <v>32</v>
      </c>
      <c r="BC37" s="27" t="s">
        <v>22</v>
      </c>
      <c r="BD37" s="75"/>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27" t="s">
        <v>22</v>
      </c>
      <c r="CN37" s="75"/>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27" t="s">
        <v>22</v>
      </c>
      <c r="DX37" s="75"/>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3" t="s">
        <v>22</v>
      </c>
      <c r="FH37" s="116"/>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3" t="s">
        <v>22</v>
      </c>
      <c r="GR37" s="116"/>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27" t="s">
        <v>22</v>
      </c>
      <c r="IB37" s="8" t="s">
        <v>234</v>
      </c>
      <c r="IC37" s="6" t="str">
        <f t="shared" si="12"/>
        <v>RO_Data[2].STEP_DESC[</v>
      </c>
      <c r="ID37" s="23">
        <v>32</v>
      </c>
      <c r="IE37" s="113" t="s">
        <v>22</v>
      </c>
    </row>
    <row r="38" spans="1:239" x14ac:dyDescent="0.25">
      <c r="A38" s="8">
        <v>33</v>
      </c>
      <c r="B38" s="8" t="str">
        <f t="shared" si="0"/>
        <v>CHECK PH - HOLD FOR ACKNOWLEDGE</v>
      </c>
      <c r="C38" s="8"/>
      <c r="D38" s="6" t="str">
        <f t="shared" si="1"/>
        <v>RO_Data[2].ACK_DESC[</v>
      </c>
      <c r="E38" s="23">
        <v>33</v>
      </c>
      <c r="F38" s="113" t="s">
        <v>22</v>
      </c>
      <c r="G38" s="168">
        <v>0</v>
      </c>
      <c r="H38" s="6" t="str">
        <f t="shared" si="2"/>
        <v>RO_Data[2].MIN[</v>
      </c>
      <c r="I38" s="23">
        <v>33</v>
      </c>
      <c r="J38" s="113" t="s">
        <v>22</v>
      </c>
      <c r="K38" s="168">
        <v>0</v>
      </c>
      <c r="L38" s="6" t="str">
        <f t="shared" si="3"/>
        <v>RO_Data[2].SEC[</v>
      </c>
      <c r="M38" s="23">
        <v>33</v>
      </c>
      <c r="N38" s="27" t="s">
        <v>22</v>
      </c>
      <c r="O38" s="165">
        <v>0</v>
      </c>
      <c r="P38" s="6" t="str">
        <f t="shared" si="4"/>
        <v>RO_Data[2].SETPOINT[</v>
      </c>
      <c r="Q38" s="23">
        <v>33</v>
      </c>
      <c r="R38" s="113" t="s">
        <v>22</v>
      </c>
      <c r="S38" s="118" t="str">
        <f t="shared" si="5"/>
        <v/>
      </c>
      <c r="T38" s="16"/>
      <c r="U38" s="16"/>
      <c r="V38" s="16"/>
      <c r="W38" s="16"/>
      <c r="X38" s="16"/>
      <c r="Y38" s="57"/>
      <c r="Z38" s="57"/>
      <c r="AA38" s="57"/>
      <c r="AB38" s="16"/>
      <c r="AC38" s="16"/>
      <c r="AD38" s="16"/>
      <c r="AE38" s="16"/>
      <c r="AF38" s="16"/>
      <c r="AG38" s="16"/>
      <c r="AH38" s="16"/>
      <c r="AI38" s="16"/>
      <c r="AJ38" s="16"/>
      <c r="AK38" s="16"/>
      <c r="AL38" s="16"/>
      <c r="AM38" s="16"/>
      <c r="AN38" s="16"/>
      <c r="AO38" s="16"/>
      <c r="AP38" s="16"/>
      <c r="AQ38" s="16"/>
      <c r="AR38" s="16"/>
      <c r="AS38" s="16"/>
      <c r="AT38" s="16"/>
      <c r="AU38" s="16"/>
      <c r="AV38" s="16">
        <v>1</v>
      </c>
      <c r="AW38" s="16"/>
      <c r="AX38" s="16"/>
      <c r="AY38" s="17"/>
      <c r="AZ38" s="8">
        <f t="array" ref="AZ38">Bin2DecRange($T38:$AY38)</f>
        <v>8</v>
      </c>
      <c r="BA38" s="6" t="str">
        <f t="shared" si="6"/>
        <v>RO_Data[2].COND1[</v>
      </c>
      <c r="BB38" s="23">
        <v>33</v>
      </c>
      <c r="BC38" s="27" t="s">
        <v>22</v>
      </c>
      <c r="BD38" s="75"/>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27" t="s">
        <v>22</v>
      </c>
      <c r="CN38" s="75"/>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27" t="s">
        <v>22</v>
      </c>
      <c r="DX38" s="75"/>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3" t="s">
        <v>22</v>
      </c>
      <c r="FH38" s="116"/>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3" t="s">
        <v>22</v>
      </c>
      <c r="GR38" s="116"/>
      <c r="GS38" s="16"/>
      <c r="GT38" s="16"/>
      <c r="GU38" s="16"/>
      <c r="GV38" s="16"/>
      <c r="GW38" s="16"/>
      <c r="GX38" s="16"/>
      <c r="GY38" s="16"/>
      <c r="GZ38" s="16"/>
      <c r="HA38" s="16"/>
      <c r="HB38" s="16"/>
      <c r="HC38" s="16"/>
      <c r="HD38" s="16"/>
      <c r="HE38" s="16"/>
      <c r="HF38" s="16"/>
      <c r="HG38" s="16"/>
      <c r="HH38" s="16"/>
      <c r="HI38" s="16"/>
      <c r="HJ38" s="16"/>
      <c r="HK38" s="16"/>
      <c r="HL38" s="16"/>
      <c r="HM38" s="16"/>
      <c r="HN38" s="16"/>
      <c r="HO38" s="16"/>
      <c r="HP38" s="16"/>
      <c r="HQ38" s="16"/>
      <c r="HR38" s="16"/>
      <c r="HS38" s="16"/>
      <c r="HT38" s="16"/>
      <c r="HU38" s="16"/>
      <c r="HV38" s="16"/>
      <c r="HW38" s="17"/>
      <c r="HX38" s="8" cm="1">
        <f t="array" ref="HX38">Bin2DecRange($GR38:$HW38)</f>
        <v>0</v>
      </c>
      <c r="HY38" s="6" t="str">
        <f t="shared" si="11"/>
        <v>RO_Data[2].ACT6[</v>
      </c>
      <c r="HZ38" s="23">
        <v>33</v>
      </c>
      <c r="IA38" s="27" t="s">
        <v>22</v>
      </c>
      <c r="IB38" s="62" t="s">
        <v>355</v>
      </c>
      <c r="IC38" s="6" t="str">
        <f t="shared" si="12"/>
        <v>RO_Data[2].STEP_DESC[</v>
      </c>
      <c r="ID38" s="23">
        <v>33</v>
      </c>
      <c r="IE38" s="113" t="s">
        <v>22</v>
      </c>
    </row>
    <row r="39" spans="1:239" x14ac:dyDescent="0.25">
      <c r="A39" s="8">
        <v>34</v>
      </c>
      <c r="B39" s="8" t="str">
        <f t="shared" si="0"/>
        <v>WASH 3</v>
      </c>
      <c r="C39" s="8"/>
      <c r="D39" s="6" t="str">
        <f t="shared" si="1"/>
        <v>RO_Data[2].ACK_DESC[</v>
      </c>
      <c r="E39" s="23">
        <v>34</v>
      </c>
      <c r="F39" s="113" t="s">
        <v>22</v>
      </c>
      <c r="G39" s="168">
        <v>0</v>
      </c>
      <c r="H39" s="6" t="str">
        <f t="shared" si="2"/>
        <v>RO_Data[2].MIN[</v>
      </c>
      <c r="I39" s="23">
        <v>34</v>
      </c>
      <c r="J39" s="113" t="s">
        <v>22</v>
      </c>
      <c r="K39" s="168">
        <v>1</v>
      </c>
      <c r="L39" s="6" t="str">
        <f t="shared" si="3"/>
        <v>RO_Data[2].SEC[</v>
      </c>
      <c r="M39" s="23">
        <v>34</v>
      </c>
      <c r="N39" s="27" t="s">
        <v>22</v>
      </c>
      <c r="O39" s="165">
        <v>0</v>
      </c>
      <c r="P39" s="6" t="str">
        <f t="shared" si="4"/>
        <v>RO_Data[2].SETPOINT[</v>
      </c>
      <c r="Q39" s="23">
        <v>34</v>
      </c>
      <c r="R39" s="113" t="s">
        <v>22</v>
      </c>
      <c r="S39" s="118" t="str">
        <f t="shared" si="5"/>
        <v>P</v>
      </c>
      <c r="T39" s="16"/>
      <c r="U39" s="16"/>
      <c r="V39" s="16"/>
      <c r="W39" s="16"/>
      <c r="X39" s="16"/>
      <c r="Y39" s="57"/>
      <c r="Z39" s="57"/>
      <c r="AA39" s="57"/>
      <c r="AB39" s="16"/>
      <c r="AC39" s="16"/>
      <c r="AD39" s="16"/>
      <c r="AE39" s="16"/>
      <c r="AF39" s="16"/>
      <c r="AG39" s="16"/>
      <c r="AH39" s="16"/>
      <c r="AI39" s="16"/>
      <c r="AJ39" s="16"/>
      <c r="AK39" s="16"/>
      <c r="AL39" s="16"/>
      <c r="AM39" s="16"/>
      <c r="AN39" s="16"/>
      <c r="AO39" s="16"/>
      <c r="AP39" s="16">
        <v>1</v>
      </c>
      <c r="AQ39" s="16"/>
      <c r="AR39" s="16"/>
      <c r="AS39" s="16"/>
      <c r="AT39" s="16"/>
      <c r="AU39" s="16"/>
      <c r="AV39" s="16"/>
      <c r="AW39" s="16"/>
      <c r="AX39" s="16"/>
      <c r="AY39" s="17"/>
      <c r="AZ39" s="8">
        <f t="array" ref="AZ39">Bin2DecRange($T39:$AY39)</f>
        <v>512</v>
      </c>
      <c r="BA39" s="6" t="str">
        <f t="shared" si="6"/>
        <v>RO_Data[2].COND1[</v>
      </c>
      <c r="BB39" s="23">
        <v>34</v>
      </c>
      <c r="BC39" s="27" t="s">
        <v>22</v>
      </c>
      <c r="BD39" s="75"/>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27" t="s">
        <v>22</v>
      </c>
      <c r="CN39" s="75"/>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27" t="s">
        <v>22</v>
      </c>
      <c r="DX39" s="75"/>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3" t="s">
        <v>22</v>
      </c>
      <c r="FH39" s="116"/>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3" t="s">
        <v>22</v>
      </c>
      <c r="GR39" s="116"/>
      <c r="GS39" s="16"/>
      <c r="GT39" s="16"/>
      <c r="GU39" s="16"/>
      <c r="GV39" s="16"/>
      <c r="GW39" s="16"/>
      <c r="GX39" s="16"/>
      <c r="GY39" s="16"/>
      <c r="GZ39" s="16"/>
      <c r="HA39" s="16"/>
      <c r="HB39" s="16"/>
      <c r="HC39" s="16"/>
      <c r="HD39" s="16"/>
      <c r="HE39" s="16"/>
      <c r="HF39" s="16"/>
      <c r="HG39" s="16"/>
      <c r="HH39" s="16"/>
      <c r="HI39" s="16"/>
      <c r="HJ39" s="16"/>
      <c r="HK39" s="16"/>
      <c r="HL39" s="16"/>
      <c r="HM39" s="16"/>
      <c r="HN39" s="16"/>
      <c r="HO39" s="16"/>
      <c r="HP39" s="16"/>
      <c r="HQ39" s="16"/>
      <c r="HR39" s="16"/>
      <c r="HS39" s="16"/>
      <c r="HT39" s="16"/>
      <c r="HU39" s="16"/>
      <c r="HV39" s="16"/>
      <c r="HW39" s="17"/>
      <c r="HX39" s="8" cm="1">
        <f t="array" ref="HX39">Bin2DecRange($GR39:$HW39)</f>
        <v>0</v>
      </c>
      <c r="HY39" s="6" t="str">
        <f t="shared" si="11"/>
        <v>RO_Data[2].ACT6[</v>
      </c>
      <c r="HZ39" s="23">
        <v>34</v>
      </c>
      <c r="IA39" s="27" t="s">
        <v>22</v>
      </c>
      <c r="IB39" s="8" t="s">
        <v>235</v>
      </c>
      <c r="IC39" s="6" t="str">
        <f t="shared" si="12"/>
        <v>RO_Data[2].STEP_DESC[</v>
      </c>
      <c r="ID39" s="23">
        <v>34</v>
      </c>
      <c r="IE39" s="113" t="s">
        <v>22</v>
      </c>
    </row>
    <row r="40" spans="1:239" x14ac:dyDescent="0.25">
      <c r="A40" s="8">
        <v>35</v>
      </c>
      <c r="B40" s="8" t="str">
        <f t="shared" si="0"/>
        <v>PUMPING DOWN FEED TANK</v>
      </c>
      <c r="C40" s="8"/>
      <c r="D40" s="6" t="str">
        <f t="shared" si="1"/>
        <v>RO_Data[2].ACK_DESC[</v>
      </c>
      <c r="E40" s="23">
        <v>35</v>
      </c>
      <c r="F40" s="113" t="s">
        <v>22</v>
      </c>
      <c r="G40" s="168">
        <v>0</v>
      </c>
      <c r="H40" s="6" t="str">
        <f t="shared" si="2"/>
        <v>RO_Data[2].MIN[</v>
      </c>
      <c r="I40" s="23">
        <v>35</v>
      </c>
      <c r="J40" s="113" t="s">
        <v>22</v>
      </c>
      <c r="K40" s="168">
        <v>1</v>
      </c>
      <c r="L40" s="6" t="str">
        <f t="shared" si="3"/>
        <v>RO_Data[2].SEC[</v>
      </c>
      <c r="M40" s="23">
        <v>35</v>
      </c>
      <c r="N40" s="27" t="s">
        <v>22</v>
      </c>
      <c r="O40" s="165">
        <v>0</v>
      </c>
      <c r="P40" s="6" t="str">
        <f t="shared" si="4"/>
        <v>RO_Data[2].SETPOINT[</v>
      </c>
      <c r="Q40" s="23">
        <v>35</v>
      </c>
      <c r="R40" s="113" t="s">
        <v>22</v>
      </c>
      <c r="S40" s="118" t="str">
        <f t="shared" si="5"/>
        <v>P</v>
      </c>
      <c r="T40" s="16"/>
      <c r="U40" s="16"/>
      <c r="V40" s="16"/>
      <c r="W40" s="16"/>
      <c r="X40" s="16"/>
      <c r="Y40" s="57"/>
      <c r="Z40" s="57"/>
      <c r="AA40" s="57"/>
      <c r="AB40" s="16"/>
      <c r="AC40" s="16"/>
      <c r="AD40" s="16"/>
      <c r="AE40" s="16"/>
      <c r="AF40" s="16">
        <v>1</v>
      </c>
      <c r="AG40" s="16"/>
      <c r="AH40" s="16"/>
      <c r="AI40" s="16"/>
      <c r="AJ40" s="16"/>
      <c r="AK40" s="16"/>
      <c r="AL40" s="16"/>
      <c r="AM40" s="16"/>
      <c r="AN40" s="16"/>
      <c r="AO40" s="16"/>
      <c r="AP40" s="16">
        <v>1</v>
      </c>
      <c r="AQ40" s="16"/>
      <c r="AR40" s="16"/>
      <c r="AS40" s="16"/>
      <c r="AT40" s="16"/>
      <c r="AU40" s="16"/>
      <c r="AV40" s="16"/>
      <c r="AW40" s="16"/>
      <c r="AX40" s="16"/>
      <c r="AY40" s="17"/>
      <c r="AZ40" s="8">
        <f t="array" ref="AZ40">Bin2DecRange($T40:$AY40)</f>
        <v>524800</v>
      </c>
      <c r="BA40" s="6" t="str">
        <f t="shared" si="6"/>
        <v>RO_Data[2].COND1[</v>
      </c>
      <c r="BB40" s="23">
        <v>35</v>
      </c>
      <c r="BC40" s="27" t="s">
        <v>22</v>
      </c>
      <c r="BD40" s="75"/>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27" t="s">
        <v>22</v>
      </c>
      <c r="CN40" s="75"/>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27" t="s">
        <v>22</v>
      </c>
      <c r="DX40" s="75">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3" t="s">
        <v>22</v>
      </c>
      <c r="FH40" s="116"/>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3" t="s">
        <v>22</v>
      </c>
      <c r="GR40" s="116"/>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27" t="s">
        <v>22</v>
      </c>
      <c r="IB40" s="8" t="s">
        <v>230</v>
      </c>
      <c r="IC40" s="6" t="str">
        <f t="shared" si="12"/>
        <v>RO_Data[2].STEP_DESC[</v>
      </c>
      <c r="ID40" s="23">
        <v>35</v>
      </c>
      <c r="IE40" s="113" t="s">
        <v>22</v>
      </c>
    </row>
    <row r="41" spans="1:239" x14ac:dyDescent="0.25">
      <c r="A41" s="8">
        <v>36</v>
      </c>
      <c r="B41" s="8" t="str">
        <f t="shared" si="0"/>
        <v>DRAINING FEED TANK</v>
      </c>
      <c r="C41" s="8"/>
      <c r="D41" s="6" t="str">
        <f t="shared" si="1"/>
        <v>RO_Data[2].ACK_DESC[</v>
      </c>
      <c r="E41" s="23">
        <v>36</v>
      </c>
      <c r="F41" s="113" t="s">
        <v>22</v>
      </c>
      <c r="G41" s="168">
        <v>0</v>
      </c>
      <c r="H41" s="6" t="str">
        <f t="shared" si="2"/>
        <v>RO_Data[2].MIN[</v>
      </c>
      <c r="I41" s="23">
        <v>36</v>
      </c>
      <c r="J41" s="113" t="s">
        <v>22</v>
      </c>
      <c r="K41" s="168">
        <v>1</v>
      </c>
      <c r="L41" s="6" t="str">
        <f t="shared" si="3"/>
        <v>RO_Data[2].SEC[</v>
      </c>
      <c r="M41" s="23">
        <v>36</v>
      </c>
      <c r="N41" s="27" t="s">
        <v>22</v>
      </c>
      <c r="O41" s="165">
        <v>0</v>
      </c>
      <c r="P41" s="6" t="str">
        <f t="shared" si="4"/>
        <v>RO_Data[2].SETPOINT[</v>
      </c>
      <c r="Q41" s="23">
        <v>36</v>
      </c>
      <c r="R41" s="113" t="s">
        <v>22</v>
      </c>
      <c r="S41" s="118" t="str">
        <f t="shared" si="5"/>
        <v>P</v>
      </c>
      <c r="T41" s="16"/>
      <c r="U41" s="16"/>
      <c r="V41" s="16"/>
      <c r="W41" s="16"/>
      <c r="X41" s="16"/>
      <c r="Y41" s="57"/>
      <c r="Z41" s="57"/>
      <c r="AA41" s="57"/>
      <c r="AB41" s="16"/>
      <c r="AC41" s="16"/>
      <c r="AD41" s="16"/>
      <c r="AE41" s="16"/>
      <c r="AF41" s="16"/>
      <c r="AG41" s="16"/>
      <c r="AH41" s="16"/>
      <c r="AI41" s="16"/>
      <c r="AJ41" s="16"/>
      <c r="AK41" s="16"/>
      <c r="AL41" s="16"/>
      <c r="AM41" s="16"/>
      <c r="AN41" s="16"/>
      <c r="AO41" s="16"/>
      <c r="AP41" s="16">
        <v>1</v>
      </c>
      <c r="AQ41" s="16"/>
      <c r="AR41" s="16"/>
      <c r="AS41" s="16"/>
      <c r="AT41" s="16"/>
      <c r="AU41" s="16"/>
      <c r="AV41" s="16"/>
      <c r="AW41" s="16"/>
      <c r="AX41" s="16"/>
      <c r="AY41" s="17"/>
      <c r="AZ41" s="8">
        <f t="array" ref="AZ41">Bin2DecRange($T41:$AY41)</f>
        <v>512</v>
      </c>
      <c r="BA41" s="6" t="str">
        <f t="shared" si="6"/>
        <v>RO_Data[2].COND1[</v>
      </c>
      <c r="BB41" s="23">
        <v>36</v>
      </c>
      <c r="BC41" s="27" t="s">
        <v>22</v>
      </c>
      <c r="BD41" s="75"/>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27" t="s">
        <v>22</v>
      </c>
      <c r="CN41" s="75"/>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27" t="s">
        <v>22</v>
      </c>
      <c r="DX41" s="75">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3" t="s">
        <v>22</v>
      </c>
      <c r="FH41" s="116"/>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3" t="s">
        <v>22</v>
      </c>
      <c r="GR41" s="116"/>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27" t="s">
        <v>22</v>
      </c>
      <c r="IB41" s="8" t="s">
        <v>231</v>
      </c>
      <c r="IC41" s="6" t="str">
        <f t="shared" si="12"/>
        <v>RO_Data[2].STEP_DESC[</v>
      </c>
      <c r="ID41" s="23">
        <v>36</v>
      </c>
      <c r="IE41" s="113" t="s">
        <v>22</v>
      </c>
    </row>
    <row r="42" spans="1:239" x14ac:dyDescent="0.25">
      <c r="A42" s="8">
        <v>37</v>
      </c>
      <c r="B42" s="8" t="str">
        <f t="shared" si="0"/>
        <v>FILLING FEED TANK TO SET POINT LEVEL</v>
      </c>
      <c r="C42" s="8"/>
      <c r="D42" s="6" t="str">
        <f t="shared" si="1"/>
        <v>RO_Data[2].ACK_DESC[</v>
      </c>
      <c r="E42" s="23">
        <v>37</v>
      </c>
      <c r="F42" s="113" t="s">
        <v>22</v>
      </c>
      <c r="G42" s="168">
        <v>0</v>
      </c>
      <c r="H42" s="6" t="str">
        <f t="shared" si="2"/>
        <v>RO_Data[2].MIN[</v>
      </c>
      <c r="I42" s="23">
        <v>37</v>
      </c>
      <c r="J42" s="113" t="s">
        <v>22</v>
      </c>
      <c r="K42" s="168">
        <v>1</v>
      </c>
      <c r="L42" s="6" t="str">
        <f t="shared" si="3"/>
        <v>RO_Data[2].SEC[</v>
      </c>
      <c r="M42" s="23">
        <v>37</v>
      </c>
      <c r="N42" s="27" t="s">
        <v>22</v>
      </c>
      <c r="O42" s="165">
        <v>0</v>
      </c>
      <c r="P42" s="6" t="str">
        <f t="shared" si="4"/>
        <v>RO_Data[2].SETPOINT[</v>
      </c>
      <c r="Q42" s="23">
        <v>37</v>
      </c>
      <c r="R42" s="113" t="s">
        <v>22</v>
      </c>
      <c r="S42" s="118" t="str">
        <f t="shared" si="5"/>
        <v>P</v>
      </c>
      <c r="T42" s="16"/>
      <c r="U42" s="16"/>
      <c r="V42" s="16"/>
      <c r="W42" s="16"/>
      <c r="X42" s="16"/>
      <c r="Y42" s="57"/>
      <c r="Z42" s="57"/>
      <c r="AA42" s="57"/>
      <c r="AB42" s="16"/>
      <c r="AC42" s="16"/>
      <c r="AD42" s="16"/>
      <c r="AE42" s="16"/>
      <c r="AF42" s="16"/>
      <c r="AG42" s="16"/>
      <c r="AH42" s="16"/>
      <c r="AI42" s="16">
        <v>1</v>
      </c>
      <c r="AJ42" s="16"/>
      <c r="AK42" s="16"/>
      <c r="AL42" s="16"/>
      <c r="AM42" s="16"/>
      <c r="AN42" s="16"/>
      <c r="AO42" s="16"/>
      <c r="AP42" s="16">
        <v>1</v>
      </c>
      <c r="AQ42" s="16"/>
      <c r="AR42" s="16"/>
      <c r="AS42" s="16"/>
      <c r="AT42" s="16"/>
      <c r="AU42" s="16"/>
      <c r="AV42" s="16"/>
      <c r="AW42" s="16"/>
      <c r="AX42" s="16"/>
      <c r="AY42" s="17"/>
      <c r="AZ42" s="8">
        <f t="array" ref="AZ42">Bin2DecRange($T42:$AY42)</f>
        <v>66048</v>
      </c>
      <c r="BA42" s="6" t="str">
        <f t="shared" si="6"/>
        <v>RO_Data[2].COND1[</v>
      </c>
      <c r="BB42" s="23">
        <v>37</v>
      </c>
      <c r="BC42" s="27" t="s">
        <v>22</v>
      </c>
      <c r="BD42" s="75"/>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27" t="s">
        <v>22</v>
      </c>
      <c r="CN42" s="75"/>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27" t="s">
        <v>22</v>
      </c>
      <c r="DX42" s="75">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3" t="s">
        <v>22</v>
      </c>
      <c r="FH42" s="116"/>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3" t="s">
        <v>22</v>
      </c>
      <c r="GR42" s="116"/>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27" t="s">
        <v>22</v>
      </c>
      <c r="IB42" s="8" t="s">
        <v>224</v>
      </c>
      <c r="IC42" s="6" t="str">
        <f t="shared" si="12"/>
        <v>RO_Data[2].STEP_DESC[</v>
      </c>
      <c r="ID42" s="23">
        <v>37</v>
      </c>
      <c r="IE42" s="113" t="s">
        <v>22</v>
      </c>
    </row>
    <row r="43" spans="1:239" x14ac:dyDescent="0.25">
      <c r="A43" s="8">
        <v>38</v>
      </c>
      <c r="B43" s="8" t="str">
        <f t="shared" si="0"/>
        <v>STARTING PUMPS</v>
      </c>
      <c r="C43" s="8"/>
      <c r="D43" s="6" t="str">
        <f t="shared" si="1"/>
        <v>RO_Data[2].ACK_DESC[</v>
      </c>
      <c r="E43" s="23">
        <v>38</v>
      </c>
      <c r="F43" s="113" t="s">
        <v>22</v>
      </c>
      <c r="G43" s="168">
        <v>0</v>
      </c>
      <c r="H43" s="6" t="str">
        <f t="shared" si="2"/>
        <v>RO_Data[2].MIN[</v>
      </c>
      <c r="I43" s="23">
        <v>38</v>
      </c>
      <c r="J43" s="113" t="s">
        <v>22</v>
      </c>
      <c r="K43" s="168">
        <v>30</v>
      </c>
      <c r="L43" s="6" t="str">
        <f t="shared" si="3"/>
        <v>RO_Data[2].SEC[</v>
      </c>
      <c r="M43" s="23">
        <v>38</v>
      </c>
      <c r="N43" s="27" t="s">
        <v>22</v>
      </c>
      <c r="O43" s="165">
        <v>0</v>
      </c>
      <c r="P43" s="6" t="str">
        <f t="shared" si="4"/>
        <v>RO_Data[2].SETPOINT[</v>
      </c>
      <c r="Q43" s="23">
        <v>38</v>
      </c>
      <c r="R43" s="113" t="s">
        <v>22</v>
      </c>
      <c r="S43" s="118" t="str">
        <f t="shared" si="5"/>
        <v>P</v>
      </c>
      <c r="T43" s="16"/>
      <c r="U43" s="16"/>
      <c r="V43" s="16"/>
      <c r="W43" s="16"/>
      <c r="X43" s="16"/>
      <c r="Y43" s="57"/>
      <c r="Z43" s="57"/>
      <c r="AA43" s="57"/>
      <c r="AB43" s="16"/>
      <c r="AC43" s="16"/>
      <c r="AD43" s="16"/>
      <c r="AE43" s="16"/>
      <c r="AF43" s="16"/>
      <c r="AG43" s="16"/>
      <c r="AH43" s="16"/>
      <c r="AI43" s="16"/>
      <c r="AJ43" s="16"/>
      <c r="AK43" s="16"/>
      <c r="AL43" s="16"/>
      <c r="AM43" s="16"/>
      <c r="AN43" s="16"/>
      <c r="AO43" s="16"/>
      <c r="AP43" s="16">
        <v>1</v>
      </c>
      <c r="AQ43" s="16"/>
      <c r="AR43" s="16"/>
      <c r="AS43" s="16"/>
      <c r="AT43" s="16"/>
      <c r="AU43" s="16"/>
      <c r="AV43" s="16"/>
      <c r="AW43" s="16"/>
      <c r="AX43" s="16"/>
      <c r="AY43" s="17"/>
      <c r="AZ43" s="8">
        <f t="array" ref="AZ43">Bin2DecRange($T43:$AY43)</f>
        <v>512</v>
      </c>
      <c r="BA43" s="6" t="str">
        <f t="shared" si="6"/>
        <v>RO_Data[2].COND1[</v>
      </c>
      <c r="BB43" s="23">
        <v>38</v>
      </c>
      <c r="BC43" s="27" t="s">
        <v>22</v>
      </c>
      <c r="BD43" s="75"/>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27" t="s">
        <v>22</v>
      </c>
      <c r="CN43" s="75"/>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27" t="s">
        <v>22</v>
      </c>
      <c r="DX43" s="75">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3" t="s">
        <v>22</v>
      </c>
      <c r="FH43" s="116"/>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3" t="s">
        <v>22</v>
      </c>
      <c r="GR43" s="116"/>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27" t="s">
        <v>22</v>
      </c>
      <c r="IB43" s="8" t="s">
        <v>225</v>
      </c>
      <c r="IC43" s="6" t="str">
        <f t="shared" si="12"/>
        <v>RO_Data[2].STEP_DESC[</v>
      </c>
      <c r="ID43" s="23">
        <v>38</v>
      </c>
      <c r="IE43" s="113" t="s">
        <v>22</v>
      </c>
    </row>
    <row r="44" spans="1:239" x14ac:dyDescent="0.25">
      <c r="A44" s="8">
        <v>39</v>
      </c>
      <c r="B44" s="8" t="str">
        <f t="shared" si="0"/>
        <v>RINSING STAGES</v>
      </c>
      <c r="C44" s="8"/>
      <c r="D44" s="6" t="str">
        <f t="shared" si="1"/>
        <v>RO_Data[2].ACK_DESC[</v>
      </c>
      <c r="E44" s="23">
        <v>39</v>
      </c>
      <c r="F44" s="113" t="s">
        <v>22</v>
      </c>
      <c r="G44" s="168">
        <v>0</v>
      </c>
      <c r="H44" s="6" t="str">
        <f t="shared" si="2"/>
        <v>RO_Data[2].MIN[</v>
      </c>
      <c r="I44" s="23">
        <v>39</v>
      </c>
      <c r="J44" s="113" t="s">
        <v>22</v>
      </c>
      <c r="K44" s="168">
        <v>1</v>
      </c>
      <c r="L44" s="6" t="str">
        <f t="shared" si="3"/>
        <v>RO_Data[2].SEC[</v>
      </c>
      <c r="M44" s="23">
        <v>39</v>
      </c>
      <c r="N44" s="27" t="s">
        <v>22</v>
      </c>
      <c r="O44" s="165">
        <v>0</v>
      </c>
      <c r="P44" s="6" t="str">
        <f t="shared" si="4"/>
        <v>RO_Data[2].SETPOINT[</v>
      </c>
      <c r="Q44" s="23">
        <v>39</v>
      </c>
      <c r="R44" s="113" t="s">
        <v>22</v>
      </c>
      <c r="S44" s="118" t="str">
        <f t="shared" si="5"/>
        <v>P</v>
      </c>
      <c r="T44" s="16"/>
      <c r="U44" s="16"/>
      <c r="V44" s="16"/>
      <c r="W44" s="16"/>
      <c r="X44" s="16"/>
      <c r="Y44" s="57"/>
      <c r="Z44" s="57"/>
      <c r="AA44" s="57"/>
      <c r="AB44" s="16"/>
      <c r="AC44" s="16"/>
      <c r="AD44" s="16"/>
      <c r="AE44" s="16"/>
      <c r="AF44" s="16"/>
      <c r="AG44" s="16"/>
      <c r="AH44" s="16"/>
      <c r="AI44" s="16"/>
      <c r="AJ44" s="16"/>
      <c r="AK44" s="16"/>
      <c r="AL44" s="16"/>
      <c r="AM44" s="16">
        <v>1</v>
      </c>
      <c r="AN44" s="16"/>
      <c r="AO44" s="16"/>
      <c r="AP44" s="16">
        <v>1</v>
      </c>
      <c r="AQ44" s="16"/>
      <c r="AR44" s="16"/>
      <c r="AS44" s="16"/>
      <c r="AT44" s="16"/>
      <c r="AU44" s="16"/>
      <c r="AV44" s="16"/>
      <c r="AW44" s="16"/>
      <c r="AX44" s="16"/>
      <c r="AY44" s="17"/>
      <c r="AZ44" s="8">
        <f t="array" ref="AZ44">Bin2DecRange($T44:$AY44)</f>
        <v>4608</v>
      </c>
      <c r="BA44" s="6" t="str">
        <f t="shared" si="6"/>
        <v>RO_Data[2].COND1[</v>
      </c>
      <c r="BB44" s="23">
        <v>39</v>
      </c>
      <c r="BC44" s="27" t="s">
        <v>22</v>
      </c>
      <c r="BD44" s="75"/>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27" t="s">
        <v>22</v>
      </c>
      <c r="CN44" s="75"/>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27" t="s">
        <v>22</v>
      </c>
      <c r="DX44" s="75">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3" t="s">
        <v>22</v>
      </c>
      <c r="FH44" s="116"/>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3" t="s">
        <v>22</v>
      </c>
      <c r="GR44" s="116"/>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27" t="s">
        <v>22</v>
      </c>
      <c r="IB44" s="8" t="s">
        <v>226</v>
      </c>
      <c r="IC44" s="6" t="str">
        <f t="shared" si="12"/>
        <v>RO_Data[2].STEP_DESC[</v>
      </c>
      <c r="ID44" s="23">
        <v>39</v>
      </c>
      <c r="IE44" s="113" t="s">
        <v>22</v>
      </c>
    </row>
    <row r="45" spans="1:239" x14ac:dyDescent="0.25">
      <c r="A45" s="8">
        <v>40</v>
      </c>
      <c r="B45" s="8" t="str">
        <f t="shared" si="0"/>
        <v>PAUSE</v>
      </c>
      <c r="C45" s="8"/>
      <c r="D45" s="6" t="str">
        <f t="shared" si="1"/>
        <v>RO_Data[2].ACK_DESC[</v>
      </c>
      <c r="E45" s="23">
        <v>40</v>
      </c>
      <c r="F45" s="113" t="s">
        <v>22</v>
      </c>
      <c r="G45" s="168">
        <v>0</v>
      </c>
      <c r="H45" s="6" t="str">
        <f t="shared" si="2"/>
        <v>RO_Data[2].MIN[</v>
      </c>
      <c r="I45" s="23">
        <v>40</v>
      </c>
      <c r="J45" s="113" t="s">
        <v>22</v>
      </c>
      <c r="K45" s="168">
        <v>10</v>
      </c>
      <c r="L45" s="6" t="str">
        <f t="shared" si="3"/>
        <v>RO_Data[2].SEC[</v>
      </c>
      <c r="M45" s="23">
        <v>40</v>
      </c>
      <c r="N45" s="27" t="s">
        <v>22</v>
      </c>
      <c r="O45" s="165">
        <v>0</v>
      </c>
      <c r="P45" s="6" t="str">
        <f t="shared" si="4"/>
        <v>RO_Data[2].SETPOINT[</v>
      </c>
      <c r="Q45" s="23">
        <v>40</v>
      </c>
      <c r="R45" s="113" t="s">
        <v>22</v>
      </c>
      <c r="S45" s="118" t="str">
        <f t="shared" si="5"/>
        <v>P</v>
      </c>
      <c r="T45" s="16"/>
      <c r="U45" s="16"/>
      <c r="V45" s="16"/>
      <c r="W45" s="16"/>
      <c r="X45" s="16"/>
      <c r="Y45" s="57"/>
      <c r="Z45" s="57"/>
      <c r="AA45" s="57"/>
      <c r="AB45" s="16"/>
      <c r="AC45" s="16"/>
      <c r="AD45" s="16"/>
      <c r="AE45" s="16"/>
      <c r="AF45" s="16"/>
      <c r="AG45" s="16"/>
      <c r="AH45" s="16"/>
      <c r="AI45" s="16"/>
      <c r="AJ45" s="16"/>
      <c r="AK45" s="16"/>
      <c r="AL45" s="16"/>
      <c r="AM45" s="16"/>
      <c r="AN45" s="16"/>
      <c r="AO45" s="16"/>
      <c r="AP45" s="16">
        <v>1</v>
      </c>
      <c r="AQ45" s="16"/>
      <c r="AR45" s="16"/>
      <c r="AS45" s="16"/>
      <c r="AT45" s="16"/>
      <c r="AU45" s="16"/>
      <c r="AV45" s="16"/>
      <c r="AW45" s="16"/>
      <c r="AX45" s="16"/>
      <c r="AY45" s="17"/>
      <c r="AZ45" s="8">
        <f t="array" ref="AZ45">Bin2DecRange($T45:$AY45)</f>
        <v>512</v>
      </c>
      <c r="BA45" s="6" t="str">
        <f t="shared" si="6"/>
        <v>RO_Data[2].COND1[</v>
      </c>
      <c r="BB45" s="23">
        <v>40</v>
      </c>
      <c r="BC45" s="27" t="s">
        <v>22</v>
      </c>
      <c r="BD45" s="75"/>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27" t="s">
        <v>22</v>
      </c>
      <c r="CN45" s="75"/>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27" t="s">
        <v>22</v>
      </c>
      <c r="DX45" s="75">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3" t="s">
        <v>22</v>
      </c>
      <c r="FH45" s="116"/>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3" t="s">
        <v>22</v>
      </c>
      <c r="GR45" s="116"/>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27" t="s">
        <v>22</v>
      </c>
      <c r="IB45" s="8" t="s">
        <v>222</v>
      </c>
      <c r="IC45" s="6" t="str">
        <f t="shared" si="12"/>
        <v>RO_Data[2].STEP_DESC[</v>
      </c>
      <c r="ID45" s="23">
        <v>40</v>
      </c>
      <c r="IE45" s="113" t="s">
        <v>22</v>
      </c>
    </row>
    <row r="46" spans="1:239" x14ac:dyDescent="0.25">
      <c r="A46" s="8">
        <v>41</v>
      </c>
      <c r="B46" s="8" t="str">
        <f t="shared" si="0"/>
        <v>FILLING FEED TANK TO SET POINT LEVEL</v>
      </c>
      <c r="C46" s="8"/>
      <c r="D46" s="6" t="str">
        <f t="shared" si="1"/>
        <v>RO_Data[2].ACK_DESC[</v>
      </c>
      <c r="E46" s="23">
        <v>41</v>
      </c>
      <c r="F46" s="113" t="s">
        <v>22</v>
      </c>
      <c r="G46" s="168">
        <v>0</v>
      </c>
      <c r="H46" s="6" t="str">
        <f t="shared" si="2"/>
        <v>RO_Data[2].MIN[</v>
      </c>
      <c r="I46" s="23">
        <v>41</v>
      </c>
      <c r="J46" s="113" t="s">
        <v>22</v>
      </c>
      <c r="K46" s="168">
        <v>1</v>
      </c>
      <c r="L46" s="6" t="str">
        <f t="shared" si="3"/>
        <v>RO_Data[2].SEC[</v>
      </c>
      <c r="M46" s="23">
        <v>41</v>
      </c>
      <c r="N46" s="27" t="s">
        <v>22</v>
      </c>
      <c r="O46" s="165">
        <v>0</v>
      </c>
      <c r="P46" s="6" t="str">
        <f t="shared" si="4"/>
        <v>RO_Data[2].SETPOINT[</v>
      </c>
      <c r="Q46" s="23">
        <v>41</v>
      </c>
      <c r="R46" s="113" t="s">
        <v>22</v>
      </c>
      <c r="S46" s="118" t="str">
        <f t="shared" si="5"/>
        <v>P</v>
      </c>
      <c r="T46" s="16"/>
      <c r="U46" s="16"/>
      <c r="V46" s="16"/>
      <c r="W46" s="16"/>
      <c r="X46" s="16"/>
      <c r="Y46" s="57"/>
      <c r="Z46" s="57"/>
      <c r="AA46" s="57"/>
      <c r="AB46" s="16"/>
      <c r="AC46" s="16"/>
      <c r="AD46" s="16"/>
      <c r="AE46" s="16"/>
      <c r="AF46" s="16"/>
      <c r="AG46" s="16"/>
      <c r="AH46" s="16"/>
      <c r="AI46" s="16">
        <v>1</v>
      </c>
      <c r="AJ46" s="16"/>
      <c r="AK46" s="16"/>
      <c r="AL46" s="16"/>
      <c r="AM46" s="16"/>
      <c r="AN46" s="16"/>
      <c r="AO46" s="16"/>
      <c r="AP46" s="16">
        <v>1</v>
      </c>
      <c r="AQ46" s="16"/>
      <c r="AR46" s="16"/>
      <c r="AS46" s="16"/>
      <c r="AT46" s="16"/>
      <c r="AU46" s="16"/>
      <c r="AV46" s="16"/>
      <c r="AW46" s="16"/>
      <c r="AX46" s="16"/>
      <c r="AY46" s="17"/>
      <c r="AZ46" s="8">
        <f t="array" ref="AZ46">Bin2DecRange($T46:$AY46)</f>
        <v>66048</v>
      </c>
      <c r="BA46" s="6" t="str">
        <f t="shared" si="6"/>
        <v>RO_Data[2].COND1[</v>
      </c>
      <c r="BB46" s="23">
        <v>41</v>
      </c>
      <c r="BC46" s="27" t="s">
        <v>22</v>
      </c>
      <c r="BD46" s="75"/>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27" t="s">
        <v>22</v>
      </c>
      <c r="CN46" s="75"/>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27" t="s">
        <v>22</v>
      </c>
      <c r="DX46" s="75"/>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3" t="s">
        <v>22</v>
      </c>
      <c r="FH46" s="116"/>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3" t="s">
        <v>22</v>
      </c>
      <c r="GR46" s="116"/>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27" t="s">
        <v>22</v>
      </c>
      <c r="IB46" s="8" t="s">
        <v>224</v>
      </c>
      <c r="IC46" s="6" t="str">
        <f t="shared" si="12"/>
        <v>RO_Data[2].STEP_DESC[</v>
      </c>
      <c r="ID46" s="23">
        <v>41</v>
      </c>
      <c r="IE46" s="113" t="s">
        <v>22</v>
      </c>
    </row>
    <row r="47" spans="1:239" x14ac:dyDescent="0.25">
      <c r="A47" s="8">
        <v>42</v>
      </c>
      <c r="B47" s="8" t="str">
        <f t="shared" si="0"/>
        <v>STARTING PUMPS</v>
      </c>
      <c r="C47" s="8"/>
      <c r="D47" s="6" t="str">
        <f t="shared" si="1"/>
        <v>RO_Data[2].ACK_DESC[</v>
      </c>
      <c r="E47" s="23">
        <v>42</v>
      </c>
      <c r="F47" s="113" t="s">
        <v>22</v>
      </c>
      <c r="G47" s="168">
        <v>0</v>
      </c>
      <c r="H47" s="6" t="str">
        <f t="shared" si="2"/>
        <v>RO_Data[2].MIN[</v>
      </c>
      <c r="I47" s="23">
        <v>42</v>
      </c>
      <c r="J47" s="113" t="s">
        <v>22</v>
      </c>
      <c r="K47" s="168">
        <v>30</v>
      </c>
      <c r="L47" s="6" t="str">
        <f t="shared" si="3"/>
        <v>RO_Data[2].SEC[</v>
      </c>
      <c r="M47" s="23">
        <v>42</v>
      </c>
      <c r="N47" s="27" t="s">
        <v>22</v>
      </c>
      <c r="O47" s="165">
        <v>0</v>
      </c>
      <c r="P47" s="6" t="str">
        <f t="shared" si="4"/>
        <v>RO_Data[2].SETPOINT[</v>
      </c>
      <c r="Q47" s="23">
        <v>42</v>
      </c>
      <c r="R47" s="113" t="s">
        <v>22</v>
      </c>
      <c r="S47" s="118" t="str">
        <f t="shared" si="5"/>
        <v>P</v>
      </c>
      <c r="T47" s="16"/>
      <c r="U47" s="16"/>
      <c r="V47" s="16"/>
      <c r="W47" s="16"/>
      <c r="X47" s="16"/>
      <c r="Y47" s="57"/>
      <c r="Z47" s="57"/>
      <c r="AA47" s="57"/>
      <c r="AB47" s="16"/>
      <c r="AC47" s="16"/>
      <c r="AD47" s="16"/>
      <c r="AE47" s="16"/>
      <c r="AF47" s="16"/>
      <c r="AG47" s="16"/>
      <c r="AH47" s="16"/>
      <c r="AI47" s="16"/>
      <c r="AJ47" s="16"/>
      <c r="AK47" s="16"/>
      <c r="AL47" s="16"/>
      <c r="AM47" s="16"/>
      <c r="AN47" s="16"/>
      <c r="AO47" s="16"/>
      <c r="AP47" s="16">
        <v>1</v>
      </c>
      <c r="AQ47" s="16"/>
      <c r="AR47" s="16"/>
      <c r="AS47" s="16"/>
      <c r="AT47" s="16"/>
      <c r="AU47" s="16"/>
      <c r="AV47" s="16"/>
      <c r="AW47" s="16"/>
      <c r="AX47" s="16"/>
      <c r="AY47" s="17"/>
      <c r="AZ47" s="8">
        <f t="array" ref="AZ47">Bin2DecRange($T47:$AY47)</f>
        <v>512</v>
      </c>
      <c r="BA47" s="6" t="str">
        <f t="shared" si="6"/>
        <v>RO_Data[2].COND1[</v>
      </c>
      <c r="BB47" s="23">
        <v>42</v>
      </c>
      <c r="BC47" s="27" t="s">
        <v>22</v>
      </c>
      <c r="BD47" s="75"/>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27" t="s">
        <v>22</v>
      </c>
      <c r="CN47" s="75"/>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27" t="s">
        <v>22</v>
      </c>
      <c r="DX47" s="75"/>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3" t="s">
        <v>22</v>
      </c>
      <c r="FH47" s="116"/>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3" t="s">
        <v>22</v>
      </c>
      <c r="GR47" s="116"/>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27" t="s">
        <v>22</v>
      </c>
      <c r="IB47" s="8" t="s">
        <v>225</v>
      </c>
      <c r="IC47" s="6" t="str">
        <f t="shared" si="12"/>
        <v>RO_Data[2].STEP_DESC[</v>
      </c>
      <c r="ID47" s="23">
        <v>42</v>
      </c>
      <c r="IE47" s="113" t="s">
        <v>22</v>
      </c>
    </row>
    <row r="48" spans="1:239" x14ac:dyDescent="0.25">
      <c r="A48" s="8">
        <v>43</v>
      </c>
      <c r="B48" s="8" t="str">
        <f t="shared" si="0"/>
        <v>ADDING CHEMICALS</v>
      </c>
      <c r="C48" s="8"/>
      <c r="D48" s="6" t="str">
        <f t="shared" si="1"/>
        <v>RO_Data[2].ACK_DESC[</v>
      </c>
      <c r="E48" s="23">
        <v>43</v>
      </c>
      <c r="F48" s="113" t="s">
        <v>22</v>
      </c>
      <c r="G48" s="168">
        <v>0</v>
      </c>
      <c r="H48" s="6" t="str">
        <f t="shared" si="2"/>
        <v>RO_Data[2].MIN[</v>
      </c>
      <c r="I48" s="23">
        <v>43</v>
      </c>
      <c r="J48" s="113" t="s">
        <v>22</v>
      </c>
      <c r="K48" s="168">
        <v>1</v>
      </c>
      <c r="L48" s="6" t="str">
        <f t="shared" si="3"/>
        <v>RO_Data[2].SEC[</v>
      </c>
      <c r="M48" s="23">
        <v>43</v>
      </c>
      <c r="N48" s="27" t="s">
        <v>22</v>
      </c>
      <c r="O48" s="165">
        <v>0</v>
      </c>
      <c r="P48" s="6" t="str">
        <f t="shared" si="4"/>
        <v>RO_Data[2].SETPOINT[</v>
      </c>
      <c r="Q48" s="23">
        <v>43</v>
      </c>
      <c r="R48" s="113" t="s">
        <v>22</v>
      </c>
      <c r="S48" s="118" t="str">
        <f t="shared" si="5"/>
        <v>P</v>
      </c>
      <c r="T48" s="16"/>
      <c r="U48" s="16"/>
      <c r="V48" s="16"/>
      <c r="W48" s="16"/>
      <c r="X48" s="16"/>
      <c r="Y48" s="57"/>
      <c r="Z48" s="57"/>
      <c r="AA48" s="57"/>
      <c r="AB48" s="16"/>
      <c r="AC48" s="16"/>
      <c r="AD48" s="16"/>
      <c r="AE48" s="16"/>
      <c r="AF48" s="16"/>
      <c r="AG48" s="16"/>
      <c r="AH48" s="16"/>
      <c r="AI48" s="16"/>
      <c r="AJ48" s="16"/>
      <c r="AK48" s="16">
        <v>1</v>
      </c>
      <c r="AL48" s="16"/>
      <c r="AM48" s="16"/>
      <c r="AN48" s="16"/>
      <c r="AO48" s="16"/>
      <c r="AP48" s="16">
        <v>1</v>
      </c>
      <c r="AQ48" s="16"/>
      <c r="AR48" s="16"/>
      <c r="AS48" s="16"/>
      <c r="AT48" s="16"/>
      <c r="AU48" s="16"/>
      <c r="AV48" s="16"/>
      <c r="AW48" s="16"/>
      <c r="AX48" s="16"/>
      <c r="AY48" s="17"/>
      <c r="AZ48" s="8">
        <f t="array" ref="AZ48">Bin2DecRange($T48:$AY48)</f>
        <v>16896</v>
      </c>
      <c r="BA48" s="6" t="str">
        <f t="shared" si="6"/>
        <v>RO_Data[2].COND1[</v>
      </c>
      <c r="BB48" s="23">
        <v>43</v>
      </c>
      <c r="BC48" s="27" t="s">
        <v>22</v>
      </c>
      <c r="BD48" s="75"/>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27" t="s">
        <v>22</v>
      </c>
      <c r="CN48" s="75"/>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27" t="s">
        <v>22</v>
      </c>
      <c r="DX48" s="75"/>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3" t="s">
        <v>22</v>
      </c>
      <c r="FH48" s="116"/>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3" t="s">
        <v>22</v>
      </c>
      <c r="GR48" s="116"/>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c r="HU48" s="16"/>
      <c r="HV48" s="16"/>
      <c r="HW48" s="17"/>
      <c r="HX48" s="8" cm="1">
        <f t="array" ref="HX48">Bin2DecRange($GR48:$HW48)</f>
        <v>134217728</v>
      </c>
      <c r="HY48" s="6" t="str">
        <f t="shared" si="11"/>
        <v>RO_Data[2].ACT6[</v>
      </c>
      <c r="HZ48" s="23">
        <v>43</v>
      </c>
      <c r="IA48" s="27" t="s">
        <v>22</v>
      </c>
      <c r="IB48" s="8" t="s">
        <v>227</v>
      </c>
      <c r="IC48" s="6" t="str">
        <f t="shared" si="12"/>
        <v>RO_Data[2].STEP_DESC[</v>
      </c>
      <c r="ID48" s="23">
        <v>43</v>
      </c>
      <c r="IE48" s="113" t="s">
        <v>22</v>
      </c>
    </row>
    <row r="49" spans="1:239" x14ac:dyDescent="0.25">
      <c r="A49" s="8">
        <v>44</v>
      </c>
      <c r="B49" s="8" t="str">
        <f t="shared" si="0"/>
        <v>HEATING TO TEMPERATURE (WASH 4)</v>
      </c>
      <c r="C49" s="8"/>
      <c r="D49" s="6" t="str">
        <f t="shared" si="1"/>
        <v>RO_Data[2].ACK_DESC[</v>
      </c>
      <c r="E49" s="23">
        <v>44</v>
      </c>
      <c r="F49" s="113" t="s">
        <v>22</v>
      </c>
      <c r="G49" s="168">
        <v>0</v>
      </c>
      <c r="H49" s="6" t="str">
        <f t="shared" si="2"/>
        <v>RO_Data[2].MIN[</v>
      </c>
      <c r="I49" s="23">
        <v>44</v>
      </c>
      <c r="J49" s="113" t="s">
        <v>22</v>
      </c>
      <c r="K49" s="168">
        <v>1</v>
      </c>
      <c r="L49" s="6" t="str">
        <f t="shared" si="3"/>
        <v>RO_Data[2].SEC[</v>
      </c>
      <c r="M49" s="23">
        <v>44</v>
      </c>
      <c r="N49" s="27" t="s">
        <v>22</v>
      </c>
      <c r="O49" s="165">
        <v>0</v>
      </c>
      <c r="P49" s="6" t="str">
        <f t="shared" si="4"/>
        <v>RO_Data[2].SETPOINT[</v>
      </c>
      <c r="Q49" s="23">
        <v>44</v>
      </c>
      <c r="R49" s="113" t="s">
        <v>22</v>
      </c>
      <c r="S49" s="118" t="str">
        <f t="shared" si="5"/>
        <v>P</v>
      </c>
      <c r="T49" s="16"/>
      <c r="U49" s="16"/>
      <c r="V49" s="16"/>
      <c r="W49" s="16"/>
      <c r="X49" s="16"/>
      <c r="Y49" s="57"/>
      <c r="Z49" s="57"/>
      <c r="AA49" s="57"/>
      <c r="AB49" s="16"/>
      <c r="AC49" s="16"/>
      <c r="AD49" s="16"/>
      <c r="AE49" s="16"/>
      <c r="AF49" s="16"/>
      <c r="AG49" s="16"/>
      <c r="AH49" s="16"/>
      <c r="AI49" s="16"/>
      <c r="AJ49" s="16"/>
      <c r="AK49" s="16"/>
      <c r="AL49" s="16"/>
      <c r="AM49" s="16"/>
      <c r="AN49" s="16"/>
      <c r="AO49" s="16">
        <v>1</v>
      </c>
      <c r="AP49" s="16">
        <v>1</v>
      </c>
      <c r="AQ49" s="16"/>
      <c r="AR49" s="16"/>
      <c r="AS49" s="16"/>
      <c r="AT49" s="16"/>
      <c r="AU49" s="16"/>
      <c r="AV49" s="16"/>
      <c r="AW49" s="16"/>
      <c r="AX49" s="16"/>
      <c r="AY49" s="17"/>
      <c r="AZ49" s="8">
        <f t="array" ref="AZ49">Bin2DecRange($T49:$AY49)</f>
        <v>1536</v>
      </c>
      <c r="BA49" s="6" t="str">
        <f t="shared" si="6"/>
        <v>RO_Data[2].COND1[</v>
      </c>
      <c r="BB49" s="23">
        <v>44</v>
      </c>
      <c r="BC49" s="27" t="s">
        <v>22</v>
      </c>
      <c r="BD49" s="75"/>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27" t="s">
        <v>22</v>
      </c>
      <c r="CN49" s="75"/>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27" t="s">
        <v>22</v>
      </c>
      <c r="DX49" s="75"/>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3" t="s">
        <v>22</v>
      </c>
      <c r="FH49" s="116"/>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3" t="s">
        <v>22</v>
      </c>
      <c r="GR49" s="116"/>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27" t="s">
        <v>22</v>
      </c>
      <c r="IB49" s="8" t="s">
        <v>236</v>
      </c>
      <c r="IC49" s="6" t="str">
        <f t="shared" si="12"/>
        <v>RO_Data[2].STEP_DESC[</v>
      </c>
      <c r="ID49" s="23">
        <v>44</v>
      </c>
      <c r="IE49" s="113" t="s">
        <v>22</v>
      </c>
    </row>
    <row r="50" spans="1:239" x14ac:dyDescent="0.25">
      <c r="A50" s="8">
        <v>45</v>
      </c>
      <c r="B50" s="8" t="str">
        <f t="shared" si="0"/>
        <v>CHECK PH - HOLD FOR ACKNOWLEDGE</v>
      </c>
      <c r="C50" s="8"/>
      <c r="D50" s="6" t="str">
        <f t="shared" si="1"/>
        <v>RO_Data[2].ACK_DESC[</v>
      </c>
      <c r="E50" s="23">
        <v>45</v>
      </c>
      <c r="F50" s="113" t="s">
        <v>22</v>
      </c>
      <c r="G50" s="168">
        <v>0</v>
      </c>
      <c r="H50" s="6" t="str">
        <f t="shared" si="2"/>
        <v>RO_Data[2].MIN[</v>
      </c>
      <c r="I50" s="23">
        <v>45</v>
      </c>
      <c r="J50" s="113" t="s">
        <v>22</v>
      </c>
      <c r="K50" s="168">
        <v>0</v>
      </c>
      <c r="L50" s="6" t="str">
        <f t="shared" si="3"/>
        <v>RO_Data[2].SEC[</v>
      </c>
      <c r="M50" s="23">
        <v>45</v>
      </c>
      <c r="N50" s="27" t="s">
        <v>22</v>
      </c>
      <c r="O50" s="165">
        <v>0</v>
      </c>
      <c r="P50" s="6" t="str">
        <f t="shared" si="4"/>
        <v>RO_Data[2].SETPOINT[</v>
      </c>
      <c r="Q50" s="23">
        <v>45</v>
      </c>
      <c r="R50" s="113" t="s">
        <v>22</v>
      </c>
      <c r="S50" s="118" t="str">
        <f t="shared" si="5"/>
        <v/>
      </c>
      <c r="T50" s="16"/>
      <c r="U50" s="16"/>
      <c r="V50" s="16"/>
      <c r="W50" s="16"/>
      <c r="X50" s="16"/>
      <c r="Y50" s="57"/>
      <c r="Z50" s="57"/>
      <c r="AA50" s="57"/>
      <c r="AB50" s="16"/>
      <c r="AC50" s="16"/>
      <c r="AD50" s="16"/>
      <c r="AE50" s="16"/>
      <c r="AF50" s="16"/>
      <c r="AG50" s="16"/>
      <c r="AH50" s="16"/>
      <c r="AI50" s="16"/>
      <c r="AJ50" s="16"/>
      <c r="AK50" s="16"/>
      <c r="AL50" s="16"/>
      <c r="AM50" s="16"/>
      <c r="AN50" s="16"/>
      <c r="AO50" s="16"/>
      <c r="AP50" s="16"/>
      <c r="AQ50" s="16"/>
      <c r="AR50" s="16"/>
      <c r="AS50" s="16"/>
      <c r="AT50" s="16"/>
      <c r="AU50" s="16"/>
      <c r="AV50" s="16">
        <v>1</v>
      </c>
      <c r="AW50" s="16"/>
      <c r="AX50" s="16"/>
      <c r="AY50" s="17"/>
      <c r="AZ50" s="8">
        <f t="array" ref="AZ50">Bin2DecRange($T50:$AY50)</f>
        <v>8</v>
      </c>
      <c r="BA50" s="6" t="str">
        <f t="shared" si="6"/>
        <v>RO_Data[2].COND1[</v>
      </c>
      <c r="BB50" s="23">
        <v>45</v>
      </c>
      <c r="BC50" s="27" t="s">
        <v>22</v>
      </c>
      <c r="BD50" s="75"/>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27" t="s">
        <v>22</v>
      </c>
      <c r="CN50" s="75"/>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27" t="s">
        <v>22</v>
      </c>
      <c r="DX50" s="75"/>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3" t="s">
        <v>22</v>
      </c>
      <c r="FH50" s="116"/>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3" t="s">
        <v>22</v>
      </c>
      <c r="GR50" s="116"/>
      <c r="GS50" s="16"/>
      <c r="GT50" s="16"/>
      <c r="GU50" s="16"/>
      <c r="GV50" s="16"/>
      <c r="GW50" s="16"/>
      <c r="GX50" s="16"/>
      <c r="GY50" s="16"/>
      <c r="GZ50" s="16"/>
      <c r="HA50" s="16"/>
      <c r="HB50" s="16"/>
      <c r="HC50" s="16"/>
      <c r="HD50" s="16"/>
      <c r="HE50" s="16"/>
      <c r="HF50" s="16"/>
      <c r="HG50" s="16"/>
      <c r="HH50" s="16"/>
      <c r="HI50" s="16"/>
      <c r="HJ50" s="16"/>
      <c r="HK50" s="16"/>
      <c r="HL50" s="16"/>
      <c r="HM50" s="16"/>
      <c r="HN50" s="16"/>
      <c r="HO50" s="16"/>
      <c r="HP50" s="16"/>
      <c r="HQ50" s="16"/>
      <c r="HR50" s="16"/>
      <c r="HS50" s="16"/>
      <c r="HT50" s="16"/>
      <c r="HU50" s="16"/>
      <c r="HV50" s="16"/>
      <c r="HW50" s="17"/>
      <c r="HX50" s="8" cm="1">
        <f t="array" ref="HX50">Bin2DecRange($GR50:$HW50)</f>
        <v>0</v>
      </c>
      <c r="HY50" s="6" t="str">
        <f t="shared" si="11"/>
        <v>RO_Data[2].ACT6[</v>
      </c>
      <c r="HZ50" s="23">
        <v>45</v>
      </c>
      <c r="IA50" s="27" t="s">
        <v>22</v>
      </c>
      <c r="IB50" s="62" t="s">
        <v>355</v>
      </c>
      <c r="IC50" s="6" t="str">
        <f t="shared" si="12"/>
        <v>RO_Data[2].STEP_DESC[</v>
      </c>
      <c r="ID50" s="23">
        <v>45</v>
      </c>
      <c r="IE50" s="113" t="s">
        <v>22</v>
      </c>
    </row>
    <row r="51" spans="1:239" x14ac:dyDescent="0.25">
      <c r="A51" s="8">
        <v>46</v>
      </c>
      <c r="B51" s="8" t="str">
        <f t="shared" si="0"/>
        <v>WASH 4</v>
      </c>
      <c r="C51" s="8"/>
      <c r="D51" s="6" t="str">
        <f t="shared" si="1"/>
        <v>RO_Data[2].ACK_DESC[</v>
      </c>
      <c r="E51" s="23">
        <v>46</v>
      </c>
      <c r="F51" s="113" t="s">
        <v>22</v>
      </c>
      <c r="G51" s="168">
        <v>0</v>
      </c>
      <c r="H51" s="6" t="str">
        <f t="shared" si="2"/>
        <v>RO_Data[2].MIN[</v>
      </c>
      <c r="I51" s="23">
        <v>46</v>
      </c>
      <c r="J51" s="113" t="s">
        <v>22</v>
      </c>
      <c r="K51" s="168">
        <v>1</v>
      </c>
      <c r="L51" s="6" t="str">
        <f t="shared" si="3"/>
        <v>RO_Data[2].SEC[</v>
      </c>
      <c r="M51" s="23">
        <v>46</v>
      </c>
      <c r="N51" s="27" t="s">
        <v>22</v>
      </c>
      <c r="O51" s="165">
        <v>0</v>
      </c>
      <c r="P51" s="6" t="str">
        <f t="shared" si="4"/>
        <v>RO_Data[2].SETPOINT[</v>
      </c>
      <c r="Q51" s="23">
        <v>46</v>
      </c>
      <c r="R51" s="113" t="s">
        <v>22</v>
      </c>
      <c r="S51" s="118" t="str">
        <f t="shared" si="5"/>
        <v>P</v>
      </c>
      <c r="T51" s="16"/>
      <c r="U51" s="16"/>
      <c r="V51" s="16"/>
      <c r="W51" s="16"/>
      <c r="X51" s="16"/>
      <c r="Y51" s="57"/>
      <c r="Z51" s="57"/>
      <c r="AA51" s="57"/>
      <c r="AB51" s="16"/>
      <c r="AC51" s="16"/>
      <c r="AD51" s="16"/>
      <c r="AE51" s="16"/>
      <c r="AF51" s="16"/>
      <c r="AG51" s="16"/>
      <c r="AH51" s="16"/>
      <c r="AI51" s="16"/>
      <c r="AJ51" s="16"/>
      <c r="AK51" s="16"/>
      <c r="AL51" s="16"/>
      <c r="AM51" s="16"/>
      <c r="AN51" s="16"/>
      <c r="AO51" s="16"/>
      <c r="AP51" s="16">
        <v>1</v>
      </c>
      <c r="AQ51" s="16"/>
      <c r="AR51" s="16"/>
      <c r="AS51" s="16"/>
      <c r="AT51" s="16"/>
      <c r="AU51" s="16"/>
      <c r="AV51" s="16"/>
      <c r="AW51" s="16"/>
      <c r="AX51" s="16"/>
      <c r="AY51" s="17"/>
      <c r="AZ51" s="8">
        <f t="array" ref="AZ51">Bin2DecRange($T51:$AY51)</f>
        <v>512</v>
      </c>
      <c r="BA51" s="6" t="str">
        <f t="shared" si="6"/>
        <v>RO_Data[2].COND1[</v>
      </c>
      <c r="BB51" s="23">
        <v>46</v>
      </c>
      <c r="BC51" s="27" t="s">
        <v>22</v>
      </c>
      <c r="BD51" s="75"/>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27" t="s">
        <v>22</v>
      </c>
      <c r="CN51" s="75"/>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27" t="s">
        <v>22</v>
      </c>
      <c r="DX51" s="75"/>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3" t="s">
        <v>22</v>
      </c>
      <c r="FH51" s="116"/>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3" t="s">
        <v>22</v>
      </c>
      <c r="GR51" s="116"/>
      <c r="GS51" s="16"/>
      <c r="GT51" s="16"/>
      <c r="GU51" s="16"/>
      <c r="GV51" s="16"/>
      <c r="GW51" s="16"/>
      <c r="GX51" s="16"/>
      <c r="GY51" s="16"/>
      <c r="GZ51" s="16"/>
      <c r="HA51" s="16"/>
      <c r="HB51" s="16"/>
      <c r="HC51" s="16"/>
      <c r="HD51" s="16"/>
      <c r="HE51" s="16"/>
      <c r="HF51" s="16"/>
      <c r="HG51" s="16"/>
      <c r="HH51" s="16"/>
      <c r="HI51" s="16"/>
      <c r="HJ51" s="16"/>
      <c r="HK51" s="16"/>
      <c r="HL51" s="16"/>
      <c r="HM51" s="16"/>
      <c r="HN51" s="16"/>
      <c r="HO51" s="16"/>
      <c r="HP51" s="16"/>
      <c r="HQ51" s="16"/>
      <c r="HR51" s="16"/>
      <c r="HS51" s="16"/>
      <c r="HT51" s="16"/>
      <c r="HU51" s="16"/>
      <c r="HV51" s="16"/>
      <c r="HW51" s="17"/>
      <c r="HX51" s="8" cm="1">
        <f t="array" ref="HX51">Bin2DecRange($GR51:$HW51)</f>
        <v>0</v>
      </c>
      <c r="HY51" s="6" t="str">
        <f t="shared" si="11"/>
        <v>RO_Data[2].ACT6[</v>
      </c>
      <c r="HZ51" s="23">
        <v>46</v>
      </c>
      <c r="IA51" s="27" t="s">
        <v>22</v>
      </c>
      <c r="IB51" s="8" t="s">
        <v>237</v>
      </c>
      <c r="IC51" s="6" t="str">
        <f t="shared" si="12"/>
        <v>RO_Data[2].STEP_DESC[</v>
      </c>
      <c r="ID51" s="23">
        <v>46</v>
      </c>
      <c r="IE51" s="113" t="s">
        <v>22</v>
      </c>
    </row>
    <row r="52" spans="1:239" x14ac:dyDescent="0.25">
      <c r="A52" s="8">
        <v>47</v>
      </c>
      <c r="B52" s="8" t="str">
        <f t="shared" si="0"/>
        <v>PUMPING DOWN FEED TANK</v>
      </c>
      <c r="C52" s="8"/>
      <c r="D52" s="6" t="str">
        <f t="shared" si="1"/>
        <v>RO_Data[2].ACK_DESC[</v>
      </c>
      <c r="E52" s="23">
        <v>47</v>
      </c>
      <c r="F52" s="113" t="s">
        <v>22</v>
      </c>
      <c r="G52" s="168">
        <v>0</v>
      </c>
      <c r="H52" s="6" t="str">
        <f t="shared" si="2"/>
        <v>RO_Data[2].MIN[</v>
      </c>
      <c r="I52" s="23">
        <v>47</v>
      </c>
      <c r="J52" s="113" t="s">
        <v>22</v>
      </c>
      <c r="K52" s="168">
        <v>1</v>
      </c>
      <c r="L52" s="6" t="str">
        <f t="shared" si="3"/>
        <v>RO_Data[2].SEC[</v>
      </c>
      <c r="M52" s="23">
        <v>47</v>
      </c>
      <c r="N52" s="27" t="s">
        <v>22</v>
      </c>
      <c r="O52" s="165">
        <v>0</v>
      </c>
      <c r="P52" s="6" t="str">
        <f t="shared" si="4"/>
        <v>RO_Data[2].SETPOINT[</v>
      </c>
      <c r="Q52" s="23">
        <v>47</v>
      </c>
      <c r="R52" s="113" t="s">
        <v>22</v>
      </c>
      <c r="S52" s="118" t="str">
        <f t="shared" si="5"/>
        <v>P</v>
      </c>
      <c r="T52" s="16"/>
      <c r="U52" s="16"/>
      <c r="V52" s="16"/>
      <c r="W52" s="16"/>
      <c r="X52" s="16"/>
      <c r="Y52" s="57"/>
      <c r="Z52" s="57"/>
      <c r="AA52" s="57"/>
      <c r="AB52" s="16"/>
      <c r="AC52" s="16"/>
      <c r="AD52" s="16"/>
      <c r="AE52" s="16"/>
      <c r="AF52" s="16">
        <v>1</v>
      </c>
      <c r="AG52" s="16"/>
      <c r="AH52" s="16"/>
      <c r="AI52" s="16"/>
      <c r="AJ52" s="16"/>
      <c r="AK52" s="16"/>
      <c r="AL52" s="16"/>
      <c r="AM52" s="16"/>
      <c r="AN52" s="16"/>
      <c r="AO52" s="16"/>
      <c r="AP52" s="16">
        <v>1</v>
      </c>
      <c r="AQ52" s="16"/>
      <c r="AR52" s="16"/>
      <c r="AS52" s="16"/>
      <c r="AT52" s="16"/>
      <c r="AU52" s="16"/>
      <c r="AV52" s="16"/>
      <c r="AW52" s="16"/>
      <c r="AX52" s="16"/>
      <c r="AY52" s="17"/>
      <c r="AZ52" s="8">
        <f t="array" ref="AZ52">Bin2DecRange($T52:$AY52)</f>
        <v>524800</v>
      </c>
      <c r="BA52" s="6" t="str">
        <f t="shared" si="6"/>
        <v>RO_Data[2].COND1[</v>
      </c>
      <c r="BB52" s="23">
        <v>47</v>
      </c>
      <c r="BC52" s="27" t="s">
        <v>22</v>
      </c>
      <c r="BD52" s="75"/>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27" t="s">
        <v>22</v>
      </c>
      <c r="CN52" s="75"/>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27" t="s">
        <v>22</v>
      </c>
      <c r="DX52" s="75">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3" t="s">
        <v>22</v>
      </c>
      <c r="FH52" s="116"/>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3" t="s">
        <v>22</v>
      </c>
      <c r="GR52" s="116"/>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27" t="s">
        <v>22</v>
      </c>
      <c r="IB52" s="8" t="s">
        <v>230</v>
      </c>
      <c r="IC52" s="6" t="str">
        <f t="shared" si="12"/>
        <v>RO_Data[2].STEP_DESC[</v>
      </c>
      <c r="ID52" s="23">
        <v>47</v>
      </c>
      <c r="IE52" s="113" t="s">
        <v>22</v>
      </c>
    </row>
    <row r="53" spans="1:239" x14ac:dyDescent="0.25">
      <c r="A53" s="8">
        <v>48</v>
      </c>
      <c r="B53" s="8" t="str">
        <f t="shared" si="0"/>
        <v>DRAINING FEED TANK</v>
      </c>
      <c r="C53" s="8"/>
      <c r="D53" s="6" t="str">
        <f t="shared" si="1"/>
        <v>RO_Data[2].ACK_DESC[</v>
      </c>
      <c r="E53" s="23">
        <v>48</v>
      </c>
      <c r="F53" s="113" t="s">
        <v>22</v>
      </c>
      <c r="G53" s="168">
        <v>0</v>
      </c>
      <c r="H53" s="6" t="str">
        <f t="shared" si="2"/>
        <v>RO_Data[2].MIN[</v>
      </c>
      <c r="I53" s="23">
        <v>48</v>
      </c>
      <c r="J53" s="113" t="s">
        <v>22</v>
      </c>
      <c r="K53" s="168">
        <v>1</v>
      </c>
      <c r="L53" s="6" t="str">
        <f t="shared" si="3"/>
        <v>RO_Data[2].SEC[</v>
      </c>
      <c r="M53" s="23">
        <v>48</v>
      </c>
      <c r="N53" s="27" t="s">
        <v>22</v>
      </c>
      <c r="O53" s="165">
        <v>0</v>
      </c>
      <c r="P53" s="6" t="str">
        <f t="shared" si="4"/>
        <v>RO_Data[2].SETPOINT[</v>
      </c>
      <c r="Q53" s="23">
        <v>48</v>
      </c>
      <c r="R53" s="113" t="s">
        <v>22</v>
      </c>
      <c r="S53" s="118" t="str">
        <f t="shared" si="5"/>
        <v>P</v>
      </c>
      <c r="T53" s="16"/>
      <c r="U53" s="16"/>
      <c r="V53" s="16"/>
      <c r="W53" s="16"/>
      <c r="X53" s="16"/>
      <c r="Y53" s="57"/>
      <c r="Z53" s="57"/>
      <c r="AA53" s="57"/>
      <c r="AB53" s="16"/>
      <c r="AC53" s="16"/>
      <c r="AD53" s="16"/>
      <c r="AE53" s="16"/>
      <c r="AF53" s="16"/>
      <c r="AG53" s="16"/>
      <c r="AH53" s="16"/>
      <c r="AI53" s="16"/>
      <c r="AJ53" s="16"/>
      <c r="AK53" s="16"/>
      <c r="AL53" s="16"/>
      <c r="AM53" s="16"/>
      <c r="AN53" s="16"/>
      <c r="AO53" s="16"/>
      <c r="AP53" s="16">
        <v>1</v>
      </c>
      <c r="AQ53" s="16"/>
      <c r="AR53" s="16"/>
      <c r="AS53" s="16"/>
      <c r="AT53" s="16"/>
      <c r="AU53" s="16"/>
      <c r="AV53" s="16"/>
      <c r="AW53" s="16"/>
      <c r="AX53" s="16"/>
      <c r="AY53" s="17"/>
      <c r="AZ53" s="8">
        <f t="array" ref="AZ53">Bin2DecRange($T53:$AY53)</f>
        <v>512</v>
      </c>
      <c r="BA53" s="6" t="str">
        <f t="shared" si="6"/>
        <v>RO_Data[2].COND1[</v>
      </c>
      <c r="BB53" s="23">
        <v>48</v>
      </c>
      <c r="BC53" s="27" t="s">
        <v>22</v>
      </c>
      <c r="BD53" s="75"/>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27" t="s">
        <v>22</v>
      </c>
      <c r="CN53" s="75"/>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27" t="s">
        <v>22</v>
      </c>
      <c r="DX53" s="75">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3" t="s">
        <v>22</v>
      </c>
      <c r="FH53" s="116"/>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3" t="s">
        <v>22</v>
      </c>
      <c r="GR53" s="116"/>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27" t="s">
        <v>22</v>
      </c>
      <c r="IB53" s="8" t="s">
        <v>231</v>
      </c>
      <c r="IC53" s="6" t="str">
        <f t="shared" si="12"/>
        <v>RO_Data[2].STEP_DESC[</v>
      </c>
      <c r="ID53" s="23">
        <v>48</v>
      </c>
      <c r="IE53" s="113" t="s">
        <v>22</v>
      </c>
    </row>
    <row r="54" spans="1:239" x14ac:dyDescent="0.25">
      <c r="A54" s="8">
        <v>49</v>
      </c>
      <c r="B54" s="8" t="str">
        <f t="shared" si="0"/>
        <v>FILLING FEED TANK TO SET POINT LEVEL</v>
      </c>
      <c r="C54" s="8"/>
      <c r="D54" s="6" t="str">
        <f t="shared" si="1"/>
        <v>RO_Data[2].ACK_DESC[</v>
      </c>
      <c r="E54" s="23">
        <v>49</v>
      </c>
      <c r="F54" s="113" t="s">
        <v>22</v>
      </c>
      <c r="G54" s="168">
        <v>0</v>
      </c>
      <c r="H54" s="6" t="str">
        <f t="shared" si="2"/>
        <v>RO_Data[2].MIN[</v>
      </c>
      <c r="I54" s="23">
        <v>49</v>
      </c>
      <c r="J54" s="113" t="s">
        <v>22</v>
      </c>
      <c r="K54" s="168">
        <v>1</v>
      </c>
      <c r="L54" s="6" t="str">
        <f t="shared" si="3"/>
        <v>RO_Data[2].SEC[</v>
      </c>
      <c r="M54" s="23">
        <v>49</v>
      </c>
      <c r="N54" s="27" t="s">
        <v>22</v>
      </c>
      <c r="O54" s="165">
        <v>0</v>
      </c>
      <c r="P54" s="6" t="str">
        <f t="shared" si="4"/>
        <v>RO_Data[2].SETPOINT[</v>
      </c>
      <c r="Q54" s="23">
        <v>49</v>
      </c>
      <c r="R54" s="113" t="s">
        <v>22</v>
      </c>
      <c r="S54" s="118" t="str">
        <f t="shared" si="5"/>
        <v>P</v>
      </c>
      <c r="T54" s="16"/>
      <c r="U54" s="16"/>
      <c r="V54" s="16"/>
      <c r="W54" s="16">
        <v>1</v>
      </c>
      <c r="X54" s="16"/>
      <c r="Y54" s="57"/>
      <c r="Z54" s="57"/>
      <c r="AA54" s="57"/>
      <c r="AB54" s="16"/>
      <c r="AC54" s="16"/>
      <c r="AD54" s="16"/>
      <c r="AE54" s="16"/>
      <c r="AF54" s="16"/>
      <c r="AG54" s="16"/>
      <c r="AH54" s="16"/>
      <c r="AI54" s="16">
        <v>1</v>
      </c>
      <c r="AJ54" s="16"/>
      <c r="AK54" s="16"/>
      <c r="AL54" s="16"/>
      <c r="AM54" s="16"/>
      <c r="AN54" s="16"/>
      <c r="AO54" s="16"/>
      <c r="AP54" s="16">
        <v>1</v>
      </c>
      <c r="AQ54" s="16"/>
      <c r="AR54" s="16"/>
      <c r="AS54" s="16"/>
      <c r="AT54" s="16"/>
      <c r="AU54" s="16"/>
      <c r="AV54" s="16"/>
      <c r="AW54" s="16"/>
      <c r="AX54" s="16"/>
      <c r="AY54" s="17"/>
      <c r="AZ54" s="8">
        <f t="array" ref="AZ54">Bin2DecRange($T54:$AY54)</f>
        <v>268501504</v>
      </c>
      <c r="BA54" s="6" t="str">
        <f t="shared" si="6"/>
        <v>RO_Data[2].COND1[</v>
      </c>
      <c r="BB54" s="23">
        <v>49</v>
      </c>
      <c r="BC54" s="27" t="s">
        <v>22</v>
      </c>
      <c r="BD54" s="75"/>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27" t="s">
        <v>22</v>
      </c>
      <c r="CN54" s="75"/>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27" t="s">
        <v>22</v>
      </c>
      <c r="DX54" s="75">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3" t="s">
        <v>22</v>
      </c>
      <c r="FH54" s="116"/>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3" t="s">
        <v>22</v>
      </c>
      <c r="GR54" s="116"/>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27" t="s">
        <v>22</v>
      </c>
      <c r="IB54" s="8" t="s">
        <v>224</v>
      </c>
      <c r="IC54" s="6" t="str">
        <f t="shared" si="12"/>
        <v>RO_Data[2].STEP_DESC[</v>
      </c>
      <c r="ID54" s="23">
        <v>49</v>
      </c>
      <c r="IE54" s="113" t="s">
        <v>22</v>
      </c>
    </row>
    <row r="55" spans="1:239" x14ac:dyDescent="0.25">
      <c r="A55" s="8">
        <v>50</v>
      </c>
      <c r="B55" s="8" t="str">
        <f t="shared" si="0"/>
        <v>STARTING PUMPS</v>
      </c>
      <c r="C55" s="8"/>
      <c r="D55" s="6" t="str">
        <f t="shared" si="1"/>
        <v>RO_Data[2].ACK_DESC[</v>
      </c>
      <c r="E55" s="23">
        <v>50</v>
      </c>
      <c r="F55" s="113" t="s">
        <v>22</v>
      </c>
      <c r="G55" s="168">
        <v>0</v>
      </c>
      <c r="H55" s="6" t="str">
        <f t="shared" si="2"/>
        <v>RO_Data[2].MIN[</v>
      </c>
      <c r="I55" s="23">
        <v>50</v>
      </c>
      <c r="J55" s="113" t="s">
        <v>22</v>
      </c>
      <c r="K55" s="168">
        <v>30</v>
      </c>
      <c r="L55" s="6" t="str">
        <f t="shared" si="3"/>
        <v>RO_Data[2].SEC[</v>
      </c>
      <c r="M55" s="23">
        <v>50</v>
      </c>
      <c r="N55" s="27" t="s">
        <v>22</v>
      </c>
      <c r="O55" s="165">
        <v>0</v>
      </c>
      <c r="P55" s="6" t="str">
        <f t="shared" si="4"/>
        <v>RO_Data[2].SETPOINT[</v>
      </c>
      <c r="Q55" s="23">
        <v>50</v>
      </c>
      <c r="R55" s="113" t="s">
        <v>22</v>
      </c>
      <c r="S55" s="118" t="str">
        <f t="shared" si="5"/>
        <v>P</v>
      </c>
      <c r="T55" s="16"/>
      <c r="U55" s="16"/>
      <c r="V55" s="16"/>
      <c r="W55" s="16"/>
      <c r="X55" s="16"/>
      <c r="Y55" s="57"/>
      <c r="Z55" s="57"/>
      <c r="AA55" s="57"/>
      <c r="AB55" s="16"/>
      <c r="AC55" s="16"/>
      <c r="AD55" s="16"/>
      <c r="AE55" s="16"/>
      <c r="AF55" s="16"/>
      <c r="AG55" s="16"/>
      <c r="AH55" s="16"/>
      <c r="AI55" s="16"/>
      <c r="AJ55" s="16"/>
      <c r="AK55" s="16"/>
      <c r="AL55" s="16"/>
      <c r="AM55" s="16"/>
      <c r="AN55" s="16"/>
      <c r="AO55" s="16"/>
      <c r="AP55" s="16">
        <v>1</v>
      </c>
      <c r="AQ55" s="16"/>
      <c r="AR55" s="16"/>
      <c r="AS55" s="16"/>
      <c r="AT55" s="16"/>
      <c r="AU55" s="16"/>
      <c r="AV55" s="16"/>
      <c r="AW55" s="16"/>
      <c r="AX55" s="16"/>
      <c r="AY55" s="17"/>
      <c r="AZ55" s="8">
        <f t="array" ref="AZ55">Bin2DecRange($T55:$AY55)</f>
        <v>512</v>
      </c>
      <c r="BA55" s="6" t="str">
        <f t="shared" si="6"/>
        <v>RO_Data[2].COND1[</v>
      </c>
      <c r="BB55" s="23">
        <v>50</v>
      </c>
      <c r="BC55" s="27" t="s">
        <v>22</v>
      </c>
      <c r="BD55" s="75"/>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27" t="s">
        <v>22</v>
      </c>
      <c r="CN55" s="75"/>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27" t="s">
        <v>22</v>
      </c>
      <c r="DX55" s="75">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3" t="s">
        <v>22</v>
      </c>
      <c r="FH55" s="116"/>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3" t="s">
        <v>22</v>
      </c>
      <c r="GR55" s="116"/>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27" t="s">
        <v>22</v>
      </c>
      <c r="IB55" s="8" t="s">
        <v>225</v>
      </c>
      <c r="IC55" s="6" t="str">
        <f t="shared" si="12"/>
        <v>RO_Data[2].STEP_DESC[</v>
      </c>
      <c r="ID55" s="23">
        <v>50</v>
      </c>
      <c r="IE55" s="113" t="s">
        <v>22</v>
      </c>
    </row>
    <row r="56" spans="1:239" x14ac:dyDescent="0.25">
      <c r="A56" s="8">
        <v>51</v>
      </c>
      <c r="B56" s="8" t="str">
        <f t="shared" si="0"/>
        <v>RINSING STAGES</v>
      </c>
      <c r="C56" s="8"/>
      <c r="D56" s="6" t="str">
        <f t="shared" si="1"/>
        <v>RO_Data[2].ACK_DESC[</v>
      </c>
      <c r="E56" s="23">
        <v>51</v>
      </c>
      <c r="F56" s="113" t="s">
        <v>22</v>
      </c>
      <c r="G56" s="168">
        <v>0</v>
      </c>
      <c r="H56" s="6" t="str">
        <f t="shared" si="2"/>
        <v>RO_Data[2].MIN[</v>
      </c>
      <c r="I56" s="23">
        <v>51</v>
      </c>
      <c r="J56" s="113" t="s">
        <v>22</v>
      </c>
      <c r="K56" s="168">
        <v>1</v>
      </c>
      <c r="L56" s="6" t="str">
        <f t="shared" si="3"/>
        <v>RO_Data[2].SEC[</v>
      </c>
      <c r="M56" s="23">
        <v>51</v>
      </c>
      <c r="N56" s="27" t="s">
        <v>22</v>
      </c>
      <c r="O56" s="165">
        <v>0</v>
      </c>
      <c r="P56" s="6" t="str">
        <f t="shared" si="4"/>
        <v>RO_Data[2].SETPOINT[</v>
      </c>
      <c r="Q56" s="23">
        <v>51</v>
      </c>
      <c r="R56" s="113" t="s">
        <v>22</v>
      </c>
      <c r="S56" s="118" t="str">
        <f t="shared" si="5"/>
        <v>P</v>
      </c>
      <c r="T56" s="16"/>
      <c r="U56" s="16"/>
      <c r="V56" s="16"/>
      <c r="W56" s="16">
        <v>1</v>
      </c>
      <c r="X56" s="16"/>
      <c r="Y56" s="57"/>
      <c r="Z56" s="57"/>
      <c r="AA56" s="57"/>
      <c r="AB56" s="16"/>
      <c r="AC56" s="16"/>
      <c r="AD56" s="16"/>
      <c r="AE56" s="16"/>
      <c r="AF56" s="16"/>
      <c r="AG56" s="16"/>
      <c r="AH56" s="16"/>
      <c r="AI56" s="16"/>
      <c r="AJ56" s="16"/>
      <c r="AK56" s="16"/>
      <c r="AL56" s="16"/>
      <c r="AM56" s="16">
        <v>1</v>
      </c>
      <c r="AN56" s="16"/>
      <c r="AO56" s="16"/>
      <c r="AP56" s="16">
        <v>1</v>
      </c>
      <c r="AQ56" s="16"/>
      <c r="AR56" s="16"/>
      <c r="AS56" s="16"/>
      <c r="AT56" s="16"/>
      <c r="AU56" s="16"/>
      <c r="AV56" s="16"/>
      <c r="AW56" s="16"/>
      <c r="AX56" s="16"/>
      <c r="AY56" s="17"/>
      <c r="AZ56" s="8">
        <f t="array" ref="AZ56">Bin2DecRange($T56:$AY56)</f>
        <v>268440064</v>
      </c>
      <c r="BA56" s="6" t="str">
        <f t="shared" si="6"/>
        <v>RO_Data[2].COND1[</v>
      </c>
      <c r="BB56" s="23">
        <v>51</v>
      </c>
      <c r="BC56" s="27" t="s">
        <v>22</v>
      </c>
      <c r="BD56" s="75"/>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27" t="s">
        <v>22</v>
      </c>
      <c r="CN56" s="75"/>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27" t="s">
        <v>22</v>
      </c>
      <c r="DX56" s="75">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3" t="s">
        <v>22</v>
      </c>
      <c r="FH56" s="116"/>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3" t="s">
        <v>22</v>
      </c>
      <c r="GR56" s="116"/>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27" t="s">
        <v>22</v>
      </c>
      <c r="IB56" s="8" t="s">
        <v>226</v>
      </c>
      <c r="IC56" s="6" t="str">
        <f t="shared" si="12"/>
        <v>RO_Data[2].STEP_DESC[</v>
      </c>
      <c r="ID56" s="23">
        <v>51</v>
      </c>
      <c r="IE56" s="113" t="s">
        <v>22</v>
      </c>
    </row>
    <row r="57" spans="1:239" x14ac:dyDescent="0.25">
      <c r="A57" s="8">
        <v>52</v>
      </c>
      <c r="B57" s="8" t="str">
        <f t="shared" si="0"/>
        <v>PAUSE</v>
      </c>
      <c r="C57" s="8"/>
      <c r="D57" s="6" t="str">
        <f t="shared" si="1"/>
        <v>RO_Data[2].ACK_DESC[</v>
      </c>
      <c r="E57" s="23">
        <v>52</v>
      </c>
      <c r="F57" s="113" t="s">
        <v>22</v>
      </c>
      <c r="G57" s="168">
        <v>0</v>
      </c>
      <c r="H57" s="6" t="str">
        <f t="shared" si="2"/>
        <v>RO_Data[2].MIN[</v>
      </c>
      <c r="I57" s="23">
        <v>52</v>
      </c>
      <c r="J57" s="113" t="s">
        <v>22</v>
      </c>
      <c r="K57" s="168">
        <v>10</v>
      </c>
      <c r="L57" s="6" t="str">
        <f t="shared" si="3"/>
        <v>RO_Data[2].SEC[</v>
      </c>
      <c r="M57" s="23">
        <v>52</v>
      </c>
      <c r="N57" s="27" t="s">
        <v>22</v>
      </c>
      <c r="O57" s="165">
        <v>0</v>
      </c>
      <c r="P57" s="6" t="str">
        <f t="shared" si="4"/>
        <v>RO_Data[2].SETPOINT[</v>
      </c>
      <c r="Q57" s="23">
        <v>52</v>
      </c>
      <c r="R57" s="113" t="s">
        <v>22</v>
      </c>
      <c r="S57" s="118" t="str">
        <f t="shared" si="5"/>
        <v>P</v>
      </c>
      <c r="T57" s="16"/>
      <c r="U57" s="16"/>
      <c r="V57" s="16"/>
      <c r="W57" s="16">
        <v>1</v>
      </c>
      <c r="X57" s="16"/>
      <c r="Y57" s="57"/>
      <c r="Z57" s="57"/>
      <c r="AA57" s="57"/>
      <c r="AB57" s="16"/>
      <c r="AC57" s="16"/>
      <c r="AD57" s="16"/>
      <c r="AE57" s="16"/>
      <c r="AF57" s="16"/>
      <c r="AG57" s="16"/>
      <c r="AH57" s="16"/>
      <c r="AI57" s="16"/>
      <c r="AJ57" s="16"/>
      <c r="AK57" s="16"/>
      <c r="AL57" s="16"/>
      <c r="AM57" s="16"/>
      <c r="AN57" s="16"/>
      <c r="AO57" s="16"/>
      <c r="AP57" s="16">
        <v>1</v>
      </c>
      <c r="AQ57" s="16"/>
      <c r="AR57" s="16"/>
      <c r="AS57" s="16"/>
      <c r="AT57" s="16"/>
      <c r="AU57" s="16"/>
      <c r="AV57" s="16"/>
      <c r="AW57" s="16"/>
      <c r="AX57" s="16"/>
      <c r="AY57" s="17"/>
      <c r="AZ57" s="8">
        <f t="array" ref="AZ57">Bin2DecRange($T57:$AY57)</f>
        <v>268435968</v>
      </c>
      <c r="BA57" s="6" t="str">
        <f t="shared" si="6"/>
        <v>RO_Data[2].COND1[</v>
      </c>
      <c r="BB57" s="23">
        <v>52</v>
      </c>
      <c r="BC57" s="27" t="s">
        <v>22</v>
      </c>
      <c r="BD57" s="75"/>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27" t="s">
        <v>22</v>
      </c>
      <c r="CN57" s="75"/>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27" t="s">
        <v>22</v>
      </c>
      <c r="DX57" s="75">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3" t="s">
        <v>22</v>
      </c>
      <c r="FH57" s="116"/>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3" t="s">
        <v>22</v>
      </c>
      <c r="GR57" s="116"/>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27" t="s">
        <v>22</v>
      </c>
      <c r="IB57" s="8" t="s">
        <v>222</v>
      </c>
      <c r="IC57" s="6" t="str">
        <f t="shared" si="12"/>
        <v>RO_Data[2].STEP_DESC[</v>
      </c>
      <c r="ID57" s="23">
        <v>52</v>
      </c>
      <c r="IE57" s="113" t="s">
        <v>22</v>
      </c>
    </row>
    <row r="58" spans="1:239" x14ac:dyDescent="0.25">
      <c r="A58" s="8">
        <v>53</v>
      </c>
      <c r="B58" s="8" t="str">
        <f t="shared" si="0"/>
        <v>FILLING FEED TANK TO SET POINT LEVEL</v>
      </c>
      <c r="C58" s="8"/>
      <c r="D58" s="6" t="str">
        <f t="shared" si="1"/>
        <v>RO_Data[2].ACK_DESC[</v>
      </c>
      <c r="E58" s="23">
        <v>53</v>
      </c>
      <c r="F58" s="113" t="s">
        <v>22</v>
      </c>
      <c r="G58" s="168">
        <v>0</v>
      </c>
      <c r="H58" s="6" t="str">
        <f t="shared" si="2"/>
        <v>RO_Data[2].MIN[</v>
      </c>
      <c r="I58" s="23">
        <v>53</v>
      </c>
      <c r="J58" s="113" t="s">
        <v>22</v>
      </c>
      <c r="K58" s="168">
        <v>1</v>
      </c>
      <c r="L58" s="6" t="str">
        <f t="shared" si="3"/>
        <v>RO_Data[2].SEC[</v>
      </c>
      <c r="M58" s="23">
        <v>53</v>
      </c>
      <c r="N58" s="27" t="s">
        <v>22</v>
      </c>
      <c r="O58" s="165">
        <v>0</v>
      </c>
      <c r="P58" s="6" t="str">
        <f t="shared" si="4"/>
        <v>RO_Data[2].SETPOINT[</v>
      </c>
      <c r="Q58" s="23">
        <v>53</v>
      </c>
      <c r="R58" s="113" t="s">
        <v>22</v>
      </c>
      <c r="S58" s="118" t="str">
        <f t="shared" si="5"/>
        <v>P</v>
      </c>
      <c r="T58" s="16"/>
      <c r="U58" s="16"/>
      <c r="V58" s="16"/>
      <c r="W58" s="16">
        <v>1</v>
      </c>
      <c r="X58" s="16"/>
      <c r="Y58" s="57"/>
      <c r="Z58" s="57"/>
      <c r="AA58" s="57"/>
      <c r="AB58" s="16"/>
      <c r="AC58" s="16"/>
      <c r="AD58" s="16"/>
      <c r="AE58" s="16"/>
      <c r="AF58" s="16"/>
      <c r="AG58" s="16"/>
      <c r="AH58" s="16"/>
      <c r="AI58" s="16">
        <v>1</v>
      </c>
      <c r="AJ58" s="16"/>
      <c r="AK58" s="16"/>
      <c r="AL58" s="16"/>
      <c r="AM58" s="16"/>
      <c r="AN58" s="16"/>
      <c r="AO58" s="16"/>
      <c r="AP58" s="16">
        <v>1</v>
      </c>
      <c r="AQ58" s="16"/>
      <c r="AR58" s="16"/>
      <c r="AS58" s="16"/>
      <c r="AT58" s="16"/>
      <c r="AU58" s="16"/>
      <c r="AV58" s="16"/>
      <c r="AW58" s="16"/>
      <c r="AX58" s="16"/>
      <c r="AY58" s="17"/>
      <c r="AZ58" s="8">
        <f t="array" ref="AZ58">Bin2DecRange($T58:$AY58)</f>
        <v>268501504</v>
      </c>
      <c r="BA58" s="6" t="str">
        <f t="shared" si="6"/>
        <v>RO_Data[2].COND1[</v>
      </c>
      <c r="BB58" s="23">
        <v>53</v>
      </c>
      <c r="BC58" s="27" t="s">
        <v>22</v>
      </c>
      <c r="BD58" s="75"/>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27" t="s">
        <v>22</v>
      </c>
      <c r="CN58" s="75"/>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27" t="s">
        <v>22</v>
      </c>
      <c r="DX58" s="75"/>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3" t="s">
        <v>22</v>
      </c>
      <c r="FH58" s="116"/>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3" t="s">
        <v>22</v>
      </c>
      <c r="GR58" s="116"/>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27" t="s">
        <v>22</v>
      </c>
      <c r="IB58" s="8" t="s">
        <v>224</v>
      </c>
      <c r="IC58" s="6" t="str">
        <f t="shared" si="12"/>
        <v>RO_Data[2].STEP_DESC[</v>
      </c>
      <c r="ID58" s="23">
        <v>53</v>
      </c>
      <c r="IE58" s="113" t="s">
        <v>22</v>
      </c>
    </row>
    <row r="59" spans="1:239" x14ac:dyDescent="0.25">
      <c r="A59" s="8">
        <v>54</v>
      </c>
      <c r="B59" s="8" t="str">
        <f t="shared" si="0"/>
        <v>STARTING PUMPS</v>
      </c>
      <c r="C59" s="8"/>
      <c r="D59" s="6" t="str">
        <f t="shared" si="1"/>
        <v>RO_Data[2].ACK_DESC[</v>
      </c>
      <c r="E59" s="23">
        <v>54</v>
      </c>
      <c r="F59" s="113" t="s">
        <v>22</v>
      </c>
      <c r="G59" s="168">
        <v>0</v>
      </c>
      <c r="H59" s="6" t="str">
        <f t="shared" si="2"/>
        <v>RO_Data[2].MIN[</v>
      </c>
      <c r="I59" s="23">
        <v>54</v>
      </c>
      <c r="J59" s="113" t="s">
        <v>22</v>
      </c>
      <c r="K59" s="168">
        <v>30</v>
      </c>
      <c r="L59" s="6" t="str">
        <f t="shared" si="3"/>
        <v>RO_Data[2].SEC[</v>
      </c>
      <c r="M59" s="23">
        <v>54</v>
      </c>
      <c r="N59" s="27" t="s">
        <v>22</v>
      </c>
      <c r="O59" s="165">
        <v>0</v>
      </c>
      <c r="P59" s="6" t="str">
        <f t="shared" si="4"/>
        <v>RO_Data[2].SETPOINT[</v>
      </c>
      <c r="Q59" s="23">
        <v>54</v>
      </c>
      <c r="R59" s="113" t="s">
        <v>22</v>
      </c>
      <c r="S59" s="118" t="str">
        <f t="shared" si="5"/>
        <v>P</v>
      </c>
      <c r="T59" s="16"/>
      <c r="U59" s="16"/>
      <c r="V59" s="16"/>
      <c r="W59" s="16">
        <v>1</v>
      </c>
      <c r="X59" s="16"/>
      <c r="Y59" s="57"/>
      <c r="Z59" s="57"/>
      <c r="AA59" s="57"/>
      <c r="AB59" s="16"/>
      <c r="AC59" s="16"/>
      <c r="AD59" s="16"/>
      <c r="AE59" s="16"/>
      <c r="AF59" s="16"/>
      <c r="AG59" s="16"/>
      <c r="AH59" s="16"/>
      <c r="AI59" s="16"/>
      <c r="AJ59" s="16"/>
      <c r="AK59" s="16"/>
      <c r="AL59" s="16"/>
      <c r="AM59" s="16"/>
      <c r="AN59" s="16"/>
      <c r="AO59" s="16"/>
      <c r="AP59" s="16">
        <v>1</v>
      </c>
      <c r="AQ59" s="16"/>
      <c r="AR59" s="16"/>
      <c r="AS59" s="16"/>
      <c r="AT59" s="16"/>
      <c r="AU59" s="16"/>
      <c r="AV59" s="16"/>
      <c r="AW59" s="16"/>
      <c r="AX59" s="16"/>
      <c r="AY59" s="17"/>
      <c r="AZ59" s="8">
        <f t="array" ref="AZ59">Bin2DecRange($T59:$AY59)</f>
        <v>268435968</v>
      </c>
      <c r="BA59" s="6" t="str">
        <f t="shared" si="6"/>
        <v>RO_Data[2].COND1[</v>
      </c>
      <c r="BB59" s="23">
        <v>54</v>
      </c>
      <c r="BC59" s="27" t="s">
        <v>22</v>
      </c>
      <c r="BD59" s="75"/>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27" t="s">
        <v>22</v>
      </c>
      <c r="CN59" s="75"/>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27" t="s">
        <v>22</v>
      </c>
      <c r="DX59" s="75"/>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3" t="s">
        <v>22</v>
      </c>
      <c r="FH59" s="116"/>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3" t="s">
        <v>22</v>
      </c>
      <c r="GR59" s="116"/>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27" t="s">
        <v>22</v>
      </c>
      <c r="IB59" s="8" t="s">
        <v>225</v>
      </c>
      <c r="IC59" s="6" t="str">
        <f t="shared" si="12"/>
        <v>RO_Data[2].STEP_DESC[</v>
      </c>
      <c r="ID59" s="23">
        <v>54</v>
      </c>
      <c r="IE59" s="113" t="s">
        <v>22</v>
      </c>
    </row>
    <row r="60" spans="1:239" x14ac:dyDescent="0.25">
      <c r="A60" s="8">
        <v>55</v>
      </c>
      <c r="B60" s="8" t="str">
        <f t="shared" si="0"/>
        <v>PREPARING FOR FLUX CHECK</v>
      </c>
      <c r="C60" s="8"/>
      <c r="D60" s="6" t="str">
        <f t="shared" si="1"/>
        <v>RO_Data[2].ACK_DESC[</v>
      </c>
      <c r="E60" s="23">
        <v>55</v>
      </c>
      <c r="F60" s="113" t="s">
        <v>22</v>
      </c>
      <c r="G60" s="168">
        <v>0</v>
      </c>
      <c r="H60" s="6" t="str">
        <f t="shared" si="2"/>
        <v>RO_Data[2].MIN[</v>
      </c>
      <c r="I60" s="23">
        <v>55</v>
      </c>
      <c r="J60" s="113" t="s">
        <v>22</v>
      </c>
      <c r="K60" s="168">
        <v>1</v>
      </c>
      <c r="L60" s="6" t="str">
        <f t="shared" si="3"/>
        <v>RO_Data[2].SEC[</v>
      </c>
      <c r="M60" s="23">
        <v>55</v>
      </c>
      <c r="N60" s="27" t="s">
        <v>22</v>
      </c>
      <c r="O60" s="165">
        <v>0</v>
      </c>
      <c r="P60" s="6" t="str">
        <f t="shared" si="4"/>
        <v>RO_Data[2].SETPOINT[</v>
      </c>
      <c r="Q60" s="23">
        <v>55</v>
      </c>
      <c r="R60" s="113" t="s">
        <v>22</v>
      </c>
      <c r="S60" s="118" t="str">
        <f t="shared" si="5"/>
        <v>P</v>
      </c>
      <c r="T60" s="16"/>
      <c r="U60" s="16"/>
      <c r="V60" s="16"/>
      <c r="W60" s="16">
        <v>1</v>
      </c>
      <c r="X60" s="16"/>
      <c r="Y60" s="57"/>
      <c r="Z60" s="57"/>
      <c r="AA60" s="57"/>
      <c r="AB60" s="16"/>
      <c r="AC60" s="16"/>
      <c r="AD60" s="16"/>
      <c r="AE60" s="16"/>
      <c r="AF60" s="16"/>
      <c r="AG60" s="16"/>
      <c r="AH60" s="16"/>
      <c r="AI60" s="16"/>
      <c r="AJ60" s="16"/>
      <c r="AK60" s="16"/>
      <c r="AL60" s="16"/>
      <c r="AM60" s="16"/>
      <c r="AN60" s="16">
        <v>1</v>
      </c>
      <c r="AO60" s="16"/>
      <c r="AP60" s="16">
        <v>1</v>
      </c>
      <c r="AQ60" s="16"/>
      <c r="AR60" s="16"/>
      <c r="AS60" s="16"/>
      <c r="AT60" s="16"/>
      <c r="AU60" s="16"/>
      <c r="AV60" s="16"/>
      <c r="AW60" s="16"/>
      <c r="AX60" s="16"/>
      <c r="AY60" s="17"/>
      <c r="AZ60" s="8">
        <f t="array" ref="AZ60">Bin2DecRange($T60:$AY60)</f>
        <v>268438016</v>
      </c>
      <c r="BA60" s="6" t="str">
        <f t="shared" si="6"/>
        <v>RO_Data[2].COND1[</v>
      </c>
      <c r="BB60" s="23">
        <v>55</v>
      </c>
      <c r="BC60" s="27" t="s">
        <v>22</v>
      </c>
      <c r="BD60" s="75"/>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27" t="s">
        <v>22</v>
      </c>
      <c r="CN60" s="75"/>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27" t="s">
        <v>22</v>
      </c>
      <c r="DX60" s="75"/>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3" t="s">
        <v>22</v>
      </c>
      <c r="FH60" s="116"/>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3" t="s">
        <v>22</v>
      </c>
      <c r="GR60" s="116"/>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27" t="s">
        <v>22</v>
      </c>
      <c r="IB60" s="8" t="s">
        <v>238</v>
      </c>
      <c r="IC60" s="6" t="str">
        <f t="shared" si="12"/>
        <v>RO_Data[2].STEP_DESC[</v>
      </c>
      <c r="ID60" s="23">
        <v>55</v>
      </c>
      <c r="IE60" s="113" t="s">
        <v>22</v>
      </c>
    </row>
    <row r="61" spans="1:239" x14ac:dyDescent="0.25">
      <c r="A61" s="8">
        <v>56</v>
      </c>
      <c r="B61" s="8" t="str">
        <f t="shared" si="0"/>
        <v>FLUX CHECK</v>
      </c>
      <c r="C61" s="8"/>
      <c r="D61" s="6" t="str">
        <f t="shared" si="1"/>
        <v>RO_Data[2].ACK_DESC[</v>
      </c>
      <c r="E61" s="23">
        <v>56</v>
      </c>
      <c r="F61" s="113" t="s">
        <v>22</v>
      </c>
      <c r="G61" s="168">
        <v>0</v>
      </c>
      <c r="H61" s="6" t="str">
        <f t="shared" si="2"/>
        <v>RO_Data[2].MIN[</v>
      </c>
      <c r="I61" s="23">
        <v>56</v>
      </c>
      <c r="J61" s="113" t="s">
        <v>22</v>
      </c>
      <c r="K61" s="168">
        <v>1</v>
      </c>
      <c r="L61" s="6" t="str">
        <f t="shared" si="3"/>
        <v>RO_Data[2].SEC[</v>
      </c>
      <c r="M61" s="23">
        <v>56</v>
      </c>
      <c r="N61" s="27" t="s">
        <v>22</v>
      </c>
      <c r="O61" s="165">
        <v>0</v>
      </c>
      <c r="P61" s="6" t="str">
        <f t="shared" si="4"/>
        <v>RO_Data[2].SETPOINT[</v>
      </c>
      <c r="Q61" s="23">
        <v>56</v>
      </c>
      <c r="R61" s="113" t="s">
        <v>22</v>
      </c>
      <c r="S61" s="118" t="str">
        <f t="shared" si="5"/>
        <v>P</v>
      </c>
      <c r="T61" s="16"/>
      <c r="U61" s="16"/>
      <c r="V61" s="16"/>
      <c r="W61" s="16"/>
      <c r="X61" s="16"/>
      <c r="Y61" s="57"/>
      <c r="Z61" s="57"/>
      <c r="AA61" s="57"/>
      <c r="AB61" s="16"/>
      <c r="AC61" s="16"/>
      <c r="AD61" s="16"/>
      <c r="AE61" s="16"/>
      <c r="AF61" s="16"/>
      <c r="AG61" s="16"/>
      <c r="AH61" s="16"/>
      <c r="AI61" s="16"/>
      <c r="AJ61" s="16"/>
      <c r="AK61" s="16"/>
      <c r="AL61" s="16"/>
      <c r="AM61" s="16"/>
      <c r="AN61" s="16"/>
      <c r="AO61" s="16"/>
      <c r="AP61" s="16">
        <v>1</v>
      </c>
      <c r="AQ61" s="16"/>
      <c r="AR61" s="16"/>
      <c r="AS61" s="16"/>
      <c r="AT61" s="16"/>
      <c r="AU61" s="16"/>
      <c r="AV61" s="16"/>
      <c r="AW61" s="16"/>
      <c r="AX61" s="16"/>
      <c r="AY61" s="17"/>
      <c r="AZ61" s="8">
        <f t="array" ref="AZ61">Bin2DecRange($T61:$AY61)</f>
        <v>512</v>
      </c>
      <c r="BA61" s="6" t="str">
        <f t="shared" si="6"/>
        <v>RO_Data[2].COND1[</v>
      </c>
      <c r="BB61" s="23">
        <v>56</v>
      </c>
      <c r="BC61" s="27" t="s">
        <v>22</v>
      </c>
      <c r="BD61" s="75"/>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27" t="s">
        <v>22</v>
      </c>
      <c r="CN61" s="75"/>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27" t="s">
        <v>22</v>
      </c>
      <c r="DX61" s="75"/>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3" t="s">
        <v>22</v>
      </c>
      <c r="FH61" s="116"/>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3" t="s">
        <v>22</v>
      </c>
      <c r="GR61" s="116"/>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27" t="s">
        <v>22</v>
      </c>
      <c r="IB61" s="8" t="s">
        <v>431</v>
      </c>
      <c r="IC61" s="6" t="str">
        <f t="shared" si="12"/>
        <v>RO_Data[2].STEP_DESC[</v>
      </c>
      <c r="ID61" s="23">
        <v>56</v>
      </c>
      <c r="IE61" s="113" t="s">
        <v>22</v>
      </c>
    </row>
    <row r="62" spans="1:239" x14ac:dyDescent="0.25">
      <c r="A62" s="8">
        <v>57</v>
      </c>
      <c r="B62" s="8" t="str">
        <f t="shared" si="0"/>
        <v>RECORD FLUX CHECK  - HOLD FOR ACKNOWLEDGE</v>
      </c>
      <c r="C62" s="8" t="s">
        <v>357</v>
      </c>
      <c r="D62" s="6" t="str">
        <f t="shared" si="1"/>
        <v>RO_Data[2].ACK_DESC[</v>
      </c>
      <c r="E62" s="23">
        <v>57</v>
      </c>
      <c r="F62" s="113" t="s">
        <v>22</v>
      </c>
      <c r="G62" s="168">
        <v>0</v>
      </c>
      <c r="H62" s="6" t="str">
        <f t="shared" si="2"/>
        <v>RO_Data[2].MIN[</v>
      </c>
      <c r="I62" s="23">
        <v>57</v>
      </c>
      <c r="J62" s="113" t="s">
        <v>22</v>
      </c>
      <c r="K62" s="168">
        <v>0</v>
      </c>
      <c r="L62" s="6" t="str">
        <f t="shared" si="3"/>
        <v>RO_Data[2].SEC[</v>
      </c>
      <c r="M62" s="23">
        <v>57</v>
      </c>
      <c r="N62" s="27" t="s">
        <v>22</v>
      </c>
      <c r="O62" s="165">
        <v>0</v>
      </c>
      <c r="P62" s="6" t="str">
        <f t="shared" si="4"/>
        <v>RO_Data[2].SETPOINT[</v>
      </c>
      <c r="Q62" s="23">
        <v>57</v>
      </c>
      <c r="R62" s="113" t="s">
        <v>22</v>
      </c>
      <c r="S62" s="118" t="str">
        <f t="shared" si="5"/>
        <v/>
      </c>
      <c r="T62" s="16"/>
      <c r="U62" s="16"/>
      <c r="V62" s="16"/>
      <c r="W62" s="16"/>
      <c r="X62" s="16"/>
      <c r="Y62" s="57"/>
      <c r="Z62" s="57"/>
      <c r="AA62" s="57"/>
      <c r="AB62" s="16"/>
      <c r="AC62" s="16"/>
      <c r="AD62" s="16"/>
      <c r="AE62" s="16"/>
      <c r="AF62" s="16"/>
      <c r="AG62" s="16"/>
      <c r="AH62" s="16"/>
      <c r="AI62" s="16"/>
      <c r="AJ62" s="16"/>
      <c r="AK62" s="16"/>
      <c r="AL62" s="16"/>
      <c r="AM62" s="16"/>
      <c r="AN62" s="16"/>
      <c r="AO62" s="16"/>
      <c r="AP62" s="16"/>
      <c r="AQ62" s="16"/>
      <c r="AR62" s="16"/>
      <c r="AS62" s="16"/>
      <c r="AT62" s="16"/>
      <c r="AU62" s="16"/>
      <c r="AV62" s="16">
        <v>1</v>
      </c>
      <c r="AW62" s="16"/>
      <c r="AX62" s="16"/>
      <c r="AY62" s="17"/>
      <c r="AZ62" s="8">
        <f t="array" ref="AZ62">Bin2DecRange($T62:$AY62)</f>
        <v>8</v>
      </c>
      <c r="BA62" s="6" t="str">
        <f t="shared" si="6"/>
        <v>RO_Data[2].COND1[</v>
      </c>
      <c r="BB62" s="23">
        <v>57</v>
      </c>
      <c r="BC62" s="27" t="s">
        <v>22</v>
      </c>
      <c r="BD62" s="75"/>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27" t="s">
        <v>22</v>
      </c>
      <c r="CN62" s="75"/>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27" t="s">
        <v>22</v>
      </c>
      <c r="DX62" s="75"/>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3" t="s">
        <v>22</v>
      </c>
      <c r="FH62" s="116"/>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3" t="s">
        <v>22</v>
      </c>
      <c r="GR62" s="116"/>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27" t="s">
        <v>22</v>
      </c>
      <c r="IB62" s="8" t="s">
        <v>356</v>
      </c>
      <c r="IC62" s="6" t="str">
        <f t="shared" si="12"/>
        <v>RO_Data[2].STEP_DESC[</v>
      </c>
      <c r="ID62" s="23">
        <v>57</v>
      </c>
      <c r="IE62" s="113" t="s">
        <v>22</v>
      </c>
    </row>
    <row r="63" spans="1:239" x14ac:dyDescent="0.25">
      <c r="A63" s="8">
        <v>58</v>
      </c>
      <c r="B63" s="8" t="str">
        <f t="shared" si="0"/>
        <v>EXTRA WASH ?  YES / NO 40</v>
      </c>
      <c r="C63" s="8" t="s">
        <v>358</v>
      </c>
      <c r="D63" s="6" t="str">
        <f t="shared" si="1"/>
        <v>RO_Data[2].ACK_DESC[</v>
      </c>
      <c r="E63" s="23">
        <v>58</v>
      </c>
      <c r="F63" s="113" t="s">
        <v>22</v>
      </c>
      <c r="G63" s="168">
        <v>0</v>
      </c>
      <c r="H63" s="6" t="str">
        <f t="shared" si="2"/>
        <v>RO_Data[2].MIN[</v>
      </c>
      <c r="I63" s="23">
        <v>58</v>
      </c>
      <c r="J63" s="113" t="s">
        <v>22</v>
      </c>
      <c r="K63" s="168">
        <v>0</v>
      </c>
      <c r="L63" s="6" t="str">
        <f t="shared" si="3"/>
        <v>RO_Data[2].SEC[</v>
      </c>
      <c r="M63" s="23">
        <v>58</v>
      </c>
      <c r="N63" s="27" t="s">
        <v>22</v>
      </c>
      <c r="O63" s="165">
        <v>40</v>
      </c>
      <c r="P63" s="6" t="str">
        <f t="shared" si="4"/>
        <v>RO_Data[2].SETPOINT[</v>
      </c>
      <c r="Q63" s="23">
        <v>58</v>
      </c>
      <c r="R63" s="113" t="s">
        <v>22</v>
      </c>
      <c r="S63" s="118" t="str">
        <f t="shared" si="5"/>
        <v/>
      </c>
      <c r="T63" s="16"/>
      <c r="U63" s="16"/>
      <c r="V63" s="16"/>
      <c r="W63" s="16"/>
      <c r="X63" s="16"/>
      <c r="Y63" s="57"/>
      <c r="Z63" s="57"/>
      <c r="AA63" s="57"/>
      <c r="AB63" s="16"/>
      <c r="AC63" s="16"/>
      <c r="AD63" s="16"/>
      <c r="AE63" s="16"/>
      <c r="AF63" s="16"/>
      <c r="AG63" s="16"/>
      <c r="AH63" s="16"/>
      <c r="AI63" s="16"/>
      <c r="AJ63" s="16"/>
      <c r="AK63" s="16"/>
      <c r="AL63" s="16"/>
      <c r="AM63" s="16"/>
      <c r="AN63" s="16"/>
      <c r="AO63" s="16"/>
      <c r="AP63" s="16"/>
      <c r="AQ63" s="16"/>
      <c r="AR63" s="16"/>
      <c r="AS63" s="16"/>
      <c r="AT63" s="16"/>
      <c r="AU63" s="16">
        <v>1</v>
      </c>
      <c r="AV63" s="16"/>
      <c r="AW63" s="16">
        <v>1</v>
      </c>
      <c r="AX63" s="16"/>
      <c r="AY63" s="17"/>
      <c r="AZ63" s="8">
        <f t="array" ref="AZ63">Bin2DecRange($T63:$AY63)</f>
        <v>20</v>
      </c>
      <c r="BA63" s="6" t="str">
        <f t="shared" si="6"/>
        <v>RO_Data[2].COND1[</v>
      </c>
      <c r="BB63" s="23">
        <v>58</v>
      </c>
      <c r="BC63" s="27" t="s">
        <v>22</v>
      </c>
      <c r="BD63" s="75"/>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27" t="s">
        <v>22</v>
      </c>
      <c r="CN63" s="75"/>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27" t="s">
        <v>22</v>
      </c>
      <c r="DX63" s="75"/>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3" t="s">
        <v>22</v>
      </c>
      <c r="FH63" s="116"/>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3" t="s">
        <v>22</v>
      </c>
      <c r="GR63" s="116"/>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27" t="s">
        <v>22</v>
      </c>
      <c r="IB63" s="8" t="s">
        <v>239</v>
      </c>
      <c r="IC63" s="6" t="str">
        <f t="shared" si="12"/>
        <v>RO_Data[2].STEP_DESC[</v>
      </c>
      <c r="ID63" s="23">
        <v>58</v>
      </c>
      <c r="IE63" s="113" t="s">
        <v>22</v>
      </c>
    </row>
    <row r="64" spans="1:239" x14ac:dyDescent="0.25">
      <c r="A64" s="8">
        <v>59</v>
      </c>
      <c r="B64" s="8" t="str">
        <f t="shared" si="0"/>
        <v>PUMP DOWN FEED TANK? YES / NO 62</v>
      </c>
      <c r="C64" s="8" t="s">
        <v>359</v>
      </c>
      <c r="D64" s="6" t="str">
        <f t="shared" si="1"/>
        <v>RO_Data[2].ACK_DESC[</v>
      </c>
      <c r="E64" s="23">
        <v>59</v>
      </c>
      <c r="F64" s="113" t="s">
        <v>22</v>
      </c>
      <c r="G64" s="168">
        <v>0</v>
      </c>
      <c r="H64" s="6" t="str">
        <f t="shared" si="2"/>
        <v>RO_Data[2].MIN[</v>
      </c>
      <c r="I64" s="23">
        <v>59</v>
      </c>
      <c r="J64" s="113" t="s">
        <v>22</v>
      </c>
      <c r="K64" s="168">
        <v>0</v>
      </c>
      <c r="L64" s="6" t="str">
        <f t="shared" si="3"/>
        <v>RO_Data[2].SEC[</v>
      </c>
      <c r="M64" s="23">
        <v>59</v>
      </c>
      <c r="N64" s="27" t="s">
        <v>22</v>
      </c>
      <c r="O64" s="165">
        <v>62</v>
      </c>
      <c r="P64" s="6" t="str">
        <f t="shared" si="4"/>
        <v>RO_Data[2].SETPOINT[</v>
      </c>
      <c r="Q64" s="23">
        <v>59</v>
      </c>
      <c r="R64" s="113" t="s">
        <v>22</v>
      </c>
      <c r="S64" s="118" t="str">
        <f t="shared" si="5"/>
        <v/>
      </c>
      <c r="T64" s="16"/>
      <c r="U64" s="16"/>
      <c r="V64" s="16"/>
      <c r="W64" s="16"/>
      <c r="X64" s="16"/>
      <c r="Y64" s="57"/>
      <c r="Z64" s="57"/>
      <c r="AA64" s="57"/>
      <c r="AB64" s="16"/>
      <c r="AC64" s="16"/>
      <c r="AD64" s="16"/>
      <c r="AE64" s="16"/>
      <c r="AF64" s="16"/>
      <c r="AG64" s="16"/>
      <c r="AH64" s="16"/>
      <c r="AI64" s="16"/>
      <c r="AJ64" s="16"/>
      <c r="AK64" s="16"/>
      <c r="AL64" s="16"/>
      <c r="AM64" s="16"/>
      <c r="AN64" s="16"/>
      <c r="AO64" s="16"/>
      <c r="AP64" s="16"/>
      <c r="AQ64" s="16"/>
      <c r="AR64" s="16"/>
      <c r="AS64" s="16"/>
      <c r="AT64" s="16">
        <v>1</v>
      </c>
      <c r="AU64" s="16"/>
      <c r="AV64" s="16"/>
      <c r="AW64" s="16"/>
      <c r="AX64" s="16">
        <v>1</v>
      </c>
      <c r="AY64" s="17"/>
      <c r="AZ64" s="8">
        <f t="array" ref="AZ64">Bin2DecRange($T64:$AY64)</f>
        <v>34</v>
      </c>
      <c r="BA64" s="6" t="str">
        <f t="shared" si="6"/>
        <v>RO_Data[2].COND1[</v>
      </c>
      <c r="BB64" s="23">
        <v>59</v>
      </c>
      <c r="BC64" s="27" t="s">
        <v>22</v>
      </c>
      <c r="BD64" s="75"/>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27" t="s">
        <v>22</v>
      </c>
      <c r="CN64" s="75"/>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27" t="s">
        <v>22</v>
      </c>
      <c r="DX64" s="75"/>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3" t="s">
        <v>22</v>
      </c>
      <c r="FH64" s="116"/>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3" t="s">
        <v>22</v>
      </c>
      <c r="GR64" s="116"/>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27" t="s">
        <v>22</v>
      </c>
      <c r="IB64" s="8" t="s">
        <v>240</v>
      </c>
      <c r="IC64" s="6" t="str">
        <f t="shared" si="12"/>
        <v>RO_Data[2].STEP_DESC[</v>
      </c>
      <c r="ID64" s="23">
        <v>59</v>
      </c>
      <c r="IE64" s="113" t="s">
        <v>22</v>
      </c>
    </row>
    <row r="65" spans="1:239" x14ac:dyDescent="0.25">
      <c r="A65" s="8">
        <v>60</v>
      </c>
      <c r="B65" s="8" t="str">
        <f t="shared" si="0"/>
        <v>PUMPING DOWN FEED TANK</v>
      </c>
      <c r="C65" s="8"/>
      <c r="D65" s="6" t="str">
        <f t="shared" si="1"/>
        <v>RO_Data[2].ACK_DESC[</v>
      </c>
      <c r="E65" s="23">
        <v>60</v>
      </c>
      <c r="F65" s="113" t="s">
        <v>22</v>
      </c>
      <c r="G65" s="168">
        <v>0</v>
      </c>
      <c r="H65" s="6" t="str">
        <f t="shared" si="2"/>
        <v>RO_Data[2].MIN[</v>
      </c>
      <c r="I65" s="23">
        <v>60</v>
      </c>
      <c r="J65" s="113" t="s">
        <v>22</v>
      </c>
      <c r="K65" s="168">
        <v>1</v>
      </c>
      <c r="L65" s="6" t="str">
        <f t="shared" si="3"/>
        <v>RO_Data[2].SEC[</v>
      </c>
      <c r="M65" s="23">
        <v>60</v>
      </c>
      <c r="N65" s="27" t="s">
        <v>22</v>
      </c>
      <c r="O65" s="165">
        <v>0</v>
      </c>
      <c r="P65" s="6" t="str">
        <f t="shared" si="4"/>
        <v>RO_Data[2].SETPOINT[</v>
      </c>
      <c r="Q65" s="23">
        <v>60</v>
      </c>
      <c r="R65" s="113" t="s">
        <v>22</v>
      </c>
      <c r="S65" s="118" t="str">
        <f t="shared" si="5"/>
        <v>P</v>
      </c>
      <c r="T65" s="16"/>
      <c r="U65" s="16"/>
      <c r="V65" s="16"/>
      <c r="W65" s="16"/>
      <c r="X65" s="16"/>
      <c r="Y65" s="57"/>
      <c r="Z65" s="57"/>
      <c r="AA65" s="57"/>
      <c r="AB65" s="16"/>
      <c r="AC65" s="16"/>
      <c r="AD65" s="16"/>
      <c r="AE65" s="16"/>
      <c r="AF65" s="16">
        <v>1</v>
      </c>
      <c r="AG65" s="16"/>
      <c r="AH65" s="16"/>
      <c r="AI65" s="16"/>
      <c r="AJ65" s="16"/>
      <c r="AK65" s="16"/>
      <c r="AL65" s="16"/>
      <c r="AM65" s="16"/>
      <c r="AN65" s="16"/>
      <c r="AO65" s="16"/>
      <c r="AP65" s="16">
        <v>1</v>
      </c>
      <c r="AQ65" s="16"/>
      <c r="AR65" s="16"/>
      <c r="AS65" s="16"/>
      <c r="AT65" s="16"/>
      <c r="AU65" s="16"/>
      <c r="AV65" s="16"/>
      <c r="AW65" s="16"/>
      <c r="AX65" s="16"/>
      <c r="AY65" s="17"/>
      <c r="AZ65" s="8">
        <f t="array" ref="AZ65">Bin2DecRange($T65:$AY65)</f>
        <v>524800</v>
      </c>
      <c r="BA65" s="6" t="str">
        <f t="shared" si="6"/>
        <v>RO_Data[2].COND1[</v>
      </c>
      <c r="BB65" s="23">
        <v>60</v>
      </c>
      <c r="BC65" s="27" t="s">
        <v>22</v>
      </c>
      <c r="BD65" s="75"/>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27" t="s">
        <v>22</v>
      </c>
      <c r="CN65" s="75"/>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27" t="s">
        <v>22</v>
      </c>
      <c r="DX65" s="75">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3" t="s">
        <v>22</v>
      </c>
      <c r="FH65" s="116"/>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3" t="s">
        <v>22</v>
      </c>
      <c r="GR65" s="116"/>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27" t="s">
        <v>22</v>
      </c>
      <c r="IB65" s="8" t="s">
        <v>230</v>
      </c>
      <c r="IC65" s="6" t="str">
        <f t="shared" si="12"/>
        <v>RO_Data[2].STEP_DESC[</v>
      </c>
      <c r="ID65" s="23">
        <v>60</v>
      </c>
      <c r="IE65" s="113" t="s">
        <v>22</v>
      </c>
    </row>
    <row r="66" spans="1:239" x14ac:dyDescent="0.25">
      <c r="A66" s="8">
        <v>61</v>
      </c>
      <c r="B66" s="8" t="str">
        <f t="shared" si="0"/>
        <v>DRAINING FEED TANK</v>
      </c>
      <c r="C66" s="8"/>
      <c r="D66" s="6" t="str">
        <f t="shared" si="1"/>
        <v>RO_Data[2].ACK_DESC[</v>
      </c>
      <c r="E66" s="23">
        <v>61</v>
      </c>
      <c r="F66" s="113" t="s">
        <v>22</v>
      </c>
      <c r="G66" s="168">
        <v>0</v>
      </c>
      <c r="H66" s="6" t="str">
        <f t="shared" si="2"/>
        <v>RO_Data[2].MIN[</v>
      </c>
      <c r="I66" s="23">
        <v>61</v>
      </c>
      <c r="J66" s="113" t="s">
        <v>22</v>
      </c>
      <c r="K66" s="168">
        <v>1</v>
      </c>
      <c r="L66" s="6" t="str">
        <f t="shared" si="3"/>
        <v>RO_Data[2].SEC[</v>
      </c>
      <c r="M66" s="23">
        <v>61</v>
      </c>
      <c r="N66" s="27" t="s">
        <v>22</v>
      </c>
      <c r="O66" s="165">
        <v>0</v>
      </c>
      <c r="P66" s="6" t="str">
        <f t="shared" si="4"/>
        <v>RO_Data[2].SETPOINT[</v>
      </c>
      <c r="Q66" s="23">
        <v>61</v>
      </c>
      <c r="R66" s="113" t="s">
        <v>22</v>
      </c>
      <c r="S66" s="118" t="str">
        <f t="shared" si="5"/>
        <v>P</v>
      </c>
      <c r="T66" s="16"/>
      <c r="U66" s="16"/>
      <c r="V66" s="16"/>
      <c r="W66" s="16"/>
      <c r="X66" s="16"/>
      <c r="Y66" s="57"/>
      <c r="Z66" s="57"/>
      <c r="AA66" s="57"/>
      <c r="AB66" s="16"/>
      <c r="AC66" s="16"/>
      <c r="AD66" s="16"/>
      <c r="AE66" s="16"/>
      <c r="AF66" s="16"/>
      <c r="AG66" s="16"/>
      <c r="AH66" s="16"/>
      <c r="AI66" s="16"/>
      <c r="AJ66" s="16"/>
      <c r="AK66" s="16"/>
      <c r="AL66" s="16"/>
      <c r="AM66" s="16"/>
      <c r="AN66" s="16"/>
      <c r="AO66" s="16"/>
      <c r="AP66" s="16">
        <v>1</v>
      </c>
      <c r="AQ66" s="16"/>
      <c r="AR66" s="16"/>
      <c r="AS66" s="16"/>
      <c r="AT66" s="16"/>
      <c r="AU66" s="16"/>
      <c r="AV66" s="16"/>
      <c r="AW66" s="16"/>
      <c r="AX66" s="16"/>
      <c r="AY66" s="17"/>
      <c r="AZ66" s="8">
        <f t="array" ref="AZ66">Bin2DecRange($T66:$AY66)</f>
        <v>512</v>
      </c>
      <c r="BA66" s="6" t="str">
        <f t="shared" si="6"/>
        <v>RO_Data[2].COND1[</v>
      </c>
      <c r="BB66" s="23">
        <v>61</v>
      </c>
      <c r="BC66" s="27" t="s">
        <v>22</v>
      </c>
      <c r="BD66" s="75"/>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27" t="s">
        <v>22</v>
      </c>
      <c r="CN66" s="75"/>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27" t="s">
        <v>22</v>
      </c>
      <c r="DX66" s="75">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3" t="s">
        <v>22</v>
      </c>
      <c r="FH66" s="116"/>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3" t="s">
        <v>22</v>
      </c>
      <c r="GR66" s="116"/>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27" t="s">
        <v>22</v>
      </c>
      <c r="IB66" s="8" t="s">
        <v>231</v>
      </c>
      <c r="IC66" s="6" t="str">
        <f t="shared" si="12"/>
        <v>RO_Data[2].STEP_DESC[</v>
      </c>
      <c r="ID66" s="23">
        <v>61</v>
      </c>
      <c r="IE66" s="113" t="s">
        <v>22</v>
      </c>
    </row>
    <row r="67" spans="1:239" x14ac:dyDescent="0.25">
      <c r="A67" s="8">
        <v>62</v>
      </c>
      <c r="B67" s="8" t="str">
        <f t="shared" si="0"/>
        <v>PAUSE</v>
      </c>
      <c r="C67" s="8"/>
      <c r="D67" s="6" t="str">
        <f t="shared" si="1"/>
        <v>RO_Data[2].ACK_DESC[</v>
      </c>
      <c r="E67" s="23">
        <v>62</v>
      </c>
      <c r="F67" s="113" t="s">
        <v>22</v>
      </c>
      <c r="G67" s="168">
        <v>0</v>
      </c>
      <c r="H67" s="6" t="str">
        <f t="shared" si="2"/>
        <v>RO_Data[2].MIN[</v>
      </c>
      <c r="I67" s="23">
        <v>62</v>
      </c>
      <c r="J67" s="113" t="s">
        <v>22</v>
      </c>
      <c r="K67" s="168">
        <v>10</v>
      </c>
      <c r="L67" s="6" t="str">
        <f t="shared" si="3"/>
        <v>RO_Data[2].SEC[</v>
      </c>
      <c r="M67" s="23">
        <v>62</v>
      </c>
      <c r="N67" s="27" t="s">
        <v>22</v>
      </c>
      <c r="O67" s="165">
        <v>0</v>
      </c>
      <c r="P67" s="6" t="str">
        <f t="shared" si="4"/>
        <v>RO_Data[2].SETPOINT[</v>
      </c>
      <c r="Q67" s="23">
        <v>62</v>
      </c>
      <c r="R67" s="113" t="s">
        <v>22</v>
      </c>
      <c r="S67" s="118" t="str">
        <f t="shared" si="5"/>
        <v>P</v>
      </c>
      <c r="T67" s="16"/>
      <c r="U67" s="16"/>
      <c r="V67" s="16"/>
      <c r="W67" s="16"/>
      <c r="X67" s="16"/>
      <c r="Y67" s="57"/>
      <c r="Z67" s="57"/>
      <c r="AA67" s="57"/>
      <c r="AB67" s="16"/>
      <c r="AC67" s="16"/>
      <c r="AD67" s="16"/>
      <c r="AE67" s="16"/>
      <c r="AF67" s="16"/>
      <c r="AG67" s="16"/>
      <c r="AH67" s="16"/>
      <c r="AI67" s="16"/>
      <c r="AJ67" s="16"/>
      <c r="AK67" s="16"/>
      <c r="AL67" s="16"/>
      <c r="AM67" s="16"/>
      <c r="AN67" s="16"/>
      <c r="AO67" s="16"/>
      <c r="AP67" s="16">
        <v>1</v>
      </c>
      <c r="AQ67" s="16"/>
      <c r="AR67" s="16"/>
      <c r="AS67" s="16"/>
      <c r="AT67" s="16"/>
      <c r="AU67" s="16"/>
      <c r="AV67" s="16"/>
      <c r="AW67" s="16"/>
      <c r="AX67" s="16"/>
      <c r="AY67" s="17"/>
      <c r="AZ67" s="8">
        <f t="array" ref="AZ67">Bin2DecRange($T67:$AY67)</f>
        <v>512</v>
      </c>
      <c r="BA67" s="6" t="str">
        <f t="shared" si="6"/>
        <v>RO_Data[2].COND1[</v>
      </c>
      <c r="BB67" s="23">
        <v>62</v>
      </c>
      <c r="BC67" s="27" t="s">
        <v>22</v>
      </c>
      <c r="BD67" s="75"/>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27" t="s">
        <v>22</v>
      </c>
      <c r="CN67" s="75"/>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27" t="s">
        <v>22</v>
      </c>
      <c r="DX67" s="75"/>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3" t="s">
        <v>22</v>
      </c>
      <c r="FH67" s="116"/>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3" t="s">
        <v>22</v>
      </c>
      <c r="GR67" s="116"/>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27" t="s">
        <v>22</v>
      </c>
      <c r="IB67" s="8" t="s">
        <v>222</v>
      </c>
      <c r="IC67" s="6" t="str">
        <f t="shared" si="12"/>
        <v>RO_Data[2].STEP_DESC[</v>
      </c>
      <c r="ID67" s="23">
        <v>62</v>
      </c>
      <c r="IE67" s="113" t="s">
        <v>22</v>
      </c>
    </row>
    <row r="68" spans="1:239" x14ac:dyDescent="0.25">
      <c r="A68" s="8">
        <v>63</v>
      </c>
      <c r="B68" s="8" t="str">
        <f t="shared" si="0"/>
        <v>CYCLE COMPLETE</v>
      </c>
      <c r="C68" s="8"/>
      <c r="D68" s="6" t="str">
        <f t="shared" si="1"/>
        <v>RO_Data[2].ACK_DESC[</v>
      </c>
      <c r="E68" s="23">
        <v>63</v>
      </c>
      <c r="F68" s="113" t="s">
        <v>22</v>
      </c>
      <c r="G68" s="168">
        <v>0</v>
      </c>
      <c r="H68" s="6" t="str">
        <f t="shared" si="2"/>
        <v>RO_Data[2].MIN[</v>
      </c>
      <c r="I68" s="23">
        <v>63</v>
      </c>
      <c r="J68" s="113" t="s">
        <v>22</v>
      </c>
      <c r="K68" s="168">
        <v>1</v>
      </c>
      <c r="L68" s="6" t="str">
        <f t="shared" si="3"/>
        <v>RO_Data[2].SEC[</v>
      </c>
      <c r="M68" s="23">
        <v>63</v>
      </c>
      <c r="N68" s="27" t="s">
        <v>22</v>
      </c>
      <c r="O68" s="165">
        <v>0</v>
      </c>
      <c r="P68" s="6" t="str">
        <f t="shared" si="4"/>
        <v>RO_Data[2].SETPOINT[</v>
      </c>
      <c r="Q68" s="23">
        <v>63</v>
      </c>
      <c r="R68" s="113" t="s">
        <v>22</v>
      </c>
      <c r="S68" s="118" t="str">
        <f t="shared" si="5"/>
        <v/>
      </c>
      <c r="T68" s="16"/>
      <c r="U68" s="16"/>
      <c r="V68" s="16"/>
      <c r="W68" s="16"/>
      <c r="X68" s="16"/>
      <c r="Y68" s="57"/>
      <c r="Z68" s="57"/>
      <c r="AA68" s="57"/>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v>1</v>
      </c>
      <c r="AZ68" s="8">
        <f t="array" ref="AZ68">Bin2DecRange($T68:$AY68)</f>
        <v>1</v>
      </c>
      <c r="BA68" s="6" t="str">
        <f t="shared" si="6"/>
        <v>RO_Data[2].COND1[</v>
      </c>
      <c r="BB68" s="23">
        <v>63</v>
      </c>
      <c r="BC68" s="27" t="s">
        <v>22</v>
      </c>
      <c r="BD68" s="75"/>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27" t="s">
        <v>22</v>
      </c>
      <c r="CN68" s="75"/>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27" t="s">
        <v>22</v>
      </c>
      <c r="DX68" s="75"/>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3" t="s">
        <v>22</v>
      </c>
      <c r="FH68" s="116"/>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3" t="s">
        <v>22</v>
      </c>
      <c r="GR68" s="116"/>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27" t="s">
        <v>22</v>
      </c>
      <c r="IB68" s="8" t="s">
        <v>223</v>
      </c>
      <c r="IC68" s="6" t="str">
        <f t="shared" si="12"/>
        <v>RO_Data[2].STEP_DESC[</v>
      </c>
      <c r="ID68" s="23">
        <v>63</v>
      </c>
      <c r="IE68" s="113" t="s">
        <v>22</v>
      </c>
    </row>
    <row r="69" spans="1:239" x14ac:dyDescent="0.25">
      <c r="A69" s="8">
        <v>64</v>
      </c>
      <c r="B69" s="8" t="str">
        <f t="shared" ref="B69:B104" si="24">IF($IB69&lt;&gt;"", $IB69, "")</f>
        <v/>
      </c>
      <c r="C69" s="8"/>
      <c r="D69" s="6" t="str">
        <f t="shared" si="1"/>
        <v>RO_Data[2].ACK_DESC[</v>
      </c>
      <c r="E69" s="23">
        <v>64</v>
      </c>
      <c r="F69" s="113" t="s">
        <v>22</v>
      </c>
      <c r="G69" s="169">
        <v>0</v>
      </c>
      <c r="H69" s="6" t="str">
        <f t="shared" si="2"/>
        <v>RO_Data[2].MIN[</v>
      </c>
      <c r="I69" s="23">
        <v>64</v>
      </c>
      <c r="J69" s="113" t="s">
        <v>22</v>
      </c>
      <c r="K69" s="169">
        <v>0</v>
      </c>
      <c r="L69" s="6" t="str">
        <f t="shared" si="3"/>
        <v>RO_Data[2].SEC[</v>
      </c>
      <c r="M69" s="23">
        <v>64</v>
      </c>
      <c r="N69" s="27" t="s">
        <v>22</v>
      </c>
      <c r="O69" s="171">
        <v>0</v>
      </c>
      <c r="P69" s="6" t="str">
        <f t="shared" si="4"/>
        <v>RO_Data[2].SETPOINT[</v>
      </c>
      <c r="Q69" s="23">
        <v>64</v>
      </c>
      <c r="R69" s="113" t="s">
        <v>22</v>
      </c>
      <c r="S69" s="118" t="str">
        <f t="shared" si="5"/>
        <v/>
      </c>
      <c r="T69" s="16"/>
      <c r="U69" s="16"/>
      <c r="V69" s="16"/>
      <c r="W69" s="16"/>
      <c r="X69" s="16"/>
      <c r="Y69" s="57"/>
      <c r="Z69" s="57"/>
      <c r="AA69" s="57"/>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27" t="s">
        <v>22</v>
      </c>
      <c r="BD69" s="75"/>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27" t="s">
        <v>22</v>
      </c>
      <c r="CN69" s="75"/>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27" t="s">
        <v>22</v>
      </c>
      <c r="DX69" s="75"/>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3" t="s">
        <v>22</v>
      </c>
      <c r="FH69" s="116"/>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3" t="s">
        <v>22</v>
      </c>
      <c r="GR69" s="116"/>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27" t="s">
        <v>22</v>
      </c>
      <c r="IB69" s="8"/>
      <c r="IC69" s="6" t="str">
        <f t="shared" si="12"/>
        <v>RO_Data[2].STEP_DESC[</v>
      </c>
      <c r="ID69" s="23">
        <v>64</v>
      </c>
      <c r="IE69" s="113" t="s">
        <v>22</v>
      </c>
    </row>
    <row r="70" spans="1:239" x14ac:dyDescent="0.25">
      <c r="A70" s="8">
        <v>65</v>
      </c>
      <c r="B70" s="8" t="str">
        <f t="shared" si="24"/>
        <v/>
      </c>
      <c r="C70" s="8"/>
      <c r="D70" s="6" t="str">
        <f t="shared" ref="D70:D104" si="25">D$5</f>
        <v>RO_Data[2].ACK_DESC[</v>
      </c>
      <c r="E70" s="23">
        <v>65</v>
      </c>
      <c r="F70" s="113" t="s">
        <v>22</v>
      </c>
      <c r="G70" s="169">
        <v>0</v>
      </c>
      <c r="H70" s="6" t="str">
        <f t="shared" ref="H70:H104" si="26">H$5</f>
        <v>RO_Data[2].MIN[</v>
      </c>
      <c r="I70" s="23">
        <v>65</v>
      </c>
      <c r="J70" s="113" t="s">
        <v>22</v>
      </c>
      <c r="K70" s="169">
        <v>0</v>
      </c>
      <c r="L70" s="6" t="str">
        <f t="shared" ref="L70:L104" si="27">L$5</f>
        <v>RO_Data[2].SEC[</v>
      </c>
      <c r="M70" s="23">
        <v>65</v>
      </c>
      <c r="N70" s="27" t="s">
        <v>22</v>
      </c>
      <c r="O70" s="171">
        <v>0</v>
      </c>
      <c r="P70" s="6" t="str">
        <f t="shared" ref="P70:P104" si="28">P$5</f>
        <v>RO_Data[2].SETPOINT[</v>
      </c>
      <c r="Q70" s="23">
        <v>65</v>
      </c>
      <c r="R70" s="113" t="s">
        <v>22</v>
      </c>
      <c r="S70" s="118" t="str">
        <f t="shared" ref="S70:S104" si="29">IF(AP70=1, "P", "")</f>
        <v/>
      </c>
      <c r="T70" s="16"/>
      <c r="U70" s="16"/>
      <c r="V70" s="16"/>
      <c r="W70" s="16"/>
      <c r="X70" s="16"/>
      <c r="Y70" s="57"/>
      <c r="Z70" s="57"/>
      <c r="AA70" s="57"/>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27" t="s">
        <v>22</v>
      </c>
      <c r="BD70" s="75"/>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27" t="s">
        <v>22</v>
      </c>
      <c r="CN70" s="75"/>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27" t="s">
        <v>22</v>
      </c>
      <c r="DX70" s="75"/>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3" t="s">
        <v>22</v>
      </c>
      <c r="FH70" s="116"/>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3" t="s">
        <v>22</v>
      </c>
      <c r="GR70" s="116"/>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27" t="s">
        <v>22</v>
      </c>
      <c r="IB70" s="8"/>
      <c r="IC70" s="6" t="str">
        <f t="shared" ref="IC70:IC104" si="36">IC$5</f>
        <v>RO_Data[2].STEP_DESC[</v>
      </c>
      <c r="ID70" s="23">
        <v>65</v>
      </c>
      <c r="IE70" s="113" t="s">
        <v>22</v>
      </c>
    </row>
    <row r="71" spans="1:239" x14ac:dyDescent="0.25">
      <c r="A71" s="8">
        <v>66</v>
      </c>
      <c r="B71" s="8" t="str">
        <f t="shared" si="24"/>
        <v/>
      </c>
      <c r="C71" s="8"/>
      <c r="D71" s="6" t="str">
        <f t="shared" si="25"/>
        <v>RO_Data[2].ACK_DESC[</v>
      </c>
      <c r="E71" s="23">
        <v>66</v>
      </c>
      <c r="F71" s="113" t="s">
        <v>22</v>
      </c>
      <c r="G71" s="169">
        <v>0</v>
      </c>
      <c r="H71" s="6" t="str">
        <f t="shared" si="26"/>
        <v>RO_Data[2].MIN[</v>
      </c>
      <c r="I71" s="23">
        <v>66</v>
      </c>
      <c r="J71" s="113" t="s">
        <v>22</v>
      </c>
      <c r="K71" s="169">
        <v>0</v>
      </c>
      <c r="L71" s="6" t="str">
        <f t="shared" si="27"/>
        <v>RO_Data[2].SEC[</v>
      </c>
      <c r="M71" s="23">
        <v>66</v>
      </c>
      <c r="N71" s="27" t="s">
        <v>22</v>
      </c>
      <c r="O71" s="171">
        <v>0</v>
      </c>
      <c r="P71" s="6" t="str">
        <f t="shared" si="28"/>
        <v>RO_Data[2].SETPOINT[</v>
      </c>
      <c r="Q71" s="23">
        <v>66</v>
      </c>
      <c r="R71" s="113" t="s">
        <v>22</v>
      </c>
      <c r="S71" s="118" t="str">
        <f t="shared" si="29"/>
        <v/>
      </c>
      <c r="T71" s="16"/>
      <c r="U71" s="16"/>
      <c r="V71" s="16"/>
      <c r="W71" s="16"/>
      <c r="X71" s="16"/>
      <c r="Y71" s="57"/>
      <c r="Z71" s="57"/>
      <c r="AA71" s="57"/>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27" t="s">
        <v>22</v>
      </c>
      <c r="BD71" s="75"/>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27" t="s">
        <v>22</v>
      </c>
      <c r="CN71" s="75"/>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27" t="s">
        <v>22</v>
      </c>
      <c r="DX71" s="75"/>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3" t="s">
        <v>22</v>
      </c>
      <c r="FH71" s="116"/>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3" t="s">
        <v>22</v>
      </c>
      <c r="GR71" s="116"/>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27" t="s">
        <v>22</v>
      </c>
      <c r="IB71" s="8"/>
      <c r="IC71" s="6" t="str">
        <f t="shared" si="36"/>
        <v>RO_Data[2].STEP_DESC[</v>
      </c>
      <c r="ID71" s="23">
        <v>66</v>
      </c>
      <c r="IE71" s="113" t="s">
        <v>22</v>
      </c>
    </row>
    <row r="72" spans="1:239" x14ac:dyDescent="0.25">
      <c r="A72" s="8">
        <v>67</v>
      </c>
      <c r="B72" s="8" t="str">
        <f t="shared" si="24"/>
        <v/>
      </c>
      <c r="C72" s="8"/>
      <c r="D72" s="6" t="str">
        <f t="shared" si="25"/>
        <v>RO_Data[2].ACK_DESC[</v>
      </c>
      <c r="E72" s="23">
        <v>67</v>
      </c>
      <c r="F72" s="113" t="s">
        <v>22</v>
      </c>
      <c r="G72" s="169">
        <v>0</v>
      </c>
      <c r="H72" s="6" t="str">
        <f t="shared" si="26"/>
        <v>RO_Data[2].MIN[</v>
      </c>
      <c r="I72" s="23">
        <v>67</v>
      </c>
      <c r="J72" s="113" t="s">
        <v>22</v>
      </c>
      <c r="K72" s="169">
        <v>0</v>
      </c>
      <c r="L72" s="6" t="str">
        <f t="shared" si="27"/>
        <v>RO_Data[2].SEC[</v>
      </c>
      <c r="M72" s="23">
        <v>67</v>
      </c>
      <c r="N72" s="27" t="s">
        <v>22</v>
      </c>
      <c r="O72" s="171">
        <v>0</v>
      </c>
      <c r="P72" s="6" t="str">
        <f t="shared" si="28"/>
        <v>RO_Data[2].SETPOINT[</v>
      </c>
      <c r="Q72" s="23">
        <v>67</v>
      </c>
      <c r="R72" s="113" t="s">
        <v>22</v>
      </c>
      <c r="S72" s="118" t="str">
        <f t="shared" si="29"/>
        <v/>
      </c>
      <c r="T72" s="16"/>
      <c r="U72" s="16"/>
      <c r="V72" s="16"/>
      <c r="W72" s="16"/>
      <c r="X72" s="16"/>
      <c r="Y72" s="57"/>
      <c r="Z72" s="57"/>
      <c r="AA72" s="57"/>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27" t="s">
        <v>22</v>
      </c>
      <c r="BD72" s="75"/>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27" t="s">
        <v>22</v>
      </c>
      <c r="CN72" s="75"/>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27" t="s">
        <v>22</v>
      </c>
      <c r="DX72" s="75"/>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3" t="s">
        <v>22</v>
      </c>
      <c r="FH72" s="116"/>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3" t="s">
        <v>22</v>
      </c>
      <c r="GR72" s="116"/>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27" t="s">
        <v>22</v>
      </c>
      <c r="IB72" s="8"/>
      <c r="IC72" s="6" t="str">
        <f t="shared" si="36"/>
        <v>RO_Data[2].STEP_DESC[</v>
      </c>
      <c r="ID72" s="23">
        <v>67</v>
      </c>
      <c r="IE72" s="113" t="s">
        <v>22</v>
      </c>
    </row>
    <row r="73" spans="1:239" x14ac:dyDescent="0.25">
      <c r="A73" s="8">
        <v>68</v>
      </c>
      <c r="B73" s="8" t="str">
        <f t="shared" si="24"/>
        <v/>
      </c>
      <c r="C73" s="8"/>
      <c r="D73" s="6" t="str">
        <f t="shared" si="25"/>
        <v>RO_Data[2].ACK_DESC[</v>
      </c>
      <c r="E73" s="23">
        <v>68</v>
      </c>
      <c r="F73" s="113" t="s">
        <v>22</v>
      </c>
      <c r="G73" s="169">
        <v>0</v>
      </c>
      <c r="H73" s="6" t="str">
        <f t="shared" si="26"/>
        <v>RO_Data[2].MIN[</v>
      </c>
      <c r="I73" s="23">
        <v>68</v>
      </c>
      <c r="J73" s="113" t="s">
        <v>22</v>
      </c>
      <c r="K73" s="169">
        <v>0</v>
      </c>
      <c r="L73" s="6" t="str">
        <f t="shared" si="27"/>
        <v>RO_Data[2].SEC[</v>
      </c>
      <c r="M73" s="23">
        <v>68</v>
      </c>
      <c r="N73" s="27" t="s">
        <v>22</v>
      </c>
      <c r="O73" s="171">
        <v>0</v>
      </c>
      <c r="P73" s="6" t="str">
        <f t="shared" si="28"/>
        <v>RO_Data[2].SETPOINT[</v>
      </c>
      <c r="Q73" s="23">
        <v>68</v>
      </c>
      <c r="R73" s="113" t="s">
        <v>22</v>
      </c>
      <c r="S73" s="118" t="str">
        <f t="shared" si="29"/>
        <v/>
      </c>
      <c r="T73" s="16"/>
      <c r="U73" s="16"/>
      <c r="V73" s="16"/>
      <c r="W73" s="16"/>
      <c r="X73" s="16"/>
      <c r="Y73" s="57"/>
      <c r="Z73" s="57"/>
      <c r="AA73" s="57"/>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27" t="s">
        <v>22</v>
      </c>
      <c r="BD73" s="75"/>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27" t="s">
        <v>22</v>
      </c>
      <c r="CN73" s="75"/>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27" t="s">
        <v>22</v>
      </c>
      <c r="DX73" s="75"/>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3" t="s">
        <v>22</v>
      </c>
      <c r="FH73" s="116"/>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3" t="s">
        <v>22</v>
      </c>
      <c r="GR73" s="116"/>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27" t="s">
        <v>22</v>
      </c>
      <c r="IB73" s="8"/>
      <c r="IC73" s="6" t="str">
        <f t="shared" si="36"/>
        <v>RO_Data[2].STEP_DESC[</v>
      </c>
      <c r="ID73" s="23">
        <v>68</v>
      </c>
      <c r="IE73" s="113" t="s">
        <v>22</v>
      </c>
    </row>
    <row r="74" spans="1:239" x14ac:dyDescent="0.25">
      <c r="A74" s="8">
        <v>69</v>
      </c>
      <c r="B74" s="8" t="str">
        <f t="shared" si="24"/>
        <v/>
      </c>
      <c r="C74" s="8"/>
      <c r="D74" s="6" t="str">
        <f t="shared" si="25"/>
        <v>RO_Data[2].ACK_DESC[</v>
      </c>
      <c r="E74" s="23">
        <v>69</v>
      </c>
      <c r="F74" s="113" t="s">
        <v>22</v>
      </c>
      <c r="G74" s="169">
        <v>0</v>
      </c>
      <c r="H74" s="6" t="str">
        <f t="shared" si="26"/>
        <v>RO_Data[2].MIN[</v>
      </c>
      <c r="I74" s="23">
        <v>69</v>
      </c>
      <c r="J74" s="113" t="s">
        <v>22</v>
      </c>
      <c r="K74" s="169">
        <v>0</v>
      </c>
      <c r="L74" s="6" t="str">
        <f t="shared" si="27"/>
        <v>RO_Data[2].SEC[</v>
      </c>
      <c r="M74" s="23">
        <v>69</v>
      </c>
      <c r="N74" s="27" t="s">
        <v>22</v>
      </c>
      <c r="O74" s="171">
        <v>0</v>
      </c>
      <c r="P74" s="6" t="str">
        <f t="shared" si="28"/>
        <v>RO_Data[2].SETPOINT[</v>
      </c>
      <c r="Q74" s="23">
        <v>69</v>
      </c>
      <c r="R74" s="113" t="s">
        <v>22</v>
      </c>
      <c r="S74" s="118" t="str">
        <f t="shared" si="29"/>
        <v/>
      </c>
      <c r="T74" s="16"/>
      <c r="U74" s="16"/>
      <c r="V74" s="16"/>
      <c r="W74" s="16"/>
      <c r="X74" s="16"/>
      <c r="Y74" s="57"/>
      <c r="Z74" s="57"/>
      <c r="AA74" s="57"/>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27" t="s">
        <v>22</v>
      </c>
      <c r="BD74" s="75"/>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27" t="s">
        <v>22</v>
      </c>
      <c r="CN74" s="75"/>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27" t="s">
        <v>22</v>
      </c>
      <c r="DX74" s="75"/>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3" t="s">
        <v>22</v>
      </c>
      <c r="FH74" s="116"/>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3" t="s">
        <v>22</v>
      </c>
      <c r="GR74" s="116"/>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27" t="s">
        <v>22</v>
      </c>
      <c r="IB74" s="8"/>
      <c r="IC74" s="6" t="str">
        <f t="shared" si="36"/>
        <v>RO_Data[2].STEP_DESC[</v>
      </c>
      <c r="ID74" s="23">
        <v>69</v>
      </c>
      <c r="IE74" s="113" t="s">
        <v>22</v>
      </c>
    </row>
    <row r="75" spans="1:239" x14ac:dyDescent="0.25">
      <c r="A75" s="8">
        <v>70</v>
      </c>
      <c r="B75" s="8" t="str">
        <f t="shared" si="24"/>
        <v/>
      </c>
      <c r="C75" s="8"/>
      <c r="D75" s="6" t="str">
        <f t="shared" si="25"/>
        <v>RO_Data[2].ACK_DESC[</v>
      </c>
      <c r="E75" s="23">
        <v>70</v>
      </c>
      <c r="F75" s="113" t="s">
        <v>22</v>
      </c>
      <c r="G75" s="169">
        <v>0</v>
      </c>
      <c r="H75" s="6" t="str">
        <f t="shared" si="26"/>
        <v>RO_Data[2].MIN[</v>
      </c>
      <c r="I75" s="23">
        <v>70</v>
      </c>
      <c r="J75" s="113" t="s">
        <v>22</v>
      </c>
      <c r="K75" s="169">
        <v>0</v>
      </c>
      <c r="L75" s="6" t="str">
        <f t="shared" si="27"/>
        <v>RO_Data[2].SEC[</v>
      </c>
      <c r="M75" s="23">
        <v>70</v>
      </c>
      <c r="N75" s="27" t="s">
        <v>22</v>
      </c>
      <c r="O75" s="171">
        <v>0</v>
      </c>
      <c r="P75" s="6" t="str">
        <f t="shared" si="28"/>
        <v>RO_Data[2].SETPOINT[</v>
      </c>
      <c r="Q75" s="23">
        <v>70</v>
      </c>
      <c r="R75" s="113" t="s">
        <v>22</v>
      </c>
      <c r="S75" s="118" t="str">
        <f t="shared" si="29"/>
        <v/>
      </c>
      <c r="T75" s="16"/>
      <c r="U75" s="16"/>
      <c r="V75" s="16"/>
      <c r="W75" s="16"/>
      <c r="X75" s="16"/>
      <c r="Y75" s="57"/>
      <c r="Z75" s="57"/>
      <c r="AA75" s="57"/>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27" t="s">
        <v>22</v>
      </c>
      <c r="BD75" s="75"/>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27" t="s">
        <v>22</v>
      </c>
      <c r="CN75" s="75"/>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27" t="s">
        <v>22</v>
      </c>
      <c r="DX75" s="75"/>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3" t="s">
        <v>22</v>
      </c>
      <c r="FH75" s="116"/>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3" t="s">
        <v>22</v>
      </c>
      <c r="GR75" s="116"/>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27" t="s">
        <v>22</v>
      </c>
      <c r="IB75" s="8"/>
      <c r="IC75" s="6" t="str">
        <f t="shared" si="36"/>
        <v>RO_Data[2].STEP_DESC[</v>
      </c>
      <c r="ID75" s="23">
        <v>70</v>
      </c>
      <c r="IE75" s="113" t="s">
        <v>22</v>
      </c>
    </row>
    <row r="76" spans="1:239" x14ac:dyDescent="0.25">
      <c r="A76" s="8">
        <v>71</v>
      </c>
      <c r="B76" s="8" t="str">
        <f t="shared" si="24"/>
        <v/>
      </c>
      <c r="C76" s="8"/>
      <c r="D76" s="6" t="str">
        <f t="shared" si="25"/>
        <v>RO_Data[2].ACK_DESC[</v>
      </c>
      <c r="E76" s="23">
        <v>71</v>
      </c>
      <c r="F76" s="113" t="s">
        <v>22</v>
      </c>
      <c r="G76" s="169">
        <v>0</v>
      </c>
      <c r="H76" s="6" t="str">
        <f t="shared" si="26"/>
        <v>RO_Data[2].MIN[</v>
      </c>
      <c r="I76" s="23">
        <v>71</v>
      </c>
      <c r="J76" s="113" t="s">
        <v>22</v>
      </c>
      <c r="K76" s="169">
        <v>0</v>
      </c>
      <c r="L76" s="6" t="str">
        <f t="shared" si="27"/>
        <v>RO_Data[2].SEC[</v>
      </c>
      <c r="M76" s="23">
        <v>71</v>
      </c>
      <c r="N76" s="27" t="s">
        <v>22</v>
      </c>
      <c r="O76" s="171">
        <v>0</v>
      </c>
      <c r="P76" s="6" t="str">
        <f t="shared" si="28"/>
        <v>RO_Data[2].SETPOINT[</v>
      </c>
      <c r="Q76" s="23">
        <v>71</v>
      </c>
      <c r="R76" s="113" t="s">
        <v>22</v>
      </c>
      <c r="S76" s="118" t="str">
        <f t="shared" si="29"/>
        <v/>
      </c>
      <c r="T76" s="16"/>
      <c r="U76" s="16"/>
      <c r="V76" s="16"/>
      <c r="W76" s="16"/>
      <c r="X76" s="16"/>
      <c r="Y76" s="57"/>
      <c r="Z76" s="57"/>
      <c r="AA76" s="57"/>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27" t="s">
        <v>22</v>
      </c>
      <c r="BD76" s="75"/>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27" t="s">
        <v>22</v>
      </c>
      <c r="CN76" s="75"/>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27" t="s">
        <v>22</v>
      </c>
      <c r="DX76" s="75"/>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3" t="s">
        <v>22</v>
      </c>
      <c r="FH76" s="116"/>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3" t="s">
        <v>22</v>
      </c>
      <c r="GR76" s="116"/>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27" t="s">
        <v>22</v>
      </c>
      <c r="IB76" s="8"/>
      <c r="IC76" s="6" t="str">
        <f t="shared" si="36"/>
        <v>RO_Data[2].STEP_DESC[</v>
      </c>
      <c r="ID76" s="23">
        <v>71</v>
      </c>
      <c r="IE76" s="113" t="s">
        <v>22</v>
      </c>
    </row>
    <row r="77" spans="1:239" x14ac:dyDescent="0.25">
      <c r="A77" s="8">
        <v>72</v>
      </c>
      <c r="B77" s="8" t="str">
        <f t="shared" si="24"/>
        <v/>
      </c>
      <c r="C77" s="8"/>
      <c r="D77" s="6" t="str">
        <f t="shared" si="25"/>
        <v>RO_Data[2].ACK_DESC[</v>
      </c>
      <c r="E77" s="23">
        <v>72</v>
      </c>
      <c r="F77" s="113" t="s">
        <v>22</v>
      </c>
      <c r="G77" s="169">
        <v>0</v>
      </c>
      <c r="H77" s="6" t="str">
        <f t="shared" si="26"/>
        <v>RO_Data[2].MIN[</v>
      </c>
      <c r="I77" s="23">
        <v>72</v>
      </c>
      <c r="J77" s="113" t="s">
        <v>22</v>
      </c>
      <c r="K77" s="169">
        <v>0</v>
      </c>
      <c r="L77" s="6" t="str">
        <f t="shared" si="27"/>
        <v>RO_Data[2].SEC[</v>
      </c>
      <c r="M77" s="23">
        <v>72</v>
      </c>
      <c r="N77" s="27" t="s">
        <v>22</v>
      </c>
      <c r="O77" s="171">
        <v>0</v>
      </c>
      <c r="P77" s="6" t="str">
        <f t="shared" si="28"/>
        <v>RO_Data[2].SETPOINT[</v>
      </c>
      <c r="Q77" s="23">
        <v>72</v>
      </c>
      <c r="R77" s="113" t="s">
        <v>22</v>
      </c>
      <c r="S77" s="118" t="str">
        <f t="shared" si="29"/>
        <v/>
      </c>
      <c r="T77" s="16"/>
      <c r="U77" s="16"/>
      <c r="V77" s="16"/>
      <c r="W77" s="16"/>
      <c r="X77" s="16"/>
      <c r="Y77" s="57"/>
      <c r="Z77" s="57"/>
      <c r="AA77" s="57"/>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27" t="s">
        <v>22</v>
      </c>
      <c r="BD77" s="75"/>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27" t="s">
        <v>22</v>
      </c>
      <c r="CN77" s="75"/>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27" t="s">
        <v>22</v>
      </c>
      <c r="DX77" s="75"/>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3" t="s">
        <v>22</v>
      </c>
      <c r="FH77" s="116"/>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3" t="s">
        <v>22</v>
      </c>
      <c r="GR77" s="116"/>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27" t="s">
        <v>22</v>
      </c>
      <c r="IB77" s="8"/>
      <c r="IC77" s="6" t="str">
        <f t="shared" si="36"/>
        <v>RO_Data[2].STEP_DESC[</v>
      </c>
      <c r="ID77" s="23">
        <v>72</v>
      </c>
      <c r="IE77" s="113" t="s">
        <v>22</v>
      </c>
    </row>
    <row r="78" spans="1:239" x14ac:dyDescent="0.25">
      <c r="A78" s="8">
        <v>73</v>
      </c>
      <c r="B78" s="8" t="str">
        <f t="shared" si="24"/>
        <v/>
      </c>
      <c r="C78" s="8"/>
      <c r="D78" s="6" t="str">
        <f t="shared" si="25"/>
        <v>RO_Data[2].ACK_DESC[</v>
      </c>
      <c r="E78" s="23">
        <v>73</v>
      </c>
      <c r="F78" s="113" t="s">
        <v>22</v>
      </c>
      <c r="G78" s="169">
        <v>0</v>
      </c>
      <c r="H78" s="6" t="str">
        <f t="shared" si="26"/>
        <v>RO_Data[2].MIN[</v>
      </c>
      <c r="I78" s="23">
        <v>73</v>
      </c>
      <c r="J78" s="113" t="s">
        <v>22</v>
      </c>
      <c r="K78" s="169">
        <v>0</v>
      </c>
      <c r="L78" s="6" t="str">
        <f t="shared" si="27"/>
        <v>RO_Data[2].SEC[</v>
      </c>
      <c r="M78" s="23">
        <v>73</v>
      </c>
      <c r="N78" s="27" t="s">
        <v>22</v>
      </c>
      <c r="O78" s="171">
        <v>0</v>
      </c>
      <c r="P78" s="6" t="str">
        <f t="shared" si="28"/>
        <v>RO_Data[2].SETPOINT[</v>
      </c>
      <c r="Q78" s="23">
        <v>73</v>
      </c>
      <c r="R78" s="113" t="s">
        <v>22</v>
      </c>
      <c r="S78" s="118" t="str">
        <f t="shared" si="29"/>
        <v/>
      </c>
      <c r="T78" s="16"/>
      <c r="U78" s="16"/>
      <c r="V78" s="16"/>
      <c r="W78" s="16"/>
      <c r="X78" s="16"/>
      <c r="Y78" s="57"/>
      <c r="Z78" s="57"/>
      <c r="AA78" s="57"/>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27" t="s">
        <v>22</v>
      </c>
      <c r="BD78" s="75"/>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27" t="s">
        <v>22</v>
      </c>
      <c r="CN78" s="75"/>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27" t="s">
        <v>22</v>
      </c>
      <c r="DX78" s="75"/>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3" t="s">
        <v>22</v>
      </c>
      <c r="FH78" s="116"/>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3" t="s">
        <v>22</v>
      </c>
      <c r="GR78" s="116"/>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27" t="s">
        <v>22</v>
      </c>
      <c r="IB78" s="8"/>
      <c r="IC78" s="6" t="str">
        <f t="shared" si="36"/>
        <v>RO_Data[2].STEP_DESC[</v>
      </c>
      <c r="ID78" s="23">
        <v>73</v>
      </c>
      <c r="IE78" s="113" t="s">
        <v>22</v>
      </c>
    </row>
    <row r="79" spans="1:239" x14ac:dyDescent="0.25">
      <c r="A79" s="8">
        <v>74</v>
      </c>
      <c r="B79" s="8" t="str">
        <f t="shared" si="24"/>
        <v/>
      </c>
      <c r="C79" s="8"/>
      <c r="D79" s="6" t="str">
        <f t="shared" si="25"/>
        <v>RO_Data[2].ACK_DESC[</v>
      </c>
      <c r="E79" s="23">
        <v>74</v>
      </c>
      <c r="F79" s="113" t="s">
        <v>22</v>
      </c>
      <c r="G79" s="169">
        <v>0</v>
      </c>
      <c r="H79" s="6" t="str">
        <f t="shared" si="26"/>
        <v>RO_Data[2].MIN[</v>
      </c>
      <c r="I79" s="23">
        <v>74</v>
      </c>
      <c r="J79" s="113" t="s">
        <v>22</v>
      </c>
      <c r="K79" s="169">
        <v>0</v>
      </c>
      <c r="L79" s="6" t="str">
        <f t="shared" si="27"/>
        <v>RO_Data[2].SEC[</v>
      </c>
      <c r="M79" s="23">
        <v>74</v>
      </c>
      <c r="N79" s="27" t="s">
        <v>22</v>
      </c>
      <c r="O79" s="171">
        <v>0</v>
      </c>
      <c r="P79" s="6" t="str">
        <f t="shared" si="28"/>
        <v>RO_Data[2].SETPOINT[</v>
      </c>
      <c r="Q79" s="23">
        <v>74</v>
      </c>
      <c r="R79" s="113" t="s">
        <v>22</v>
      </c>
      <c r="S79" s="118" t="str">
        <f t="shared" si="29"/>
        <v/>
      </c>
      <c r="T79" s="16"/>
      <c r="U79" s="16"/>
      <c r="V79" s="16"/>
      <c r="W79" s="16"/>
      <c r="X79" s="16"/>
      <c r="Y79" s="57"/>
      <c r="Z79" s="57"/>
      <c r="AA79" s="57"/>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27" t="s">
        <v>22</v>
      </c>
      <c r="BD79" s="75"/>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27" t="s">
        <v>22</v>
      </c>
      <c r="CN79" s="75"/>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27" t="s">
        <v>22</v>
      </c>
      <c r="DX79" s="75"/>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3" t="s">
        <v>22</v>
      </c>
      <c r="FH79" s="116"/>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3" t="s">
        <v>22</v>
      </c>
      <c r="GR79" s="116"/>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27" t="s">
        <v>22</v>
      </c>
      <c r="IB79" s="8"/>
      <c r="IC79" s="6" t="str">
        <f t="shared" si="36"/>
        <v>RO_Data[2].STEP_DESC[</v>
      </c>
      <c r="ID79" s="23">
        <v>74</v>
      </c>
      <c r="IE79" s="113" t="s">
        <v>22</v>
      </c>
    </row>
    <row r="80" spans="1:239" x14ac:dyDescent="0.25">
      <c r="A80" s="8">
        <v>75</v>
      </c>
      <c r="B80" s="8" t="str">
        <f t="shared" si="24"/>
        <v/>
      </c>
      <c r="C80" s="8"/>
      <c r="D80" s="6" t="str">
        <f t="shared" si="25"/>
        <v>RO_Data[2].ACK_DESC[</v>
      </c>
      <c r="E80" s="23">
        <v>75</v>
      </c>
      <c r="F80" s="113" t="s">
        <v>22</v>
      </c>
      <c r="G80" s="169">
        <v>0</v>
      </c>
      <c r="H80" s="6" t="str">
        <f t="shared" si="26"/>
        <v>RO_Data[2].MIN[</v>
      </c>
      <c r="I80" s="23">
        <v>75</v>
      </c>
      <c r="J80" s="113" t="s">
        <v>22</v>
      </c>
      <c r="K80" s="169">
        <v>0</v>
      </c>
      <c r="L80" s="6" t="str">
        <f t="shared" si="27"/>
        <v>RO_Data[2].SEC[</v>
      </c>
      <c r="M80" s="23">
        <v>75</v>
      </c>
      <c r="N80" s="27" t="s">
        <v>22</v>
      </c>
      <c r="O80" s="171">
        <v>0</v>
      </c>
      <c r="P80" s="6" t="str">
        <f t="shared" si="28"/>
        <v>RO_Data[2].SETPOINT[</v>
      </c>
      <c r="Q80" s="23">
        <v>75</v>
      </c>
      <c r="R80" s="113" t="s">
        <v>22</v>
      </c>
      <c r="S80" s="118" t="str">
        <f t="shared" si="29"/>
        <v/>
      </c>
      <c r="T80" s="16"/>
      <c r="U80" s="16"/>
      <c r="V80" s="16"/>
      <c r="W80" s="16"/>
      <c r="X80" s="16"/>
      <c r="Y80" s="57"/>
      <c r="Z80" s="57"/>
      <c r="AA80" s="57"/>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27" t="s">
        <v>22</v>
      </c>
      <c r="BD80" s="75"/>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27" t="s">
        <v>22</v>
      </c>
      <c r="CN80" s="75"/>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27" t="s">
        <v>22</v>
      </c>
      <c r="DX80" s="75"/>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3" t="s">
        <v>22</v>
      </c>
      <c r="FH80" s="116"/>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3" t="s">
        <v>22</v>
      </c>
      <c r="GR80" s="116"/>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27" t="s">
        <v>22</v>
      </c>
      <c r="IB80" s="8"/>
      <c r="IC80" s="6" t="str">
        <f t="shared" si="36"/>
        <v>RO_Data[2].STEP_DESC[</v>
      </c>
      <c r="ID80" s="23">
        <v>75</v>
      </c>
      <c r="IE80" s="113" t="s">
        <v>22</v>
      </c>
    </row>
    <row r="81" spans="1:239" x14ac:dyDescent="0.25">
      <c r="A81" s="8">
        <v>76</v>
      </c>
      <c r="B81" s="8" t="str">
        <f t="shared" si="24"/>
        <v/>
      </c>
      <c r="C81" s="8"/>
      <c r="D81" s="6" t="str">
        <f t="shared" si="25"/>
        <v>RO_Data[2].ACK_DESC[</v>
      </c>
      <c r="E81" s="23">
        <v>76</v>
      </c>
      <c r="F81" s="113" t="s">
        <v>22</v>
      </c>
      <c r="G81" s="169">
        <v>0</v>
      </c>
      <c r="H81" s="6" t="str">
        <f t="shared" si="26"/>
        <v>RO_Data[2].MIN[</v>
      </c>
      <c r="I81" s="23">
        <v>76</v>
      </c>
      <c r="J81" s="113" t="s">
        <v>22</v>
      </c>
      <c r="K81" s="169">
        <v>0</v>
      </c>
      <c r="L81" s="6" t="str">
        <f t="shared" si="27"/>
        <v>RO_Data[2].SEC[</v>
      </c>
      <c r="M81" s="23">
        <v>76</v>
      </c>
      <c r="N81" s="27" t="s">
        <v>22</v>
      </c>
      <c r="O81" s="171">
        <v>0</v>
      </c>
      <c r="P81" s="6" t="str">
        <f t="shared" si="28"/>
        <v>RO_Data[2].SETPOINT[</v>
      </c>
      <c r="Q81" s="23">
        <v>76</v>
      </c>
      <c r="R81" s="113" t="s">
        <v>22</v>
      </c>
      <c r="S81" s="118" t="str">
        <f t="shared" si="29"/>
        <v/>
      </c>
      <c r="T81" s="16"/>
      <c r="U81" s="16"/>
      <c r="V81" s="16"/>
      <c r="W81" s="16"/>
      <c r="X81" s="16"/>
      <c r="Y81" s="57"/>
      <c r="Z81" s="57"/>
      <c r="AA81" s="57"/>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27" t="s">
        <v>22</v>
      </c>
      <c r="BD81" s="75"/>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27" t="s">
        <v>22</v>
      </c>
      <c r="CN81" s="75"/>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27" t="s">
        <v>22</v>
      </c>
      <c r="DX81" s="75"/>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3" t="s">
        <v>22</v>
      </c>
      <c r="FH81" s="116"/>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3" t="s">
        <v>22</v>
      </c>
      <c r="GR81" s="116"/>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27" t="s">
        <v>22</v>
      </c>
      <c r="IB81" s="8"/>
      <c r="IC81" s="6" t="str">
        <f t="shared" si="36"/>
        <v>RO_Data[2].STEP_DESC[</v>
      </c>
      <c r="ID81" s="23">
        <v>76</v>
      </c>
      <c r="IE81" s="113" t="s">
        <v>22</v>
      </c>
    </row>
    <row r="82" spans="1:239" x14ac:dyDescent="0.25">
      <c r="A82" s="8">
        <v>77</v>
      </c>
      <c r="B82" s="8" t="str">
        <f t="shared" si="24"/>
        <v/>
      </c>
      <c r="C82" s="8"/>
      <c r="D82" s="6" t="str">
        <f t="shared" si="25"/>
        <v>RO_Data[2].ACK_DESC[</v>
      </c>
      <c r="E82" s="23">
        <v>77</v>
      </c>
      <c r="F82" s="113" t="s">
        <v>22</v>
      </c>
      <c r="G82" s="169">
        <v>0</v>
      </c>
      <c r="H82" s="6" t="str">
        <f t="shared" si="26"/>
        <v>RO_Data[2].MIN[</v>
      </c>
      <c r="I82" s="23">
        <v>77</v>
      </c>
      <c r="J82" s="113" t="s">
        <v>22</v>
      </c>
      <c r="K82" s="169">
        <v>0</v>
      </c>
      <c r="L82" s="6" t="str">
        <f t="shared" si="27"/>
        <v>RO_Data[2].SEC[</v>
      </c>
      <c r="M82" s="23">
        <v>77</v>
      </c>
      <c r="N82" s="27" t="s">
        <v>22</v>
      </c>
      <c r="O82" s="171">
        <v>0</v>
      </c>
      <c r="P82" s="6" t="str">
        <f t="shared" si="28"/>
        <v>RO_Data[2].SETPOINT[</v>
      </c>
      <c r="Q82" s="23">
        <v>77</v>
      </c>
      <c r="R82" s="113" t="s">
        <v>22</v>
      </c>
      <c r="S82" s="118" t="str">
        <f t="shared" si="29"/>
        <v/>
      </c>
      <c r="T82" s="16"/>
      <c r="U82" s="16"/>
      <c r="V82" s="16"/>
      <c r="W82" s="16"/>
      <c r="X82" s="16"/>
      <c r="Y82" s="57"/>
      <c r="Z82" s="57"/>
      <c r="AA82" s="57"/>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27" t="s">
        <v>22</v>
      </c>
      <c r="BD82" s="75"/>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27" t="s">
        <v>22</v>
      </c>
      <c r="CN82" s="75"/>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27" t="s">
        <v>22</v>
      </c>
      <c r="DX82" s="75"/>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3" t="s">
        <v>22</v>
      </c>
      <c r="FH82" s="116"/>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3" t="s">
        <v>22</v>
      </c>
      <c r="GR82" s="116"/>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27" t="s">
        <v>22</v>
      </c>
      <c r="IB82" s="8"/>
      <c r="IC82" s="6" t="str">
        <f t="shared" si="36"/>
        <v>RO_Data[2].STEP_DESC[</v>
      </c>
      <c r="ID82" s="23">
        <v>77</v>
      </c>
      <c r="IE82" s="113" t="s">
        <v>22</v>
      </c>
    </row>
    <row r="83" spans="1:239" x14ac:dyDescent="0.25">
      <c r="A83" s="8">
        <v>78</v>
      </c>
      <c r="B83" s="8" t="str">
        <f t="shared" si="24"/>
        <v/>
      </c>
      <c r="C83" s="8"/>
      <c r="D83" s="6" t="str">
        <f t="shared" si="25"/>
        <v>RO_Data[2].ACK_DESC[</v>
      </c>
      <c r="E83" s="23">
        <v>78</v>
      </c>
      <c r="F83" s="113" t="s">
        <v>22</v>
      </c>
      <c r="G83" s="169">
        <v>0</v>
      </c>
      <c r="H83" s="6" t="str">
        <f t="shared" si="26"/>
        <v>RO_Data[2].MIN[</v>
      </c>
      <c r="I83" s="23">
        <v>78</v>
      </c>
      <c r="J83" s="113" t="s">
        <v>22</v>
      </c>
      <c r="K83" s="169">
        <v>0</v>
      </c>
      <c r="L83" s="6" t="str">
        <f t="shared" si="27"/>
        <v>RO_Data[2].SEC[</v>
      </c>
      <c r="M83" s="23">
        <v>78</v>
      </c>
      <c r="N83" s="27" t="s">
        <v>22</v>
      </c>
      <c r="O83" s="171">
        <v>0</v>
      </c>
      <c r="P83" s="6" t="str">
        <f t="shared" si="28"/>
        <v>RO_Data[2].SETPOINT[</v>
      </c>
      <c r="Q83" s="23">
        <v>78</v>
      </c>
      <c r="R83" s="113" t="s">
        <v>22</v>
      </c>
      <c r="S83" s="118" t="str">
        <f t="shared" si="29"/>
        <v/>
      </c>
      <c r="T83" s="16"/>
      <c r="U83" s="16"/>
      <c r="V83" s="16"/>
      <c r="W83" s="16"/>
      <c r="X83" s="16"/>
      <c r="Y83" s="57"/>
      <c r="Z83" s="57"/>
      <c r="AA83" s="57"/>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27" t="s">
        <v>22</v>
      </c>
      <c r="BD83" s="75"/>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27" t="s">
        <v>22</v>
      </c>
      <c r="CN83" s="75"/>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27" t="s">
        <v>22</v>
      </c>
      <c r="DX83" s="75"/>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3" t="s">
        <v>22</v>
      </c>
      <c r="FH83" s="116"/>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3" t="s">
        <v>22</v>
      </c>
      <c r="GR83" s="116"/>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27" t="s">
        <v>22</v>
      </c>
      <c r="IB83" s="8"/>
      <c r="IC83" s="6" t="str">
        <f t="shared" si="36"/>
        <v>RO_Data[2].STEP_DESC[</v>
      </c>
      <c r="ID83" s="23">
        <v>78</v>
      </c>
      <c r="IE83" s="113" t="s">
        <v>22</v>
      </c>
    </row>
    <row r="84" spans="1:239" x14ac:dyDescent="0.25">
      <c r="A84" s="8">
        <v>79</v>
      </c>
      <c r="B84" s="8" t="str">
        <f t="shared" si="24"/>
        <v/>
      </c>
      <c r="C84" s="8"/>
      <c r="D84" s="6" t="str">
        <f t="shared" si="25"/>
        <v>RO_Data[2].ACK_DESC[</v>
      </c>
      <c r="E84" s="23">
        <v>79</v>
      </c>
      <c r="F84" s="113" t="s">
        <v>22</v>
      </c>
      <c r="G84" s="169">
        <v>0</v>
      </c>
      <c r="H84" s="6" t="str">
        <f t="shared" si="26"/>
        <v>RO_Data[2].MIN[</v>
      </c>
      <c r="I84" s="23">
        <v>79</v>
      </c>
      <c r="J84" s="113" t="s">
        <v>22</v>
      </c>
      <c r="K84" s="169">
        <v>0</v>
      </c>
      <c r="L84" s="6" t="str">
        <f t="shared" si="27"/>
        <v>RO_Data[2].SEC[</v>
      </c>
      <c r="M84" s="23">
        <v>79</v>
      </c>
      <c r="N84" s="27" t="s">
        <v>22</v>
      </c>
      <c r="O84" s="171">
        <v>0</v>
      </c>
      <c r="P84" s="6" t="str">
        <f t="shared" si="28"/>
        <v>RO_Data[2].SETPOINT[</v>
      </c>
      <c r="Q84" s="23">
        <v>79</v>
      </c>
      <c r="R84" s="113" t="s">
        <v>22</v>
      </c>
      <c r="S84" s="118" t="str">
        <f t="shared" si="29"/>
        <v/>
      </c>
      <c r="T84" s="16"/>
      <c r="U84" s="16"/>
      <c r="V84" s="16"/>
      <c r="W84" s="16"/>
      <c r="X84" s="16"/>
      <c r="Y84" s="57"/>
      <c r="Z84" s="57"/>
      <c r="AA84" s="57"/>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27" t="s">
        <v>22</v>
      </c>
      <c r="BD84" s="75"/>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27" t="s">
        <v>22</v>
      </c>
      <c r="CN84" s="75"/>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27" t="s">
        <v>22</v>
      </c>
      <c r="DX84" s="75"/>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3" t="s">
        <v>22</v>
      </c>
      <c r="FH84" s="116"/>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3" t="s">
        <v>22</v>
      </c>
      <c r="GR84" s="116"/>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27" t="s">
        <v>22</v>
      </c>
      <c r="IB84" s="8"/>
      <c r="IC84" s="6" t="str">
        <f t="shared" si="36"/>
        <v>RO_Data[2].STEP_DESC[</v>
      </c>
      <c r="ID84" s="23">
        <v>79</v>
      </c>
      <c r="IE84" s="113" t="s">
        <v>22</v>
      </c>
    </row>
    <row r="85" spans="1:239" x14ac:dyDescent="0.25">
      <c r="A85" s="8">
        <v>80</v>
      </c>
      <c r="B85" s="8" t="str">
        <f t="shared" si="24"/>
        <v/>
      </c>
      <c r="C85" s="8"/>
      <c r="D85" s="6" t="str">
        <f t="shared" si="25"/>
        <v>RO_Data[2].ACK_DESC[</v>
      </c>
      <c r="E85" s="23">
        <v>80</v>
      </c>
      <c r="F85" s="113" t="s">
        <v>22</v>
      </c>
      <c r="G85" s="169">
        <v>0</v>
      </c>
      <c r="H85" s="6" t="str">
        <f t="shared" si="26"/>
        <v>RO_Data[2].MIN[</v>
      </c>
      <c r="I85" s="23">
        <v>80</v>
      </c>
      <c r="J85" s="113" t="s">
        <v>22</v>
      </c>
      <c r="K85" s="169">
        <v>0</v>
      </c>
      <c r="L85" s="6" t="str">
        <f t="shared" si="27"/>
        <v>RO_Data[2].SEC[</v>
      </c>
      <c r="M85" s="23">
        <v>80</v>
      </c>
      <c r="N85" s="27" t="s">
        <v>22</v>
      </c>
      <c r="O85" s="171">
        <v>0</v>
      </c>
      <c r="P85" s="6" t="str">
        <f t="shared" si="28"/>
        <v>RO_Data[2].SETPOINT[</v>
      </c>
      <c r="Q85" s="23">
        <v>80</v>
      </c>
      <c r="R85" s="113" t="s">
        <v>22</v>
      </c>
      <c r="S85" s="118" t="str">
        <f t="shared" si="29"/>
        <v/>
      </c>
      <c r="T85" s="16"/>
      <c r="U85" s="16"/>
      <c r="V85" s="16"/>
      <c r="W85" s="16"/>
      <c r="X85" s="16"/>
      <c r="Y85" s="57"/>
      <c r="Z85" s="57"/>
      <c r="AA85" s="57"/>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27" t="s">
        <v>22</v>
      </c>
      <c r="BD85" s="75"/>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27" t="s">
        <v>22</v>
      </c>
      <c r="CN85" s="75"/>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27" t="s">
        <v>22</v>
      </c>
      <c r="DX85" s="75"/>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3" t="s">
        <v>22</v>
      </c>
      <c r="FH85" s="116"/>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3" t="s">
        <v>22</v>
      </c>
      <c r="GR85" s="116"/>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27" t="s">
        <v>22</v>
      </c>
      <c r="IB85" s="8"/>
      <c r="IC85" s="6" t="str">
        <f t="shared" si="36"/>
        <v>RO_Data[2].STEP_DESC[</v>
      </c>
      <c r="ID85" s="23">
        <v>80</v>
      </c>
      <c r="IE85" s="113" t="s">
        <v>22</v>
      </c>
    </row>
    <row r="86" spans="1:239" x14ac:dyDescent="0.25">
      <c r="A86" s="8">
        <v>81</v>
      </c>
      <c r="B86" s="8" t="str">
        <f t="shared" si="24"/>
        <v/>
      </c>
      <c r="C86" s="8"/>
      <c r="D86" s="6" t="str">
        <f t="shared" si="25"/>
        <v>RO_Data[2].ACK_DESC[</v>
      </c>
      <c r="E86" s="23">
        <v>81</v>
      </c>
      <c r="F86" s="113" t="s">
        <v>22</v>
      </c>
      <c r="G86" s="169">
        <v>0</v>
      </c>
      <c r="H86" s="6" t="str">
        <f t="shared" si="26"/>
        <v>RO_Data[2].MIN[</v>
      </c>
      <c r="I86" s="23">
        <v>81</v>
      </c>
      <c r="J86" s="113" t="s">
        <v>22</v>
      </c>
      <c r="K86" s="169">
        <v>0</v>
      </c>
      <c r="L86" s="6" t="str">
        <f t="shared" si="27"/>
        <v>RO_Data[2].SEC[</v>
      </c>
      <c r="M86" s="23">
        <v>81</v>
      </c>
      <c r="N86" s="27" t="s">
        <v>22</v>
      </c>
      <c r="O86" s="171">
        <v>0</v>
      </c>
      <c r="P86" s="6" t="str">
        <f t="shared" si="28"/>
        <v>RO_Data[2].SETPOINT[</v>
      </c>
      <c r="Q86" s="23">
        <v>81</v>
      </c>
      <c r="R86" s="113" t="s">
        <v>22</v>
      </c>
      <c r="S86" s="118" t="str">
        <f t="shared" si="29"/>
        <v/>
      </c>
      <c r="T86" s="16"/>
      <c r="U86" s="16"/>
      <c r="V86" s="16"/>
      <c r="W86" s="16"/>
      <c r="X86" s="16"/>
      <c r="Y86" s="57"/>
      <c r="Z86" s="57"/>
      <c r="AA86" s="57"/>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27" t="s">
        <v>22</v>
      </c>
      <c r="BD86" s="75"/>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27" t="s">
        <v>22</v>
      </c>
      <c r="CN86" s="75"/>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27" t="s">
        <v>22</v>
      </c>
      <c r="DX86" s="75"/>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3" t="s">
        <v>22</v>
      </c>
      <c r="FH86" s="116"/>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3" t="s">
        <v>22</v>
      </c>
      <c r="GR86" s="116"/>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27" t="s">
        <v>22</v>
      </c>
      <c r="IB86" s="8"/>
      <c r="IC86" s="6" t="str">
        <f t="shared" si="36"/>
        <v>RO_Data[2].STEP_DESC[</v>
      </c>
      <c r="ID86" s="23">
        <v>81</v>
      </c>
      <c r="IE86" s="113" t="s">
        <v>22</v>
      </c>
    </row>
    <row r="87" spans="1:239" x14ac:dyDescent="0.25">
      <c r="A87" s="8">
        <v>82</v>
      </c>
      <c r="B87" s="8" t="str">
        <f t="shared" si="24"/>
        <v/>
      </c>
      <c r="C87" s="8"/>
      <c r="D87" s="6" t="str">
        <f t="shared" si="25"/>
        <v>RO_Data[2].ACK_DESC[</v>
      </c>
      <c r="E87" s="23">
        <v>82</v>
      </c>
      <c r="F87" s="113" t="s">
        <v>22</v>
      </c>
      <c r="G87" s="169">
        <v>0</v>
      </c>
      <c r="H87" s="6" t="str">
        <f t="shared" si="26"/>
        <v>RO_Data[2].MIN[</v>
      </c>
      <c r="I87" s="23">
        <v>82</v>
      </c>
      <c r="J87" s="113" t="s">
        <v>22</v>
      </c>
      <c r="K87" s="169">
        <v>0</v>
      </c>
      <c r="L87" s="6" t="str">
        <f t="shared" si="27"/>
        <v>RO_Data[2].SEC[</v>
      </c>
      <c r="M87" s="23">
        <v>82</v>
      </c>
      <c r="N87" s="27" t="s">
        <v>22</v>
      </c>
      <c r="O87" s="171">
        <v>0</v>
      </c>
      <c r="P87" s="6" t="str">
        <f t="shared" si="28"/>
        <v>RO_Data[2].SETPOINT[</v>
      </c>
      <c r="Q87" s="23">
        <v>82</v>
      </c>
      <c r="R87" s="113" t="s">
        <v>22</v>
      </c>
      <c r="S87" s="118" t="str">
        <f t="shared" si="29"/>
        <v/>
      </c>
      <c r="T87" s="16"/>
      <c r="U87" s="16"/>
      <c r="V87" s="16"/>
      <c r="W87" s="16"/>
      <c r="X87" s="16"/>
      <c r="Y87" s="57"/>
      <c r="Z87" s="57"/>
      <c r="AA87" s="57"/>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27" t="s">
        <v>22</v>
      </c>
      <c r="BD87" s="75"/>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27" t="s">
        <v>22</v>
      </c>
      <c r="CN87" s="75"/>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27" t="s">
        <v>22</v>
      </c>
      <c r="DX87" s="75"/>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3" t="s">
        <v>22</v>
      </c>
      <c r="FH87" s="116"/>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3" t="s">
        <v>22</v>
      </c>
      <c r="GR87" s="116"/>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27" t="s">
        <v>22</v>
      </c>
      <c r="IB87" s="8"/>
      <c r="IC87" s="6" t="str">
        <f t="shared" si="36"/>
        <v>RO_Data[2].STEP_DESC[</v>
      </c>
      <c r="ID87" s="23">
        <v>82</v>
      </c>
      <c r="IE87" s="113" t="s">
        <v>22</v>
      </c>
    </row>
    <row r="88" spans="1:239" x14ac:dyDescent="0.25">
      <c r="A88" s="8">
        <v>83</v>
      </c>
      <c r="B88" s="8" t="str">
        <f t="shared" si="24"/>
        <v/>
      </c>
      <c r="C88" s="8"/>
      <c r="D88" s="6" t="str">
        <f t="shared" si="25"/>
        <v>RO_Data[2].ACK_DESC[</v>
      </c>
      <c r="E88" s="23">
        <v>83</v>
      </c>
      <c r="F88" s="113" t="s">
        <v>22</v>
      </c>
      <c r="G88" s="169">
        <v>0</v>
      </c>
      <c r="H88" s="6" t="str">
        <f t="shared" si="26"/>
        <v>RO_Data[2].MIN[</v>
      </c>
      <c r="I88" s="23">
        <v>83</v>
      </c>
      <c r="J88" s="113" t="s">
        <v>22</v>
      </c>
      <c r="K88" s="169">
        <v>0</v>
      </c>
      <c r="L88" s="6" t="str">
        <f t="shared" si="27"/>
        <v>RO_Data[2].SEC[</v>
      </c>
      <c r="M88" s="23">
        <v>83</v>
      </c>
      <c r="N88" s="27" t="s">
        <v>22</v>
      </c>
      <c r="O88" s="171">
        <v>0</v>
      </c>
      <c r="P88" s="6" t="str">
        <f t="shared" si="28"/>
        <v>RO_Data[2].SETPOINT[</v>
      </c>
      <c r="Q88" s="23">
        <v>83</v>
      </c>
      <c r="R88" s="113" t="s">
        <v>22</v>
      </c>
      <c r="S88" s="118" t="str">
        <f t="shared" si="29"/>
        <v/>
      </c>
      <c r="T88" s="16"/>
      <c r="U88" s="16"/>
      <c r="V88" s="16"/>
      <c r="W88" s="16"/>
      <c r="X88" s="16"/>
      <c r="Y88" s="57"/>
      <c r="Z88" s="57"/>
      <c r="AA88" s="57"/>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27" t="s">
        <v>22</v>
      </c>
      <c r="BD88" s="75"/>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27" t="s">
        <v>22</v>
      </c>
      <c r="CN88" s="75"/>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27" t="s">
        <v>22</v>
      </c>
      <c r="DX88" s="75"/>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3" t="s">
        <v>22</v>
      </c>
      <c r="FH88" s="116"/>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3" t="s">
        <v>22</v>
      </c>
      <c r="GR88" s="116"/>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27" t="s">
        <v>22</v>
      </c>
      <c r="IB88" s="8"/>
      <c r="IC88" s="6" t="str">
        <f t="shared" si="36"/>
        <v>RO_Data[2].STEP_DESC[</v>
      </c>
      <c r="ID88" s="23">
        <v>83</v>
      </c>
      <c r="IE88" s="113" t="s">
        <v>22</v>
      </c>
    </row>
    <row r="89" spans="1:239" x14ac:dyDescent="0.25">
      <c r="A89" s="8">
        <v>84</v>
      </c>
      <c r="B89" s="8" t="str">
        <f t="shared" si="24"/>
        <v/>
      </c>
      <c r="C89" s="8"/>
      <c r="D89" s="6" t="str">
        <f t="shared" si="25"/>
        <v>RO_Data[2].ACK_DESC[</v>
      </c>
      <c r="E89" s="23">
        <v>84</v>
      </c>
      <c r="F89" s="113" t="s">
        <v>22</v>
      </c>
      <c r="G89" s="169">
        <v>0</v>
      </c>
      <c r="H89" s="6" t="str">
        <f t="shared" si="26"/>
        <v>RO_Data[2].MIN[</v>
      </c>
      <c r="I89" s="23">
        <v>84</v>
      </c>
      <c r="J89" s="113" t="s">
        <v>22</v>
      </c>
      <c r="K89" s="169">
        <v>0</v>
      </c>
      <c r="L89" s="6" t="str">
        <f t="shared" si="27"/>
        <v>RO_Data[2].SEC[</v>
      </c>
      <c r="M89" s="23">
        <v>84</v>
      </c>
      <c r="N89" s="27" t="s">
        <v>22</v>
      </c>
      <c r="O89" s="171">
        <v>0</v>
      </c>
      <c r="P89" s="6" t="str">
        <f t="shared" si="28"/>
        <v>RO_Data[2].SETPOINT[</v>
      </c>
      <c r="Q89" s="23">
        <v>84</v>
      </c>
      <c r="R89" s="113" t="s">
        <v>22</v>
      </c>
      <c r="S89" s="118" t="str">
        <f t="shared" si="29"/>
        <v/>
      </c>
      <c r="T89" s="16"/>
      <c r="U89" s="16"/>
      <c r="V89" s="16"/>
      <c r="W89" s="16"/>
      <c r="X89" s="16"/>
      <c r="Y89" s="57"/>
      <c r="Z89" s="57"/>
      <c r="AA89" s="57"/>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27" t="s">
        <v>22</v>
      </c>
      <c r="BD89" s="75"/>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27" t="s">
        <v>22</v>
      </c>
      <c r="CN89" s="75"/>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27" t="s">
        <v>22</v>
      </c>
      <c r="DX89" s="75"/>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3" t="s">
        <v>22</v>
      </c>
      <c r="FH89" s="116"/>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3" t="s">
        <v>22</v>
      </c>
      <c r="GR89" s="116"/>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27" t="s">
        <v>22</v>
      </c>
      <c r="IB89" s="8"/>
      <c r="IC89" s="6" t="str">
        <f t="shared" si="36"/>
        <v>RO_Data[2].STEP_DESC[</v>
      </c>
      <c r="ID89" s="23">
        <v>84</v>
      </c>
      <c r="IE89" s="113" t="s">
        <v>22</v>
      </c>
    </row>
    <row r="90" spans="1:239" x14ac:dyDescent="0.25">
      <c r="A90" s="8">
        <v>85</v>
      </c>
      <c r="B90" s="8" t="str">
        <f t="shared" si="24"/>
        <v/>
      </c>
      <c r="C90" s="8"/>
      <c r="D90" s="6" t="str">
        <f t="shared" si="25"/>
        <v>RO_Data[2].ACK_DESC[</v>
      </c>
      <c r="E90" s="23">
        <v>85</v>
      </c>
      <c r="F90" s="113" t="s">
        <v>22</v>
      </c>
      <c r="G90" s="169">
        <v>0</v>
      </c>
      <c r="H90" s="6" t="str">
        <f t="shared" si="26"/>
        <v>RO_Data[2].MIN[</v>
      </c>
      <c r="I90" s="23">
        <v>85</v>
      </c>
      <c r="J90" s="113" t="s">
        <v>22</v>
      </c>
      <c r="K90" s="169">
        <v>0</v>
      </c>
      <c r="L90" s="6" t="str">
        <f t="shared" si="27"/>
        <v>RO_Data[2].SEC[</v>
      </c>
      <c r="M90" s="23">
        <v>85</v>
      </c>
      <c r="N90" s="27" t="s">
        <v>22</v>
      </c>
      <c r="O90" s="171">
        <v>0</v>
      </c>
      <c r="P90" s="6" t="str">
        <f t="shared" si="28"/>
        <v>RO_Data[2].SETPOINT[</v>
      </c>
      <c r="Q90" s="23">
        <v>85</v>
      </c>
      <c r="R90" s="113" t="s">
        <v>22</v>
      </c>
      <c r="S90" s="118" t="str">
        <f t="shared" si="29"/>
        <v/>
      </c>
      <c r="T90" s="16"/>
      <c r="U90" s="16"/>
      <c r="V90" s="16"/>
      <c r="W90" s="16"/>
      <c r="X90" s="16"/>
      <c r="Y90" s="57"/>
      <c r="Z90" s="57"/>
      <c r="AA90" s="57"/>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27" t="s">
        <v>22</v>
      </c>
      <c r="BD90" s="75"/>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27" t="s">
        <v>22</v>
      </c>
      <c r="CN90" s="75"/>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27" t="s">
        <v>22</v>
      </c>
      <c r="DX90" s="75"/>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3" t="s">
        <v>22</v>
      </c>
      <c r="FH90" s="116"/>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3" t="s">
        <v>22</v>
      </c>
      <c r="GR90" s="116"/>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27" t="s">
        <v>22</v>
      </c>
      <c r="IB90" s="8"/>
      <c r="IC90" s="6" t="str">
        <f t="shared" si="36"/>
        <v>RO_Data[2].STEP_DESC[</v>
      </c>
      <c r="ID90" s="23">
        <v>85</v>
      </c>
      <c r="IE90" s="113" t="s">
        <v>22</v>
      </c>
    </row>
    <row r="91" spans="1:239" x14ac:dyDescent="0.25">
      <c r="A91" s="8">
        <v>86</v>
      </c>
      <c r="B91" s="8" t="str">
        <f t="shared" si="24"/>
        <v/>
      </c>
      <c r="C91" s="8"/>
      <c r="D91" s="6" t="str">
        <f t="shared" si="25"/>
        <v>RO_Data[2].ACK_DESC[</v>
      </c>
      <c r="E91" s="23">
        <v>86</v>
      </c>
      <c r="F91" s="113" t="s">
        <v>22</v>
      </c>
      <c r="G91" s="169">
        <v>0</v>
      </c>
      <c r="H91" s="6" t="str">
        <f t="shared" si="26"/>
        <v>RO_Data[2].MIN[</v>
      </c>
      <c r="I91" s="23">
        <v>86</v>
      </c>
      <c r="J91" s="113" t="s">
        <v>22</v>
      </c>
      <c r="K91" s="169">
        <v>0</v>
      </c>
      <c r="L91" s="6" t="str">
        <f t="shared" si="27"/>
        <v>RO_Data[2].SEC[</v>
      </c>
      <c r="M91" s="23">
        <v>86</v>
      </c>
      <c r="N91" s="27" t="s">
        <v>22</v>
      </c>
      <c r="O91" s="171">
        <v>0</v>
      </c>
      <c r="P91" s="6" t="str">
        <f t="shared" si="28"/>
        <v>RO_Data[2].SETPOINT[</v>
      </c>
      <c r="Q91" s="23">
        <v>86</v>
      </c>
      <c r="R91" s="113" t="s">
        <v>22</v>
      </c>
      <c r="S91" s="118" t="str">
        <f t="shared" si="29"/>
        <v/>
      </c>
      <c r="T91" s="16"/>
      <c r="U91" s="16"/>
      <c r="V91" s="16"/>
      <c r="W91" s="16"/>
      <c r="X91" s="16"/>
      <c r="Y91" s="57"/>
      <c r="Z91" s="57"/>
      <c r="AA91" s="57"/>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27" t="s">
        <v>22</v>
      </c>
      <c r="BD91" s="75"/>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27" t="s">
        <v>22</v>
      </c>
      <c r="CN91" s="75"/>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27" t="s">
        <v>22</v>
      </c>
      <c r="DX91" s="75"/>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3" t="s">
        <v>22</v>
      </c>
      <c r="FH91" s="116"/>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3" t="s">
        <v>22</v>
      </c>
      <c r="GR91" s="116"/>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27" t="s">
        <v>22</v>
      </c>
      <c r="IB91" s="8"/>
      <c r="IC91" s="6" t="str">
        <f t="shared" si="36"/>
        <v>RO_Data[2].STEP_DESC[</v>
      </c>
      <c r="ID91" s="23">
        <v>86</v>
      </c>
      <c r="IE91" s="113" t="s">
        <v>22</v>
      </c>
    </row>
    <row r="92" spans="1:239" x14ac:dyDescent="0.25">
      <c r="A92" s="8">
        <v>87</v>
      </c>
      <c r="B92" s="8" t="str">
        <f t="shared" si="24"/>
        <v/>
      </c>
      <c r="C92" s="8"/>
      <c r="D92" s="6" t="str">
        <f t="shared" si="25"/>
        <v>RO_Data[2].ACK_DESC[</v>
      </c>
      <c r="E92" s="23">
        <v>87</v>
      </c>
      <c r="F92" s="113" t="s">
        <v>22</v>
      </c>
      <c r="G92" s="169">
        <v>0</v>
      </c>
      <c r="H92" s="6" t="str">
        <f t="shared" si="26"/>
        <v>RO_Data[2].MIN[</v>
      </c>
      <c r="I92" s="23">
        <v>87</v>
      </c>
      <c r="J92" s="113" t="s">
        <v>22</v>
      </c>
      <c r="K92" s="169">
        <v>0</v>
      </c>
      <c r="L92" s="6" t="str">
        <f t="shared" si="27"/>
        <v>RO_Data[2].SEC[</v>
      </c>
      <c r="M92" s="23">
        <v>87</v>
      </c>
      <c r="N92" s="27" t="s">
        <v>22</v>
      </c>
      <c r="O92" s="171">
        <v>0</v>
      </c>
      <c r="P92" s="6" t="str">
        <f t="shared" si="28"/>
        <v>RO_Data[2].SETPOINT[</v>
      </c>
      <c r="Q92" s="23">
        <v>87</v>
      </c>
      <c r="R92" s="113" t="s">
        <v>22</v>
      </c>
      <c r="S92" s="118" t="str">
        <f t="shared" si="29"/>
        <v/>
      </c>
      <c r="T92" s="16"/>
      <c r="U92" s="16"/>
      <c r="V92" s="16"/>
      <c r="W92" s="16"/>
      <c r="X92" s="16"/>
      <c r="Y92" s="57"/>
      <c r="Z92" s="57"/>
      <c r="AA92" s="57"/>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27" t="s">
        <v>22</v>
      </c>
      <c r="BD92" s="75"/>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27" t="s">
        <v>22</v>
      </c>
      <c r="CN92" s="75"/>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27" t="s">
        <v>22</v>
      </c>
      <c r="DX92" s="75"/>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3" t="s">
        <v>22</v>
      </c>
      <c r="FH92" s="116"/>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3" t="s">
        <v>22</v>
      </c>
      <c r="GR92" s="116"/>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27" t="s">
        <v>22</v>
      </c>
      <c r="IB92" s="8"/>
      <c r="IC92" s="6" t="str">
        <f t="shared" si="36"/>
        <v>RO_Data[2].STEP_DESC[</v>
      </c>
      <c r="ID92" s="23">
        <v>87</v>
      </c>
      <c r="IE92" s="113" t="s">
        <v>22</v>
      </c>
    </row>
    <row r="93" spans="1:239" x14ac:dyDescent="0.25">
      <c r="A93" s="8">
        <v>88</v>
      </c>
      <c r="B93" s="8" t="str">
        <f t="shared" si="24"/>
        <v/>
      </c>
      <c r="C93" s="8"/>
      <c r="D93" s="6" t="str">
        <f t="shared" si="25"/>
        <v>RO_Data[2].ACK_DESC[</v>
      </c>
      <c r="E93" s="23">
        <v>88</v>
      </c>
      <c r="F93" s="113" t="s">
        <v>22</v>
      </c>
      <c r="G93" s="169">
        <v>0</v>
      </c>
      <c r="H93" s="6" t="str">
        <f t="shared" si="26"/>
        <v>RO_Data[2].MIN[</v>
      </c>
      <c r="I93" s="23">
        <v>88</v>
      </c>
      <c r="J93" s="113" t="s">
        <v>22</v>
      </c>
      <c r="K93" s="169">
        <v>0</v>
      </c>
      <c r="L93" s="6" t="str">
        <f t="shared" si="27"/>
        <v>RO_Data[2].SEC[</v>
      </c>
      <c r="M93" s="23">
        <v>88</v>
      </c>
      <c r="N93" s="27" t="s">
        <v>22</v>
      </c>
      <c r="O93" s="171">
        <v>0</v>
      </c>
      <c r="P93" s="6" t="str">
        <f t="shared" si="28"/>
        <v>RO_Data[2].SETPOINT[</v>
      </c>
      <c r="Q93" s="23">
        <v>88</v>
      </c>
      <c r="R93" s="113" t="s">
        <v>22</v>
      </c>
      <c r="S93" s="118" t="str">
        <f t="shared" si="29"/>
        <v/>
      </c>
      <c r="T93" s="16"/>
      <c r="U93" s="16"/>
      <c r="V93" s="16"/>
      <c r="W93" s="16"/>
      <c r="X93" s="16"/>
      <c r="Y93" s="57"/>
      <c r="Z93" s="57"/>
      <c r="AA93" s="57"/>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27" t="s">
        <v>22</v>
      </c>
      <c r="BD93" s="75"/>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27" t="s">
        <v>22</v>
      </c>
      <c r="CN93" s="75"/>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27" t="s">
        <v>22</v>
      </c>
      <c r="DX93" s="75"/>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3" t="s">
        <v>22</v>
      </c>
      <c r="FH93" s="116"/>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3" t="s">
        <v>22</v>
      </c>
      <c r="GR93" s="116"/>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27" t="s">
        <v>22</v>
      </c>
      <c r="IB93" s="8"/>
      <c r="IC93" s="6" t="str">
        <f t="shared" si="36"/>
        <v>RO_Data[2].STEP_DESC[</v>
      </c>
      <c r="ID93" s="23">
        <v>88</v>
      </c>
      <c r="IE93" s="113" t="s">
        <v>22</v>
      </c>
    </row>
    <row r="94" spans="1:239" x14ac:dyDescent="0.25">
      <c r="A94" s="8">
        <v>89</v>
      </c>
      <c r="B94" s="8" t="str">
        <f t="shared" si="24"/>
        <v/>
      </c>
      <c r="C94" s="8"/>
      <c r="D94" s="6" t="str">
        <f t="shared" si="25"/>
        <v>RO_Data[2].ACK_DESC[</v>
      </c>
      <c r="E94" s="23">
        <v>89</v>
      </c>
      <c r="F94" s="113" t="s">
        <v>22</v>
      </c>
      <c r="G94" s="169">
        <v>0</v>
      </c>
      <c r="H94" s="6" t="str">
        <f t="shared" si="26"/>
        <v>RO_Data[2].MIN[</v>
      </c>
      <c r="I94" s="23">
        <v>89</v>
      </c>
      <c r="J94" s="113" t="s">
        <v>22</v>
      </c>
      <c r="K94" s="169">
        <v>0</v>
      </c>
      <c r="L94" s="6" t="str">
        <f t="shared" si="27"/>
        <v>RO_Data[2].SEC[</v>
      </c>
      <c r="M94" s="23">
        <v>89</v>
      </c>
      <c r="N94" s="27" t="s">
        <v>22</v>
      </c>
      <c r="O94" s="171">
        <v>0</v>
      </c>
      <c r="P94" s="6" t="str">
        <f t="shared" si="28"/>
        <v>RO_Data[2].SETPOINT[</v>
      </c>
      <c r="Q94" s="23">
        <v>89</v>
      </c>
      <c r="R94" s="113" t="s">
        <v>22</v>
      </c>
      <c r="S94" s="118" t="str">
        <f t="shared" si="29"/>
        <v/>
      </c>
      <c r="T94" s="16"/>
      <c r="U94" s="16"/>
      <c r="V94" s="16"/>
      <c r="W94" s="16"/>
      <c r="X94" s="16"/>
      <c r="Y94" s="57"/>
      <c r="Z94" s="57"/>
      <c r="AA94" s="57"/>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27" t="s">
        <v>22</v>
      </c>
      <c r="BD94" s="75"/>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27" t="s">
        <v>22</v>
      </c>
      <c r="CN94" s="75"/>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27" t="s">
        <v>22</v>
      </c>
      <c r="DX94" s="75"/>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3" t="s">
        <v>22</v>
      </c>
      <c r="FH94" s="116"/>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3" t="s">
        <v>22</v>
      </c>
      <c r="GR94" s="116"/>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27" t="s">
        <v>22</v>
      </c>
      <c r="IB94" s="8"/>
      <c r="IC94" s="6" t="str">
        <f t="shared" si="36"/>
        <v>RO_Data[2].STEP_DESC[</v>
      </c>
      <c r="ID94" s="23">
        <v>89</v>
      </c>
      <c r="IE94" s="113" t="s">
        <v>22</v>
      </c>
    </row>
    <row r="95" spans="1:239" x14ac:dyDescent="0.25">
      <c r="A95" s="8">
        <v>90</v>
      </c>
      <c r="B95" s="8" t="str">
        <f t="shared" si="24"/>
        <v/>
      </c>
      <c r="C95" s="8"/>
      <c r="D95" s="6" t="str">
        <f t="shared" si="25"/>
        <v>RO_Data[2].ACK_DESC[</v>
      </c>
      <c r="E95" s="23">
        <v>90</v>
      </c>
      <c r="F95" s="113" t="s">
        <v>22</v>
      </c>
      <c r="G95" s="169">
        <v>0</v>
      </c>
      <c r="H95" s="6" t="str">
        <f t="shared" si="26"/>
        <v>RO_Data[2].MIN[</v>
      </c>
      <c r="I95" s="23">
        <v>90</v>
      </c>
      <c r="J95" s="113" t="s">
        <v>22</v>
      </c>
      <c r="K95" s="169">
        <v>0</v>
      </c>
      <c r="L95" s="6" t="str">
        <f t="shared" si="27"/>
        <v>RO_Data[2].SEC[</v>
      </c>
      <c r="M95" s="23">
        <v>90</v>
      </c>
      <c r="N95" s="27" t="s">
        <v>22</v>
      </c>
      <c r="O95" s="171">
        <v>0</v>
      </c>
      <c r="P95" s="6" t="str">
        <f t="shared" si="28"/>
        <v>RO_Data[2].SETPOINT[</v>
      </c>
      <c r="Q95" s="23">
        <v>90</v>
      </c>
      <c r="R95" s="113" t="s">
        <v>22</v>
      </c>
      <c r="S95" s="118" t="str">
        <f t="shared" si="29"/>
        <v/>
      </c>
      <c r="T95" s="16"/>
      <c r="U95" s="16"/>
      <c r="V95" s="16"/>
      <c r="W95" s="16"/>
      <c r="X95" s="16"/>
      <c r="Y95" s="57"/>
      <c r="Z95" s="57"/>
      <c r="AA95" s="57"/>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27" t="s">
        <v>22</v>
      </c>
      <c r="BD95" s="75"/>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27" t="s">
        <v>22</v>
      </c>
      <c r="CN95" s="75"/>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27" t="s">
        <v>22</v>
      </c>
      <c r="DX95" s="75"/>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3" t="s">
        <v>22</v>
      </c>
      <c r="FH95" s="116"/>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3" t="s">
        <v>22</v>
      </c>
      <c r="GR95" s="116"/>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27" t="s">
        <v>22</v>
      </c>
      <c r="IB95" s="8"/>
      <c r="IC95" s="6" t="str">
        <f t="shared" si="36"/>
        <v>RO_Data[2].STEP_DESC[</v>
      </c>
      <c r="ID95" s="23">
        <v>90</v>
      </c>
      <c r="IE95" s="113" t="s">
        <v>22</v>
      </c>
    </row>
    <row r="96" spans="1:239" x14ac:dyDescent="0.25">
      <c r="A96" s="8">
        <v>91</v>
      </c>
      <c r="B96" s="8" t="str">
        <f t="shared" si="24"/>
        <v/>
      </c>
      <c r="C96" s="8"/>
      <c r="D96" s="6" t="str">
        <f t="shared" si="25"/>
        <v>RO_Data[2].ACK_DESC[</v>
      </c>
      <c r="E96" s="23">
        <v>91</v>
      </c>
      <c r="F96" s="113" t="s">
        <v>22</v>
      </c>
      <c r="G96" s="169">
        <v>0</v>
      </c>
      <c r="H96" s="6" t="str">
        <f t="shared" si="26"/>
        <v>RO_Data[2].MIN[</v>
      </c>
      <c r="I96" s="23">
        <v>91</v>
      </c>
      <c r="J96" s="113" t="s">
        <v>22</v>
      </c>
      <c r="K96" s="169">
        <v>0</v>
      </c>
      <c r="L96" s="6" t="str">
        <f t="shared" si="27"/>
        <v>RO_Data[2].SEC[</v>
      </c>
      <c r="M96" s="23">
        <v>91</v>
      </c>
      <c r="N96" s="27" t="s">
        <v>22</v>
      </c>
      <c r="O96" s="171">
        <v>0</v>
      </c>
      <c r="P96" s="6" t="str">
        <f t="shared" si="28"/>
        <v>RO_Data[2].SETPOINT[</v>
      </c>
      <c r="Q96" s="23">
        <v>91</v>
      </c>
      <c r="R96" s="113" t="s">
        <v>22</v>
      </c>
      <c r="S96" s="118" t="str">
        <f t="shared" si="29"/>
        <v/>
      </c>
      <c r="T96" s="16"/>
      <c r="U96" s="16"/>
      <c r="V96" s="16"/>
      <c r="W96" s="16"/>
      <c r="X96" s="16"/>
      <c r="Y96" s="57"/>
      <c r="Z96" s="57"/>
      <c r="AA96" s="57"/>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27" t="s">
        <v>22</v>
      </c>
      <c r="BD96" s="75"/>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27" t="s">
        <v>22</v>
      </c>
      <c r="CN96" s="75"/>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27" t="s">
        <v>22</v>
      </c>
      <c r="DX96" s="75"/>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3" t="s">
        <v>22</v>
      </c>
      <c r="FH96" s="116"/>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3" t="s">
        <v>22</v>
      </c>
      <c r="GR96" s="116"/>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27" t="s">
        <v>22</v>
      </c>
      <c r="IB96" s="8"/>
      <c r="IC96" s="6" t="str">
        <f t="shared" si="36"/>
        <v>RO_Data[2].STEP_DESC[</v>
      </c>
      <c r="ID96" s="23">
        <v>91</v>
      </c>
      <c r="IE96" s="113" t="s">
        <v>22</v>
      </c>
    </row>
    <row r="97" spans="1:239" x14ac:dyDescent="0.25">
      <c r="A97" s="8">
        <v>92</v>
      </c>
      <c r="B97" s="8" t="str">
        <f t="shared" si="24"/>
        <v/>
      </c>
      <c r="C97" s="8"/>
      <c r="D97" s="6" t="str">
        <f t="shared" si="25"/>
        <v>RO_Data[2].ACK_DESC[</v>
      </c>
      <c r="E97" s="23">
        <v>92</v>
      </c>
      <c r="F97" s="113" t="s">
        <v>22</v>
      </c>
      <c r="G97" s="169">
        <v>0</v>
      </c>
      <c r="H97" s="6" t="str">
        <f t="shared" si="26"/>
        <v>RO_Data[2].MIN[</v>
      </c>
      <c r="I97" s="23">
        <v>92</v>
      </c>
      <c r="J97" s="113" t="s">
        <v>22</v>
      </c>
      <c r="K97" s="169">
        <v>0</v>
      </c>
      <c r="L97" s="6" t="str">
        <f t="shared" si="27"/>
        <v>RO_Data[2].SEC[</v>
      </c>
      <c r="M97" s="23">
        <v>92</v>
      </c>
      <c r="N97" s="27" t="s">
        <v>22</v>
      </c>
      <c r="O97" s="171">
        <v>0</v>
      </c>
      <c r="P97" s="6" t="str">
        <f t="shared" si="28"/>
        <v>RO_Data[2].SETPOINT[</v>
      </c>
      <c r="Q97" s="23">
        <v>92</v>
      </c>
      <c r="R97" s="113" t="s">
        <v>22</v>
      </c>
      <c r="S97" s="118" t="str">
        <f t="shared" si="29"/>
        <v/>
      </c>
      <c r="T97" s="16"/>
      <c r="U97" s="16"/>
      <c r="V97" s="16"/>
      <c r="W97" s="16"/>
      <c r="X97" s="16"/>
      <c r="Y97" s="57"/>
      <c r="Z97" s="57"/>
      <c r="AA97" s="57"/>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27" t="s">
        <v>22</v>
      </c>
      <c r="BD97" s="75"/>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27" t="s">
        <v>22</v>
      </c>
      <c r="CN97" s="75"/>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27" t="s">
        <v>22</v>
      </c>
      <c r="DX97" s="75"/>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3" t="s">
        <v>22</v>
      </c>
      <c r="FH97" s="116"/>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3" t="s">
        <v>22</v>
      </c>
      <c r="GR97" s="116"/>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27" t="s">
        <v>22</v>
      </c>
      <c r="IB97" s="8"/>
      <c r="IC97" s="6" t="str">
        <f t="shared" si="36"/>
        <v>RO_Data[2].STEP_DESC[</v>
      </c>
      <c r="ID97" s="23">
        <v>92</v>
      </c>
      <c r="IE97" s="113" t="s">
        <v>22</v>
      </c>
    </row>
    <row r="98" spans="1:239" x14ac:dyDescent="0.25">
      <c r="A98" s="8">
        <v>93</v>
      </c>
      <c r="B98" s="8" t="str">
        <f t="shared" si="24"/>
        <v/>
      </c>
      <c r="C98" s="8"/>
      <c r="D98" s="6" t="str">
        <f t="shared" si="25"/>
        <v>RO_Data[2].ACK_DESC[</v>
      </c>
      <c r="E98" s="23">
        <v>93</v>
      </c>
      <c r="F98" s="113" t="s">
        <v>22</v>
      </c>
      <c r="G98" s="169">
        <v>0</v>
      </c>
      <c r="H98" s="6" t="str">
        <f t="shared" si="26"/>
        <v>RO_Data[2].MIN[</v>
      </c>
      <c r="I98" s="23">
        <v>93</v>
      </c>
      <c r="J98" s="113" t="s">
        <v>22</v>
      </c>
      <c r="K98" s="169">
        <v>0</v>
      </c>
      <c r="L98" s="6" t="str">
        <f t="shared" si="27"/>
        <v>RO_Data[2].SEC[</v>
      </c>
      <c r="M98" s="23">
        <v>93</v>
      </c>
      <c r="N98" s="27" t="s">
        <v>22</v>
      </c>
      <c r="O98" s="171">
        <v>0</v>
      </c>
      <c r="P98" s="6" t="str">
        <f t="shared" si="28"/>
        <v>RO_Data[2].SETPOINT[</v>
      </c>
      <c r="Q98" s="23">
        <v>93</v>
      </c>
      <c r="R98" s="113" t="s">
        <v>22</v>
      </c>
      <c r="S98" s="118" t="str">
        <f t="shared" si="29"/>
        <v/>
      </c>
      <c r="T98" s="16"/>
      <c r="U98" s="16"/>
      <c r="V98" s="16"/>
      <c r="W98" s="16"/>
      <c r="X98" s="16"/>
      <c r="Y98" s="57"/>
      <c r="Z98" s="57"/>
      <c r="AA98" s="57"/>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27" t="s">
        <v>22</v>
      </c>
      <c r="BD98" s="75"/>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27" t="s">
        <v>22</v>
      </c>
      <c r="CN98" s="75"/>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27" t="s">
        <v>22</v>
      </c>
      <c r="DX98" s="75"/>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3" t="s">
        <v>22</v>
      </c>
      <c r="FH98" s="116"/>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3" t="s">
        <v>22</v>
      </c>
      <c r="GR98" s="116"/>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27" t="s">
        <v>22</v>
      </c>
      <c r="IB98" s="8"/>
      <c r="IC98" s="6" t="str">
        <f t="shared" si="36"/>
        <v>RO_Data[2].STEP_DESC[</v>
      </c>
      <c r="ID98" s="23">
        <v>93</v>
      </c>
      <c r="IE98" s="113" t="s">
        <v>22</v>
      </c>
    </row>
    <row r="99" spans="1:239" x14ac:dyDescent="0.25">
      <c r="A99" s="8">
        <v>94</v>
      </c>
      <c r="B99" s="8" t="str">
        <f t="shared" si="24"/>
        <v/>
      </c>
      <c r="C99" s="8"/>
      <c r="D99" s="6" t="str">
        <f t="shared" si="25"/>
        <v>RO_Data[2].ACK_DESC[</v>
      </c>
      <c r="E99" s="23">
        <v>94</v>
      </c>
      <c r="F99" s="113" t="s">
        <v>22</v>
      </c>
      <c r="G99" s="169">
        <v>0</v>
      </c>
      <c r="H99" s="6" t="str">
        <f t="shared" si="26"/>
        <v>RO_Data[2].MIN[</v>
      </c>
      <c r="I99" s="23">
        <v>94</v>
      </c>
      <c r="J99" s="113" t="s">
        <v>22</v>
      </c>
      <c r="K99" s="169">
        <v>0</v>
      </c>
      <c r="L99" s="6" t="str">
        <f t="shared" si="27"/>
        <v>RO_Data[2].SEC[</v>
      </c>
      <c r="M99" s="23">
        <v>94</v>
      </c>
      <c r="N99" s="27" t="s">
        <v>22</v>
      </c>
      <c r="O99" s="171">
        <v>0</v>
      </c>
      <c r="P99" s="6" t="str">
        <f t="shared" si="28"/>
        <v>RO_Data[2].SETPOINT[</v>
      </c>
      <c r="Q99" s="23">
        <v>94</v>
      </c>
      <c r="R99" s="113" t="s">
        <v>22</v>
      </c>
      <c r="S99" s="118" t="str">
        <f t="shared" si="29"/>
        <v/>
      </c>
      <c r="T99" s="16"/>
      <c r="U99" s="16"/>
      <c r="V99" s="16"/>
      <c r="W99" s="16"/>
      <c r="X99" s="16"/>
      <c r="Y99" s="57"/>
      <c r="Z99" s="57"/>
      <c r="AA99" s="57"/>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27" t="s">
        <v>22</v>
      </c>
      <c r="BD99" s="75"/>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27" t="s">
        <v>22</v>
      </c>
      <c r="CN99" s="75"/>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27" t="s">
        <v>22</v>
      </c>
      <c r="DX99" s="75"/>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3" t="s">
        <v>22</v>
      </c>
      <c r="FH99" s="116"/>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3" t="s">
        <v>22</v>
      </c>
      <c r="GR99" s="116"/>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27" t="s">
        <v>22</v>
      </c>
      <c r="IB99" s="8"/>
      <c r="IC99" s="6" t="str">
        <f t="shared" si="36"/>
        <v>RO_Data[2].STEP_DESC[</v>
      </c>
      <c r="ID99" s="23">
        <v>94</v>
      </c>
      <c r="IE99" s="113" t="s">
        <v>22</v>
      </c>
    </row>
    <row r="100" spans="1:239" x14ac:dyDescent="0.25">
      <c r="A100" s="8">
        <v>95</v>
      </c>
      <c r="B100" s="8" t="str">
        <f t="shared" si="24"/>
        <v/>
      </c>
      <c r="C100" s="8"/>
      <c r="D100" s="6" t="str">
        <f t="shared" si="25"/>
        <v>RO_Data[2].ACK_DESC[</v>
      </c>
      <c r="E100" s="23">
        <v>95</v>
      </c>
      <c r="F100" s="113" t="s">
        <v>22</v>
      </c>
      <c r="G100" s="169">
        <v>0</v>
      </c>
      <c r="H100" s="6" t="str">
        <f t="shared" si="26"/>
        <v>RO_Data[2].MIN[</v>
      </c>
      <c r="I100" s="23">
        <v>95</v>
      </c>
      <c r="J100" s="113" t="s">
        <v>22</v>
      </c>
      <c r="K100" s="169">
        <v>0</v>
      </c>
      <c r="L100" s="6" t="str">
        <f t="shared" si="27"/>
        <v>RO_Data[2].SEC[</v>
      </c>
      <c r="M100" s="23">
        <v>95</v>
      </c>
      <c r="N100" s="27" t="s">
        <v>22</v>
      </c>
      <c r="O100" s="171">
        <v>0</v>
      </c>
      <c r="P100" s="6" t="str">
        <f t="shared" si="28"/>
        <v>RO_Data[2].SETPOINT[</v>
      </c>
      <c r="Q100" s="23">
        <v>95</v>
      </c>
      <c r="R100" s="113" t="s">
        <v>22</v>
      </c>
      <c r="S100" s="118" t="str">
        <f t="shared" si="29"/>
        <v/>
      </c>
      <c r="T100" s="16"/>
      <c r="U100" s="16"/>
      <c r="V100" s="16"/>
      <c r="W100" s="16"/>
      <c r="X100" s="16"/>
      <c r="Y100" s="57"/>
      <c r="Z100" s="57"/>
      <c r="AA100" s="57"/>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27" t="s">
        <v>22</v>
      </c>
      <c r="BD100" s="75"/>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27" t="s">
        <v>22</v>
      </c>
      <c r="CN100" s="75"/>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27" t="s">
        <v>22</v>
      </c>
      <c r="DX100" s="75"/>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3" t="s">
        <v>22</v>
      </c>
      <c r="FH100" s="116"/>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3" t="s">
        <v>22</v>
      </c>
      <c r="GR100" s="116"/>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27" t="s">
        <v>22</v>
      </c>
      <c r="IB100" s="8"/>
      <c r="IC100" s="6" t="str">
        <f t="shared" si="36"/>
        <v>RO_Data[2].STEP_DESC[</v>
      </c>
      <c r="ID100" s="23">
        <v>95</v>
      </c>
      <c r="IE100" s="113" t="s">
        <v>22</v>
      </c>
    </row>
    <row r="101" spans="1:239" x14ac:dyDescent="0.25">
      <c r="A101" s="8">
        <v>96</v>
      </c>
      <c r="B101" s="8" t="str">
        <f t="shared" si="24"/>
        <v/>
      </c>
      <c r="C101" s="8"/>
      <c r="D101" s="6" t="str">
        <f t="shared" si="25"/>
        <v>RO_Data[2].ACK_DESC[</v>
      </c>
      <c r="E101" s="23">
        <v>96</v>
      </c>
      <c r="F101" s="113" t="s">
        <v>22</v>
      </c>
      <c r="G101" s="169">
        <v>0</v>
      </c>
      <c r="H101" s="6" t="str">
        <f t="shared" si="26"/>
        <v>RO_Data[2].MIN[</v>
      </c>
      <c r="I101" s="23">
        <v>96</v>
      </c>
      <c r="J101" s="113" t="s">
        <v>22</v>
      </c>
      <c r="K101" s="169">
        <v>0</v>
      </c>
      <c r="L101" s="6" t="str">
        <f t="shared" si="27"/>
        <v>RO_Data[2].SEC[</v>
      </c>
      <c r="M101" s="23">
        <v>96</v>
      </c>
      <c r="N101" s="27" t="s">
        <v>22</v>
      </c>
      <c r="O101" s="171">
        <v>0</v>
      </c>
      <c r="P101" s="6" t="str">
        <f t="shared" si="28"/>
        <v>RO_Data[2].SETPOINT[</v>
      </c>
      <c r="Q101" s="23">
        <v>96</v>
      </c>
      <c r="R101" s="113" t="s">
        <v>22</v>
      </c>
      <c r="S101" s="118" t="str">
        <f t="shared" si="29"/>
        <v/>
      </c>
      <c r="T101" s="16"/>
      <c r="U101" s="16"/>
      <c r="V101" s="16"/>
      <c r="W101" s="16"/>
      <c r="X101" s="16"/>
      <c r="Y101" s="57"/>
      <c r="Z101" s="57"/>
      <c r="AA101" s="57"/>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27" t="s">
        <v>22</v>
      </c>
      <c r="BD101" s="75"/>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27" t="s">
        <v>22</v>
      </c>
      <c r="CN101" s="75"/>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27" t="s">
        <v>22</v>
      </c>
      <c r="DX101" s="75"/>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3" t="s">
        <v>22</v>
      </c>
      <c r="FH101" s="116"/>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3" t="s">
        <v>22</v>
      </c>
      <c r="GR101" s="116"/>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27" t="s">
        <v>22</v>
      </c>
      <c r="IB101" s="8"/>
      <c r="IC101" s="6" t="str">
        <f t="shared" si="36"/>
        <v>RO_Data[2].STEP_DESC[</v>
      </c>
      <c r="ID101" s="23">
        <v>96</v>
      </c>
      <c r="IE101" s="113" t="s">
        <v>22</v>
      </c>
    </row>
    <row r="102" spans="1:239" x14ac:dyDescent="0.25">
      <c r="A102" s="8">
        <v>97</v>
      </c>
      <c r="B102" s="8" t="str">
        <f t="shared" si="24"/>
        <v/>
      </c>
      <c r="C102" s="8"/>
      <c r="D102" s="6" t="str">
        <f t="shared" si="25"/>
        <v>RO_Data[2].ACK_DESC[</v>
      </c>
      <c r="E102" s="23">
        <v>97</v>
      </c>
      <c r="F102" s="113" t="s">
        <v>22</v>
      </c>
      <c r="G102" s="169">
        <v>0</v>
      </c>
      <c r="H102" s="6" t="str">
        <f t="shared" si="26"/>
        <v>RO_Data[2].MIN[</v>
      </c>
      <c r="I102" s="23">
        <v>97</v>
      </c>
      <c r="J102" s="113" t="s">
        <v>22</v>
      </c>
      <c r="K102" s="169">
        <v>0</v>
      </c>
      <c r="L102" s="6" t="str">
        <f t="shared" si="27"/>
        <v>RO_Data[2].SEC[</v>
      </c>
      <c r="M102" s="23">
        <v>97</v>
      </c>
      <c r="N102" s="27" t="s">
        <v>22</v>
      </c>
      <c r="O102" s="171">
        <v>0</v>
      </c>
      <c r="P102" s="6" t="str">
        <f t="shared" si="28"/>
        <v>RO_Data[2].SETPOINT[</v>
      </c>
      <c r="Q102" s="23">
        <v>97</v>
      </c>
      <c r="R102" s="113" t="s">
        <v>22</v>
      </c>
      <c r="S102" s="118" t="str">
        <f t="shared" si="29"/>
        <v/>
      </c>
      <c r="T102" s="16"/>
      <c r="U102" s="16"/>
      <c r="V102" s="16"/>
      <c r="W102" s="16"/>
      <c r="X102" s="16"/>
      <c r="Y102" s="57"/>
      <c r="Z102" s="57"/>
      <c r="AA102" s="57"/>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27" t="s">
        <v>22</v>
      </c>
      <c r="BD102" s="75"/>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27" t="s">
        <v>22</v>
      </c>
      <c r="CN102" s="75"/>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27" t="s">
        <v>22</v>
      </c>
      <c r="DX102" s="75"/>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3" t="s">
        <v>22</v>
      </c>
      <c r="FH102" s="116"/>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3" t="s">
        <v>22</v>
      </c>
      <c r="GR102" s="116"/>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27" t="s">
        <v>22</v>
      </c>
      <c r="IB102" s="8"/>
      <c r="IC102" s="6" t="str">
        <f t="shared" si="36"/>
        <v>RO_Data[2].STEP_DESC[</v>
      </c>
      <c r="ID102" s="23">
        <v>97</v>
      </c>
      <c r="IE102" s="113" t="s">
        <v>22</v>
      </c>
    </row>
    <row r="103" spans="1:239" x14ac:dyDescent="0.25">
      <c r="A103" s="8">
        <v>98</v>
      </c>
      <c r="B103" s="8" t="str">
        <f t="shared" si="24"/>
        <v/>
      </c>
      <c r="C103" s="8"/>
      <c r="D103" s="6" t="str">
        <f t="shared" si="25"/>
        <v>RO_Data[2].ACK_DESC[</v>
      </c>
      <c r="E103" s="23">
        <v>98</v>
      </c>
      <c r="F103" s="113" t="s">
        <v>22</v>
      </c>
      <c r="G103" s="169">
        <v>0</v>
      </c>
      <c r="H103" s="6" t="str">
        <f t="shared" si="26"/>
        <v>RO_Data[2].MIN[</v>
      </c>
      <c r="I103" s="23">
        <v>98</v>
      </c>
      <c r="J103" s="113" t="s">
        <v>22</v>
      </c>
      <c r="K103" s="169">
        <v>0</v>
      </c>
      <c r="L103" s="6" t="str">
        <f t="shared" si="27"/>
        <v>RO_Data[2].SEC[</v>
      </c>
      <c r="M103" s="23">
        <v>98</v>
      </c>
      <c r="N103" s="27" t="s">
        <v>22</v>
      </c>
      <c r="O103" s="171">
        <v>0</v>
      </c>
      <c r="P103" s="6" t="str">
        <f t="shared" si="28"/>
        <v>RO_Data[2].SETPOINT[</v>
      </c>
      <c r="Q103" s="23">
        <v>98</v>
      </c>
      <c r="R103" s="113" t="s">
        <v>22</v>
      </c>
      <c r="S103" s="118" t="str">
        <f t="shared" si="29"/>
        <v/>
      </c>
      <c r="T103" s="16"/>
      <c r="U103" s="16"/>
      <c r="V103" s="16"/>
      <c r="W103" s="16"/>
      <c r="X103" s="16"/>
      <c r="Y103" s="57"/>
      <c r="Z103" s="57"/>
      <c r="AA103" s="57"/>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27" t="s">
        <v>22</v>
      </c>
      <c r="BD103" s="75"/>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27" t="s">
        <v>22</v>
      </c>
      <c r="CN103" s="75"/>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27" t="s">
        <v>22</v>
      </c>
      <c r="DX103" s="75"/>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3" t="s">
        <v>22</v>
      </c>
      <c r="FH103" s="116"/>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3" t="s">
        <v>22</v>
      </c>
      <c r="GR103" s="116"/>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27" t="s">
        <v>22</v>
      </c>
      <c r="IB103" s="8"/>
      <c r="IC103" s="6" t="str">
        <f t="shared" si="36"/>
        <v>RO_Data[2].STEP_DESC[</v>
      </c>
      <c r="ID103" s="23">
        <v>98</v>
      </c>
      <c r="IE103" s="113" t="s">
        <v>22</v>
      </c>
    </row>
    <row r="104" spans="1:239" ht="15.75" thickBot="1" x14ac:dyDescent="0.3">
      <c r="A104" s="53">
        <v>99</v>
      </c>
      <c r="B104" s="53" t="str">
        <f t="shared" si="24"/>
        <v/>
      </c>
      <c r="C104" s="53"/>
      <c r="D104" s="51" t="str">
        <f t="shared" si="25"/>
        <v>RO_Data[2].ACK_DESC[</v>
      </c>
      <c r="E104" s="52">
        <v>99</v>
      </c>
      <c r="F104" s="55" t="s">
        <v>22</v>
      </c>
      <c r="G104" s="170">
        <v>0</v>
      </c>
      <c r="H104" s="51" t="str">
        <f t="shared" si="26"/>
        <v>RO_Data[2].MIN[</v>
      </c>
      <c r="I104" s="52">
        <v>99</v>
      </c>
      <c r="J104" s="55" t="s">
        <v>22</v>
      </c>
      <c r="K104" s="170">
        <v>0</v>
      </c>
      <c r="L104" s="51" t="str">
        <f t="shared" si="27"/>
        <v>RO_Data[2].SEC[</v>
      </c>
      <c r="M104" s="52">
        <v>99</v>
      </c>
      <c r="N104" s="55" t="s">
        <v>22</v>
      </c>
      <c r="O104" s="172">
        <v>0</v>
      </c>
      <c r="P104" s="51" t="str">
        <f t="shared" si="28"/>
        <v>RO_Data[2].SETPOINT[</v>
      </c>
      <c r="Q104" s="52">
        <v>99</v>
      </c>
      <c r="R104" s="55" t="s">
        <v>22</v>
      </c>
      <c r="S104" s="119" t="str">
        <f t="shared" si="29"/>
        <v/>
      </c>
      <c r="T104" s="82"/>
      <c r="U104" s="82"/>
      <c r="V104" s="82"/>
      <c r="W104" s="82"/>
      <c r="X104" s="82"/>
      <c r="Y104" s="83"/>
      <c r="Z104" s="83"/>
      <c r="AA104" s="83"/>
      <c r="AB104" s="82"/>
      <c r="AC104" s="82"/>
      <c r="AD104" s="82"/>
      <c r="AE104" s="82"/>
      <c r="AF104" s="82"/>
      <c r="AG104" s="82"/>
      <c r="AH104" s="82"/>
      <c r="AI104" s="82"/>
      <c r="AJ104" s="82"/>
      <c r="AK104" s="82"/>
      <c r="AL104" s="82"/>
      <c r="AM104" s="82"/>
      <c r="AN104" s="82"/>
      <c r="AO104" s="82"/>
      <c r="AP104" s="82"/>
      <c r="AQ104" s="82"/>
      <c r="AR104" s="82"/>
      <c r="AS104" s="82"/>
      <c r="AT104" s="82"/>
      <c r="AU104" s="82"/>
      <c r="AV104" s="82"/>
      <c r="AW104" s="82"/>
      <c r="AX104" s="82"/>
      <c r="AY104" s="84"/>
      <c r="AZ104" s="53">
        <f t="array" ref="AZ104">Bin2DecRange($T104:$AY104)</f>
        <v>0</v>
      </c>
      <c r="BA104" s="51" t="str">
        <f t="shared" si="30"/>
        <v>RO_Data[2].COND1[</v>
      </c>
      <c r="BB104" s="52">
        <v>99</v>
      </c>
      <c r="BC104" s="55" t="s">
        <v>22</v>
      </c>
      <c r="BD104" s="85"/>
      <c r="BE104" s="82"/>
      <c r="BF104" s="82"/>
      <c r="BG104" s="82"/>
      <c r="BH104" s="82"/>
      <c r="BI104" s="82"/>
      <c r="BJ104" s="82"/>
      <c r="BK104" s="82"/>
      <c r="BL104" s="82"/>
      <c r="BM104" s="82"/>
      <c r="BN104" s="82"/>
      <c r="BO104" s="82"/>
      <c r="BP104" s="82"/>
      <c r="BQ104" s="82"/>
      <c r="BR104" s="82"/>
      <c r="BS104" s="82"/>
      <c r="BT104" s="82"/>
      <c r="BU104" s="82"/>
      <c r="BV104" s="82"/>
      <c r="BW104" s="82"/>
      <c r="BX104" s="82"/>
      <c r="BY104" s="82"/>
      <c r="BZ104" s="82"/>
      <c r="CA104" s="82"/>
      <c r="CB104" s="82"/>
      <c r="CC104" s="82"/>
      <c r="CD104" s="82"/>
      <c r="CE104" s="82"/>
      <c r="CF104" s="82"/>
      <c r="CG104" s="82"/>
      <c r="CH104" s="82"/>
      <c r="CI104" s="84"/>
      <c r="CJ104" s="53" cm="1">
        <f t="array" ref="CJ104">Bin2DecRange($BD104:$CI104)</f>
        <v>0</v>
      </c>
      <c r="CK104" s="51" t="str">
        <f t="shared" si="31"/>
        <v>RO_Data[2].COND2[</v>
      </c>
      <c r="CL104" s="52">
        <v>99</v>
      </c>
      <c r="CM104" s="55" t="s">
        <v>22</v>
      </c>
      <c r="CN104" s="85"/>
      <c r="CO104" s="82"/>
      <c r="CP104" s="82"/>
      <c r="CQ104" s="82"/>
      <c r="CR104" s="82"/>
      <c r="CS104" s="82"/>
      <c r="CT104" s="82"/>
      <c r="CU104" s="82"/>
      <c r="CV104" s="82"/>
      <c r="CW104" s="82"/>
      <c r="CX104" s="82"/>
      <c r="CY104" s="82"/>
      <c r="CZ104" s="82"/>
      <c r="DA104" s="82"/>
      <c r="DB104" s="82"/>
      <c r="DC104" s="82"/>
      <c r="DD104" s="82"/>
      <c r="DE104" s="82"/>
      <c r="DF104" s="82"/>
      <c r="DG104" s="82"/>
      <c r="DH104" s="82"/>
      <c r="DI104" s="82"/>
      <c r="DJ104" s="82"/>
      <c r="DK104" s="82"/>
      <c r="DL104" s="82"/>
      <c r="DM104" s="82"/>
      <c r="DN104" s="82"/>
      <c r="DO104" s="82"/>
      <c r="DP104" s="82"/>
      <c r="DQ104" s="82"/>
      <c r="DR104" s="82"/>
      <c r="DS104" s="84"/>
      <c r="DT104" s="53" cm="1">
        <f t="array" ref="DT104">Bin2DecRange($CN104:$DS104)</f>
        <v>0</v>
      </c>
      <c r="DU104" s="51" t="str">
        <f t="shared" si="32"/>
        <v>RO_Data[2].COND3[</v>
      </c>
      <c r="DV104" s="52">
        <v>99</v>
      </c>
      <c r="DW104" s="55" t="s">
        <v>22</v>
      </c>
      <c r="DX104" s="85"/>
      <c r="DY104" s="82"/>
      <c r="DZ104" s="82"/>
      <c r="EA104" s="82"/>
      <c r="EB104" s="82"/>
      <c r="EC104" s="82"/>
      <c r="ED104" s="82"/>
      <c r="EE104" s="82"/>
      <c r="EF104" s="82"/>
      <c r="EG104" s="82"/>
      <c r="EH104" s="82"/>
      <c r="EI104" s="82"/>
      <c r="EJ104" s="82"/>
      <c r="EK104" s="82"/>
      <c r="EL104" s="82"/>
      <c r="EM104" s="82"/>
      <c r="EN104" s="82"/>
      <c r="EO104" s="82"/>
      <c r="EP104" s="82"/>
      <c r="EQ104" s="82"/>
      <c r="ER104" s="82"/>
      <c r="ES104" s="82"/>
      <c r="ET104" s="82"/>
      <c r="EU104" s="82"/>
      <c r="EV104" s="82"/>
      <c r="EW104" s="82"/>
      <c r="EX104" s="82"/>
      <c r="EY104" s="82"/>
      <c r="EZ104" s="82"/>
      <c r="FA104" s="82"/>
      <c r="FB104" s="82"/>
      <c r="FC104" s="84"/>
      <c r="FD104" s="53">
        <f t="array" ref="FD104">Bin2DecRange($DX104:$FC104)</f>
        <v>0</v>
      </c>
      <c r="FE104" s="51" t="str">
        <f t="shared" si="33"/>
        <v>RO_Data[2].ACT1[</v>
      </c>
      <c r="FF104" s="52">
        <v>99</v>
      </c>
      <c r="FG104" s="55" t="s">
        <v>22</v>
      </c>
      <c r="FH104" s="117"/>
      <c r="FI104" s="82"/>
      <c r="FJ104" s="82"/>
      <c r="FK104" s="82"/>
      <c r="FL104" s="82"/>
      <c r="FM104" s="82"/>
      <c r="FN104" s="82"/>
      <c r="FO104" s="82"/>
      <c r="FP104" s="82"/>
      <c r="FQ104" s="82"/>
      <c r="FR104" s="82"/>
      <c r="FS104" s="82"/>
      <c r="FT104" s="82"/>
      <c r="FU104" s="82"/>
      <c r="FV104" s="82"/>
      <c r="FW104" s="82"/>
      <c r="FX104" s="82"/>
      <c r="FY104" s="82"/>
      <c r="FZ104" s="82"/>
      <c r="GA104" s="82"/>
      <c r="GB104" s="82"/>
      <c r="GC104" s="82"/>
      <c r="GD104" s="82"/>
      <c r="GE104" s="82"/>
      <c r="GF104" s="82"/>
      <c r="GG104" s="82"/>
      <c r="GH104" s="82"/>
      <c r="GI104" s="82"/>
      <c r="GJ104" s="82"/>
      <c r="GK104" s="82"/>
      <c r="GL104" s="82"/>
      <c r="GM104" s="84"/>
      <c r="GN104" s="53" cm="1">
        <f t="array" ref="GN104">Bin2DecRange($FH104:$GM104)</f>
        <v>0</v>
      </c>
      <c r="GO104" s="51" t="str">
        <f t="shared" si="34"/>
        <v>RO_Data[2].ACT5[</v>
      </c>
      <c r="GP104" s="52">
        <v>99</v>
      </c>
      <c r="GQ104" s="55" t="s">
        <v>22</v>
      </c>
      <c r="GR104" s="117"/>
      <c r="GS104" s="82"/>
      <c r="GT104" s="82"/>
      <c r="GU104" s="82"/>
      <c r="GV104" s="82"/>
      <c r="GW104" s="82"/>
      <c r="GX104" s="82"/>
      <c r="GY104" s="82"/>
      <c r="GZ104" s="82"/>
      <c r="HA104" s="82"/>
      <c r="HB104" s="82"/>
      <c r="HC104" s="82"/>
      <c r="HD104" s="82"/>
      <c r="HE104" s="82"/>
      <c r="HF104" s="82"/>
      <c r="HG104" s="82"/>
      <c r="HH104" s="82"/>
      <c r="HI104" s="82"/>
      <c r="HJ104" s="82"/>
      <c r="HK104" s="82"/>
      <c r="HL104" s="82"/>
      <c r="HM104" s="82"/>
      <c r="HN104" s="82"/>
      <c r="HO104" s="82"/>
      <c r="HP104" s="82"/>
      <c r="HQ104" s="82"/>
      <c r="HR104" s="82"/>
      <c r="HS104" s="82"/>
      <c r="HT104" s="82"/>
      <c r="HU104" s="82"/>
      <c r="HV104" s="82"/>
      <c r="HW104" s="84"/>
      <c r="HX104" s="53" cm="1">
        <f t="array" ref="HX104">Bin2DecRange($GR104:$HW104)</f>
        <v>0</v>
      </c>
      <c r="HY104" s="51" t="str">
        <f t="shared" si="35"/>
        <v>RO_Data[2].ACT6[</v>
      </c>
      <c r="HZ104" s="52">
        <v>99</v>
      </c>
      <c r="IA104" s="55" t="s">
        <v>22</v>
      </c>
      <c r="IB104" s="53"/>
      <c r="IC104" s="51" t="str">
        <f t="shared" si="36"/>
        <v>RO_Data[2].STEP_DESC[</v>
      </c>
      <c r="ID104" s="52">
        <v>99</v>
      </c>
      <c r="IE104" s="55"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17F6D-1FD5-4C0E-9C67-77D4E98F1B38}">
          <x14:formula1>
            <xm:f>'Main Program'!$B$32:$B$37</xm:f>
          </x14:formula1>
          <xm:sqref>AZ3 HX3 K3 O3 G3 GN3 FD3 CJ3 C3 IB3 DT3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90DB-3552-4F81-B503-812B566FD9B3}">
  <sheetPr codeName="Sheet5"/>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L23" sqref="L23"/>
    </sheetView>
  </sheetViews>
  <sheetFormatPr defaultRowHeight="15" x14ac:dyDescent="0.25"/>
  <cols>
    <col min="1" max="1" width="6.7109375" style="72" bestFit="1" customWidth="1"/>
    <col min="2" max="2" width="45" style="72" bestFit="1" customWidth="1"/>
    <col min="3" max="3" width="26.5703125" style="72" customWidth="1"/>
    <col min="4" max="4" width="22.5703125" style="72" customWidth="1"/>
    <col min="5" max="5" width="4.42578125" style="25" bestFit="1" customWidth="1"/>
    <col min="6" max="6" width="1.85546875" style="72" customWidth="1"/>
    <col min="7" max="7" width="12.42578125" style="72" customWidth="1"/>
    <col min="8" max="8" width="17.140625" style="72" customWidth="1"/>
    <col min="9" max="9" width="4.42578125" style="25" bestFit="1" customWidth="1"/>
    <col min="10" max="10" width="1.7109375" style="72" customWidth="1"/>
    <col min="11" max="11" width="12.42578125" style="72" customWidth="1"/>
    <col min="12" max="12" width="16.42578125" style="72" customWidth="1"/>
    <col min="13" max="13" width="4.42578125" style="25" bestFit="1" customWidth="1"/>
    <col min="14" max="14" width="1.7109375" style="72" customWidth="1"/>
    <col min="15" max="15" width="12.5703125" style="72" customWidth="1"/>
    <col min="16" max="16" width="22.140625" style="72" customWidth="1"/>
    <col min="17" max="17" width="4.42578125" style="25" bestFit="1" customWidth="1"/>
    <col min="18" max="18" width="2" style="72" bestFit="1" customWidth="1"/>
    <col min="19" max="19" width="3.5703125" style="72" customWidth="1"/>
    <col min="20" max="24" width="3" style="25" customWidth="1"/>
    <col min="25" max="27" width="3" style="59" customWidth="1"/>
    <col min="28" max="51" width="3" style="25" customWidth="1"/>
    <col min="52" max="52" width="12.7109375" style="72" bestFit="1" customWidth="1"/>
    <col min="53" max="53" width="20.140625" style="72" bestFit="1" customWidth="1"/>
    <col min="54" max="54" width="4.42578125" style="25" bestFit="1" customWidth="1"/>
    <col min="55" max="55" width="1.7109375" style="72" bestFit="1" customWidth="1"/>
    <col min="56" max="87" width="3" style="25" customWidth="1"/>
    <col min="88" max="88" width="11.85546875" style="72" bestFit="1" customWidth="1"/>
    <col min="89" max="89" width="19.7109375" style="72" bestFit="1" customWidth="1"/>
    <col min="90" max="90" width="4.42578125" style="25" bestFit="1" customWidth="1"/>
    <col min="91" max="91" width="1.7109375" style="72" bestFit="1" customWidth="1"/>
    <col min="92" max="123" width="3" style="25" customWidth="1"/>
    <col min="124" max="124" width="11.85546875" style="72" bestFit="1" customWidth="1"/>
    <col min="125" max="125" width="19.7109375" style="72" bestFit="1" customWidth="1"/>
    <col min="126" max="126" width="4.42578125" style="25" bestFit="1" customWidth="1"/>
    <col min="127" max="127" width="1.7109375" style="72" bestFit="1" customWidth="1"/>
    <col min="128" max="142" width="3" style="25" customWidth="1"/>
    <col min="143" max="143" width="3.140625" style="25" bestFit="1" customWidth="1"/>
    <col min="144" max="159" width="3" style="25" customWidth="1"/>
    <col min="160" max="160" width="11.5703125" style="72" bestFit="1" customWidth="1"/>
    <col min="161" max="161" width="17.85546875" style="72" bestFit="1" customWidth="1"/>
    <col min="162" max="162" width="4.42578125" style="25" bestFit="1" customWidth="1"/>
    <col min="163" max="163" width="1.85546875" style="72" bestFit="1" customWidth="1"/>
    <col min="164" max="178" width="3" style="25" customWidth="1"/>
    <col min="179" max="179" width="3.140625" style="25" bestFit="1" customWidth="1"/>
    <col min="180" max="195" width="3" style="25" customWidth="1"/>
    <col min="196" max="196" width="10.7109375" style="72" bestFit="1" customWidth="1"/>
    <col min="197" max="197" width="17.85546875" style="72" bestFit="1" customWidth="1"/>
    <col min="198" max="198" width="4.42578125" style="25" bestFit="1" customWidth="1"/>
    <col min="199" max="199" width="1.85546875" style="72" bestFit="1" customWidth="1"/>
    <col min="200" max="214" width="3" style="25" customWidth="1"/>
    <col min="215" max="215" width="3.140625" style="25" bestFit="1" customWidth="1"/>
    <col min="216" max="231" width="3" style="25" customWidth="1"/>
    <col min="232" max="232" width="10.7109375" style="72" bestFit="1" customWidth="1"/>
    <col min="233" max="233" width="17.85546875" style="72" bestFit="1" customWidth="1"/>
    <col min="234" max="234" width="4.42578125" style="25" bestFit="1" customWidth="1"/>
    <col min="235" max="235" width="1.85546875" style="72" bestFit="1" customWidth="1"/>
    <col min="236" max="236" width="39.28515625" style="72" customWidth="1"/>
    <col min="237" max="237" width="23.140625" style="72" bestFit="1" customWidth="1"/>
    <col min="238" max="238" width="4.42578125" style="25" bestFit="1" customWidth="1"/>
    <col min="239" max="239" width="1.85546875" style="72" bestFit="1" customWidth="1"/>
    <col min="240" max="16384" width="9.140625" style="72"/>
  </cols>
  <sheetData>
    <row r="1" spans="1:239" ht="15.75" customHeight="1" thickBot="1" x14ac:dyDescent="0.3">
      <c r="A1" s="216" t="s">
        <v>134</v>
      </c>
      <c r="B1" s="196"/>
      <c r="C1" s="196" t="s">
        <v>123</v>
      </c>
      <c r="D1" s="214"/>
      <c r="E1" s="214"/>
      <c r="F1" s="215"/>
      <c r="G1" s="196" t="s">
        <v>124</v>
      </c>
      <c r="H1" s="214"/>
      <c r="I1" s="214"/>
      <c r="J1" s="215"/>
      <c r="K1" s="196" t="s">
        <v>125</v>
      </c>
      <c r="L1" s="214"/>
      <c r="M1" s="214"/>
      <c r="N1" s="215"/>
      <c r="O1" s="196" t="s">
        <v>126</v>
      </c>
      <c r="P1" s="214"/>
      <c r="Q1" s="214"/>
      <c r="R1" s="215"/>
      <c r="S1" s="76"/>
      <c r="T1" s="217" t="s">
        <v>127</v>
      </c>
      <c r="U1" s="217"/>
      <c r="V1" s="217"/>
      <c r="W1" s="217"/>
      <c r="X1" s="217"/>
      <c r="Y1" s="217"/>
      <c r="Z1" s="217"/>
      <c r="AA1" s="217"/>
      <c r="AB1" s="217"/>
      <c r="AC1" s="217"/>
      <c r="AD1" s="217"/>
      <c r="AE1" s="217"/>
      <c r="AF1" s="217"/>
      <c r="AG1" s="217"/>
      <c r="AH1" s="217"/>
      <c r="AI1" s="217"/>
      <c r="AJ1" s="217"/>
      <c r="AK1" s="217"/>
      <c r="AL1" s="217"/>
      <c r="AM1" s="217"/>
      <c r="AN1" s="217"/>
      <c r="AO1" s="217"/>
      <c r="AP1" s="217"/>
      <c r="AQ1" s="217"/>
      <c r="AR1" s="217"/>
      <c r="AS1" s="217"/>
      <c r="AT1" s="217"/>
      <c r="AU1" s="217"/>
      <c r="AV1" s="217"/>
      <c r="AW1" s="217"/>
      <c r="AX1" s="217"/>
      <c r="AY1" s="217"/>
      <c r="AZ1" s="217"/>
      <c r="BA1" s="217"/>
      <c r="BB1" s="217"/>
      <c r="BC1" s="217"/>
      <c r="BD1" s="217" t="s">
        <v>128</v>
      </c>
      <c r="BE1" s="217"/>
      <c r="BF1" s="217"/>
      <c r="BG1" s="217"/>
      <c r="BH1" s="217"/>
      <c r="BI1" s="217"/>
      <c r="BJ1" s="217"/>
      <c r="BK1" s="217"/>
      <c r="BL1" s="217"/>
      <c r="BM1" s="217"/>
      <c r="BN1" s="217"/>
      <c r="BO1" s="217"/>
      <c r="BP1" s="217"/>
      <c r="BQ1" s="217"/>
      <c r="BR1" s="217"/>
      <c r="BS1" s="217"/>
      <c r="BT1" s="217"/>
      <c r="BU1" s="217"/>
      <c r="BV1" s="217"/>
      <c r="BW1" s="217"/>
      <c r="BX1" s="217"/>
      <c r="BY1" s="217"/>
      <c r="BZ1" s="217"/>
      <c r="CA1" s="217"/>
      <c r="CB1" s="217"/>
      <c r="CC1" s="217"/>
      <c r="CD1" s="217"/>
      <c r="CE1" s="217"/>
      <c r="CF1" s="217"/>
      <c r="CG1" s="217"/>
      <c r="CH1" s="217"/>
      <c r="CI1" s="217"/>
      <c r="CJ1" s="217"/>
      <c r="CK1" s="217"/>
      <c r="CL1" s="217"/>
      <c r="CM1" s="217"/>
      <c r="CN1" s="217" t="s">
        <v>129</v>
      </c>
      <c r="CO1" s="217"/>
      <c r="CP1" s="217"/>
      <c r="CQ1" s="217"/>
      <c r="CR1" s="217"/>
      <c r="CS1" s="217"/>
      <c r="CT1" s="217"/>
      <c r="CU1" s="217"/>
      <c r="CV1" s="217"/>
      <c r="CW1" s="217"/>
      <c r="CX1" s="217"/>
      <c r="CY1" s="217"/>
      <c r="CZ1" s="217"/>
      <c r="DA1" s="217"/>
      <c r="DB1" s="217"/>
      <c r="DC1" s="217"/>
      <c r="DD1" s="217"/>
      <c r="DE1" s="217"/>
      <c r="DF1" s="217"/>
      <c r="DG1" s="217"/>
      <c r="DH1" s="217"/>
      <c r="DI1" s="217"/>
      <c r="DJ1" s="217"/>
      <c r="DK1" s="217"/>
      <c r="DL1" s="217"/>
      <c r="DM1" s="217"/>
      <c r="DN1" s="217"/>
      <c r="DO1" s="217"/>
      <c r="DP1" s="217"/>
      <c r="DQ1" s="217"/>
      <c r="DR1" s="217"/>
      <c r="DS1" s="217"/>
      <c r="DT1" s="217"/>
      <c r="DU1" s="217"/>
      <c r="DV1" s="217"/>
      <c r="DW1" s="217"/>
      <c r="DX1" s="196" t="s">
        <v>130</v>
      </c>
      <c r="DY1" s="196"/>
      <c r="DZ1" s="196"/>
      <c r="EA1" s="196"/>
      <c r="EB1" s="196"/>
      <c r="EC1" s="196"/>
      <c r="ED1" s="196"/>
      <c r="EE1" s="196"/>
      <c r="EF1" s="196"/>
      <c r="EG1" s="196"/>
      <c r="EH1" s="196"/>
      <c r="EI1" s="196"/>
      <c r="EJ1" s="196"/>
      <c r="EK1" s="196"/>
      <c r="EL1" s="196"/>
      <c r="EM1" s="196"/>
      <c r="EN1" s="196"/>
      <c r="EO1" s="196"/>
      <c r="EP1" s="196"/>
      <c r="EQ1" s="196"/>
      <c r="ER1" s="196"/>
      <c r="ES1" s="196"/>
      <c r="ET1" s="196"/>
      <c r="EU1" s="196"/>
      <c r="EV1" s="196"/>
      <c r="EW1" s="196"/>
      <c r="EX1" s="196"/>
      <c r="EY1" s="196"/>
      <c r="EZ1" s="196"/>
      <c r="FA1" s="196"/>
      <c r="FB1" s="196"/>
      <c r="FC1" s="196"/>
      <c r="FD1" s="196"/>
      <c r="FE1" s="196"/>
      <c r="FF1" s="196"/>
      <c r="FG1" s="196"/>
      <c r="FH1" s="196" t="s">
        <v>131</v>
      </c>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t="s">
        <v>132</v>
      </c>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t="s">
        <v>133</v>
      </c>
      <c r="IC1" s="214"/>
      <c r="ID1" s="214"/>
      <c r="IE1" s="215"/>
    </row>
    <row r="2" spans="1:239" ht="312.75" thickBot="1" x14ac:dyDescent="0.3">
      <c r="A2" s="1"/>
      <c r="B2" s="2" t="s">
        <v>51</v>
      </c>
      <c r="C2" s="4" t="s">
        <v>109</v>
      </c>
      <c r="D2" s="209"/>
      <c r="E2" s="207"/>
      <c r="F2" s="227"/>
      <c r="G2" s="42" t="s">
        <v>107</v>
      </c>
      <c r="H2" s="218"/>
      <c r="I2" s="181"/>
      <c r="J2" s="226"/>
      <c r="K2" s="42" t="s">
        <v>110</v>
      </c>
      <c r="L2" s="218"/>
      <c r="M2" s="181"/>
      <c r="N2" s="226"/>
      <c r="O2" s="4" t="s">
        <v>106</v>
      </c>
      <c r="P2" s="219"/>
      <c r="Q2" s="181"/>
      <c r="R2" s="181"/>
      <c r="S2" s="60" t="s">
        <v>135</v>
      </c>
      <c r="T2" s="13" t="s">
        <v>24</v>
      </c>
      <c r="U2" s="14" t="s">
        <v>25</v>
      </c>
      <c r="V2" s="14"/>
      <c r="W2" s="14" t="s">
        <v>26</v>
      </c>
      <c r="X2" s="14" t="s">
        <v>27</v>
      </c>
      <c r="Y2" s="56" t="s">
        <v>136</v>
      </c>
      <c r="Z2" s="56" t="s">
        <v>137</v>
      </c>
      <c r="AA2" s="56" t="s">
        <v>138</v>
      </c>
      <c r="AB2" s="14" t="s">
        <v>28</v>
      </c>
      <c r="AC2" s="14" t="s">
        <v>29</v>
      </c>
      <c r="AD2" s="14" t="s">
        <v>30</v>
      </c>
      <c r="AE2" s="71" t="s">
        <v>31</v>
      </c>
      <c r="AF2" s="71" t="s">
        <v>139</v>
      </c>
      <c r="AG2" s="71" t="s">
        <v>32</v>
      </c>
      <c r="AH2" s="71" t="s">
        <v>33</v>
      </c>
      <c r="AI2" s="71" t="s">
        <v>34</v>
      </c>
      <c r="AJ2" s="71" t="s">
        <v>35</v>
      </c>
      <c r="AK2" s="71" t="s">
        <v>36</v>
      </c>
      <c r="AL2" s="71" t="s">
        <v>37</v>
      </c>
      <c r="AM2" s="71" t="s">
        <v>38</v>
      </c>
      <c r="AN2" s="71" t="s">
        <v>39</v>
      </c>
      <c r="AO2" s="71" t="s">
        <v>40</v>
      </c>
      <c r="AP2" s="71" t="s">
        <v>41</v>
      </c>
      <c r="AQ2" s="71" t="s">
        <v>42</v>
      </c>
      <c r="AR2" s="71" t="s">
        <v>43</v>
      </c>
      <c r="AS2" s="71" t="s">
        <v>44</v>
      </c>
      <c r="AT2" s="71" t="s">
        <v>45</v>
      </c>
      <c r="AU2" s="71" t="s">
        <v>46</v>
      </c>
      <c r="AV2" s="71" t="s">
        <v>47</v>
      </c>
      <c r="AW2" s="14" t="s">
        <v>48</v>
      </c>
      <c r="AX2" s="14" t="s">
        <v>49</v>
      </c>
      <c r="AY2" s="15" t="s">
        <v>50</v>
      </c>
      <c r="AZ2" s="2"/>
      <c r="BA2" s="205"/>
      <c r="BB2" s="197"/>
      <c r="BC2" s="198"/>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205"/>
      <c r="CL2" s="197"/>
      <c r="CM2" s="198"/>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205"/>
      <c r="DV2" s="197"/>
      <c r="DW2" s="198"/>
      <c r="DX2" s="48" t="s">
        <v>149</v>
      </c>
      <c r="DY2" s="44" t="s">
        <v>150</v>
      </c>
      <c r="DZ2" s="44" t="s">
        <v>151</v>
      </c>
      <c r="EA2" s="44" t="s">
        <v>152</v>
      </c>
      <c r="EB2" s="44" t="s">
        <v>153</v>
      </c>
      <c r="EC2" s="44" t="s">
        <v>154</v>
      </c>
      <c r="ED2" s="44" t="s">
        <v>155</v>
      </c>
      <c r="EE2" s="44" t="s">
        <v>156</v>
      </c>
      <c r="EF2" s="44" t="s">
        <v>157</v>
      </c>
      <c r="EG2" s="44" t="s">
        <v>158</v>
      </c>
      <c r="EH2" s="44" t="s">
        <v>159</v>
      </c>
      <c r="EI2" s="44" t="s">
        <v>160</v>
      </c>
      <c r="EJ2" s="44" t="s">
        <v>161</v>
      </c>
      <c r="EK2" s="44"/>
      <c r="EL2" s="44"/>
      <c r="EM2" s="44" t="s">
        <v>162</v>
      </c>
      <c r="EN2" s="44" t="s">
        <v>163</v>
      </c>
      <c r="EO2" s="44" t="s">
        <v>164</v>
      </c>
      <c r="EP2" s="44" t="s">
        <v>165</v>
      </c>
      <c r="EQ2" s="44" t="s">
        <v>166</v>
      </c>
      <c r="ER2" s="44"/>
      <c r="ES2" s="44"/>
      <c r="ET2" s="44" t="s">
        <v>167</v>
      </c>
      <c r="EU2" s="44"/>
      <c r="EV2" s="44"/>
      <c r="EW2" s="44"/>
      <c r="EX2" s="44"/>
      <c r="EY2" s="44" t="s">
        <v>168</v>
      </c>
      <c r="EZ2" s="44" t="s">
        <v>169</v>
      </c>
      <c r="FA2" s="44" t="s">
        <v>170</v>
      </c>
      <c r="FB2" s="44" t="s">
        <v>171</v>
      </c>
      <c r="FC2" s="45" t="s">
        <v>172</v>
      </c>
      <c r="FD2" s="2"/>
      <c r="FE2" s="206"/>
      <c r="FF2" s="207"/>
      <c r="FG2" s="207"/>
      <c r="FH2" s="50" t="s">
        <v>173</v>
      </c>
      <c r="FI2" s="44" t="s">
        <v>174</v>
      </c>
      <c r="FJ2" s="44" t="s">
        <v>175</v>
      </c>
      <c r="FK2" s="44" t="s">
        <v>176</v>
      </c>
      <c r="FL2" s="44" t="s">
        <v>177</v>
      </c>
      <c r="FM2" s="44"/>
      <c r="FN2" s="44"/>
      <c r="FO2" s="44"/>
      <c r="FP2" s="44"/>
      <c r="FQ2" s="44"/>
      <c r="FR2" s="44"/>
      <c r="FS2" s="44"/>
      <c r="FT2" s="44"/>
      <c r="FU2" s="44"/>
      <c r="FV2" s="44"/>
      <c r="FW2" s="44"/>
      <c r="FX2" s="44"/>
      <c r="FY2" s="44"/>
      <c r="FZ2" s="44"/>
      <c r="GA2" s="44"/>
      <c r="GB2" s="44"/>
      <c r="GC2" s="44"/>
      <c r="GD2" s="44"/>
      <c r="GE2" s="44" t="s">
        <v>178</v>
      </c>
      <c r="GF2" s="44" t="s">
        <v>179</v>
      </c>
      <c r="GG2" s="44" t="s">
        <v>180</v>
      </c>
      <c r="GH2" s="44" t="s">
        <v>181</v>
      </c>
      <c r="GI2" s="44" t="s">
        <v>182</v>
      </c>
      <c r="GJ2" s="44" t="s">
        <v>183</v>
      </c>
      <c r="GK2" s="44" t="s">
        <v>184</v>
      </c>
      <c r="GL2" s="44" t="s">
        <v>185</v>
      </c>
      <c r="GM2" s="45" t="s">
        <v>186</v>
      </c>
      <c r="GN2" s="2"/>
      <c r="GO2" s="206"/>
      <c r="GP2" s="207"/>
      <c r="GQ2" s="207"/>
      <c r="GR2" s="50"/>
      <c r="GS2" s="44" t="s">
        <v>187</v>
      </c>
      <c r="GT2" s="44" t="s">
        <v>188</v>
      </c>
      <c r="GU2" s="44" t="s">
        <v>189</v>
      </c>
      <c r="GV2" s="44" t="s">
        <v>190</v>
      </c>
      <c r="GW2" s="44" t="s">
        <v>191</v>
      </c>
      <c r="GX2" s="44" t="s">
        <v>192</v>
      </c>
      <c r="GY2" s="44" t="s">
        <v>193</v>
      </c>
      <c r="GZ2" s="44"/>
      <c r="HA2" s="44"/>
      <c r="HB2" s="44"/>
      <c r="HC2" s="44"/>
      <c r="HD2" s="44"/>
      <c r="HE2" s="44"/>
      <c r="HF2" s="44"/>
      <c r="HG2" s="44"/>
      <c r="HH2" s="44"/>
      <c r="HI2" s="44"/>
      <c r="HJ2" s="44" t="s">
        <v>194</v>
      </c>
      <c r="HK2" s="44" t="s">
        <v>195</v>
      </c>
      <c r="HL2" s="44" t="s">
        <v>196</v>
      </c>
      <c r="HM2" s="44" t="s">
        <v>197</v>
      </c>
      <c r="HN2" s="44" t="s">
        <v>198</v>
      </c>
      <c r="HO2" s="44" t="s">
        <v>199</v>
      </c>
      <c r="HP2" s="44"/>
      <c r="HQ2" s="44"/>
      <c r="HR2" s="44" t="s">
        <v>200</v>
      </c>
      <c r="HS2" s="44" t="s">
        <v>201</v>
      </c>
      <c r="HT2" s="44" t="s">
        <v>202</v>
      </c>
      <c r="HU2" s="44" t="s">
        <v>203</v>
      </c>
      <c r="HV2" s="44" t="s">
        <v>204</v>
      </c>
      <c r="HW2" s="45" t="s">
        <v>205</v>
      </c>
      <c r="HX2" s="2"/>
      <c r="HY2" s="206"/>
      <c r="HZ2" s="207"/>
      <c r="IA2" s="207"/>
      <c r="IB2" s="4" t="s">
        <v>18</v>
      </c>
      <c r="IC2" s="209"/>
      <c r="ID2" s="207"/>
      <c r="IE2" s="227"/>
    </row>
    <row r="3" spans="1:239" ht="15.75" customHeight="1" thickBot="1" x14ac:dyDescent="0.3">
      <c r="A3" s="73" t="s">
        <v>19</v>
      </c>
      <c r="B3" s="79"/>
      <c r="C3" s="73" t="s">
        <v>17</v>
      </c>
      <c r="D3" s="228" t="s">
        <v>20</v>
      </c>
      <c r="E3" s="197"/>
      <c r="F3" s="198"/>
      <c r="G3" s="73" t="s">
        <v>15</v>
      </c>
      <c r="H3" s="200" t="s">
        <v>20</v>
      </c>
      <c r="I3" s="197"/>
      <c r="J3" s="198"/>
      <c r="K3" s="73" t="s">
        <v>15</v>
      </c>
      <c r="L3" s="200" t="s">
        <v>20</v>
      </c>
      <c r="M3" s="197"/>
      <c r="N3" s="198"/>
      <c r="O3" s="73" t="s">
        <v>15</v>
      </c>
      <c r="P3" s="228" t="s">
        <v>20</v>
      </c>
      <c r="Q3" s="197"/>
      <c r="R3" s="198"/>
      <c r="S3" s="24"/>
      <c r="T3" s="199"/>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8"/>
      <c r="AZ3" s="73" t="s">
        <v>423</v>
      </c>
      <c r="BA3" s="200" t="s">
        <v>20</v>
      </c>
      <c r="BB3" s="197"/>
      <c r="BC3" s="198"/>
      <c r="BD3" s="199"/>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8"/>
      <c r="CJ3" s="73" t="s">
        <v>423</v>
      </c>
      <c r="CK3" s="200" t="s">
        <v>20</v>
      </c>
      <c r="CL3" s="197"/>
      <c r="CM3" s="198"/>
      <c r="CN3" s="199"/>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8"/>
      <c r="DT3" s="73" t="s">
        <v>423</v>
      </c>
      <c r="DU3" s="200" t="s">
        <v>20</v>
      </c>
      <c r="DV3" s="197"/>
      <c r="DW3" s="198"/>
      <c r="DX3" s="225"/>
      <c r="DY3" s="203"/>
      <c r="DZ3" s="203"/>
      <c r="EA3" s="203"/>
      <c r="EB3" s="203"/>
      <c r="EC3" s="203"/>
      <c r="ED3" s="203"/>
      <c r="EE3" s="203"/>
      <c r="EF3" s="203"/>
      <c r="EG3" s="203"/>
      <c r="EH3" s="203"/>
      <c r="EI3" s="203"/>
      <c r="EJ3" s="203"/>
      <c r="EK3" s="203"/>
      <c r="EL3" s="203"/>
      <c r="EM3" s="203"/>
      <c r="EN3" s="203"/>
      <c r="EO3" s="203"/>
      <c r="EP3" s="203"/>
      <c r="EQ3" s="203"/>
      <c r="ER3" s="203"/>
      <c r="ES3" s="203"/>
      <c r="ET3" s="203"/>
      <c r="EU3" s="203"/>
      <c r="EV3" s="203"/>
      <c r="EW3" s="203"/>
      <c r="EX3" s="203"/>
      <c r="EY3" s="203"/>
      <c r="EZ3" s="203"/>
      <c r="FA3" s="203"/>
      <c r="FB3" s="203"/>
      <c r="FC3" s="204"/>
      <c r="FD3" s="74" t="s">
        <v>423</v>
      </c>
      <c r="FE3" s="200" t="s">
        <v>20</v>
      </c>
      <c r="FF3" s="197"/>
      <c r="FG3" s="198"/>
      <c r="FH3" s="225"/>
      <c r="FI3" s="203"/>
      <c r="FJ3" s="203"/>
      <c r="FK3" s="203"/>
      <c r="FL3" s="203"/>
      <c r="FM3" s="203"/>
      <c r="FN3" s="203"/>
      <c r="FO3" s="203"/>
      <c r="FP3" s="203"/>
      <c r="FQ3" s="203"/>
      <c r="FR3" s="203"/>
      <c r="FS3" s="203"/>
      <c r="FT3" s="203"/>
      <c r="FU3" s="203"/>
      <c r="FV3" s="203"/>
      <c r="FW3" s="203"/>
      <c r="FX3" s="203"/>
      <c r="FY3" s="203"/>
      <c r="FZ3" s="203"/>
      <c r="GA3" s="203"/>
      <c r="GB3" s="203"/>
      <c r="GC3" s="203"/>
      <c r="GD3" s="203"/>
      <c r="GE3" s="203"/>
      <c r="GF3" s="203"/>
      <c r="GG3" s="203"/>
      <c r="GH3" s="203"/>
      <c r="GI3" s="203"/>
      <c r="GJ3" s="203"/>
      <c r="GK3" s="203"/>
      <c r="GL3" s="203"/>
      <c r="GM3" s="204"/>
      <c r="GN3" s="74" t="s">
        <v>423</v>
      </c>
      <c r="GO3" s="200" t="s">
        <v>20</v>
      </c>
      <c r="GP3" s="197"/>
      <c r="GQ3" s="198"/>
      <c r="GR3" s="225"/>
      <c r="GS3" s="203"/>
      <c r="GT3" s="203"/>
      <c r="GU3" s="203"/>
      <c r="GV3" s="203"/>
      <c r="GW3" s="203"/>
      <c r="GX3" s="203"/>
      <c r="GY3" s="203"/>
      <c r="GZ3" s="203"/>
      <c r="HA3" s="203"/>
      <c r="HB3" s="203"/>
      <c r="HC3" s="203"/>
      <c r="HD3" s="203"/>
      <c r="HE3" s="203"/>
      <c r="HF3" s="203"/>
      <c r="HG3" s="203"/>
      <c r="HH3" s="203"/>
      <c r="HI3" s="203"/>
      <c r="HJ3" s="203"/>
      <c r="HK3" s="203"/>
      <c r="HL3" s="203"/>
      <c r="HM3" s="203"/>
      <c r="HN3" s="203"/>
      <c r="HO3" s="203"/>
      <c r="HP3" s="203"/>
      <c r="HQ3" s="203"/>
      <c r="HR3" s="203"/>
      <c r="HS3" s="203"/>
      <c r="HT3" s="203"/>
      <c r="HU3" s="203"/>
      <c r="HV3" s="203"/>
      <c r="HW3" s="204"/>
      <c r="HX3" s="74" t="s">
        <v>423</v>
      </c>
      <c r="HY3" s="200" t="s">
        <v>20</v>
      </c>
      <c r="HZ3" s="197"/>
      <c r="IA3" s="198"/>
      <c r="IB3" s="73" t="s">
        <v>17</v>
      </c>
      <c r="IC3" s="228" t="s">
        <v>20</v>
      </c>
      <c r="ID3" s="197"/>
      <c r="IE3" s="198"/>
    </row>
    <row r="4" spans="1:239" x14ac:dyDescent="0.25">
      <c r="A4" s="8" t="s">
        <v>21</v>
      </c>
      <c r="B4" s="8" t="s">
        <v>18</v>
      </c>
      <c r="C4" s="27"/>
      <c r="D4" s="210"/>
      <c r="E4" s="211"/>
      <c r="F4" s="213"/>
      <c r="G4" s="7"/>
      <c r="H4" s="210"/>
      <c r="I4" s="211"/>
      <c r="J4" s="213"/>
      <c r="K4" s="7"/>
      <c r="L4" s="210"/>
      <c r="M4" s="211"/>
      <c r="N4" s="213"/>
      <c r="O4" s="5"/>
      <c r="P4" s="210"/>
      <c r="Q4" s="211"/>
      <c r="R4" s="213"/>
      <c r="S4" s="3"/>
      <c r="T4" s="75">
        <v>31</v>
      </c>
      <c r="U4" s="16">
        <v>30</v>
      </c>
      <c r="V4" s="16">
        <v>29</v>
      </c>
      <c r="W4" s="16">
        <v>28</v>
      </c>
      <c r="X4" s="16">
        <v>27</v>
      </c>
      <c r="Y4" s="57">
        <v>26</v>
      </c>
      <c r="Z4" s="57">
        <v>25</v>
      </c>
      <c r="AA4" s="57">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210"/>
      <c r="BB4" s="211"/>
      <c r="BC4" s="213"/>
      <c r="BD4" s="75">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210"/>
      <c r="CL4" s="211"/>
      <c r="CM4" s="213"/>
      <c r="CN4" s="75">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210"/>
      <c r="DV4" s="211"/>
      <c r="DW4" s="213"/>
      <c r="DX4" s="49">
        <v>31</v>
      </c>
      <c r="DY4" s="46">
        <v>30</v>
      </c>
      <c r="DZ4" s="46">
        <v>29</v>
      </c>
      <c r="EA4" s="46">
        <v>28</v>
      </c>
      <c r="EB4" s="46">
        <v>27</v>
      </c>
      <c r="EC4" s="46">
        <v>26</v>
      </c>
      <c r="ED4" s="46">
        <v>25</v>
      </c>
      <c r="EE4" s="46">
        <v>24</v>
      </c>
      <c r="EF4" s="46">
        <v>23</v>
      </c>
      <c r="EG4" s="46">
        <v>22</v>
      </c>
      <c r="EH4" s="46">
        <v>21</v>
      </c>
      <c r="EI4" s="46">
        <v>20</v>
      </c>
      <c r="EJ4" s="46">
        <v>19</v>
      </c>
      <c r="EK4" s="46">
        <v>18</v>
      </c>
      <c r="EL4" s="46">
        <v>17</v>
      </c>
      <c r="EM4" s="46">
        <v>16</v>
      </c>
      <c r="EN4" s="46">
        <v>15</v>
      </c>
      <c r="EO4" s="46">
        <v>14</v>
      </c>
      <c r="EP4" s="46">
        <v>13</v>
      </c>
      <c r="EQ4" s="46">
        <v>12</v>
      </c>
      <c r="ER4" s="46">
        <v>11</v>
      </c>
      <c r="ES4" s="46">
        <v>10</v>
      </c>
      <c r="ET4" s="46">
        <v>9</v>
      </c>
      <c r="EU4" s="46">
        <v>8</v>
      </c>
      <c r="EV4" s="46">
        <v>7</v>
      </c>
      <c r="EW4" s="46">
        <v>6</v>
      </c>
      <c r="EX4" s="46">
        <v>5</v>
      </c>
      <c r="EY4" s="46">
        <v>4</v>
      </c>
      <c r="EZ4" s="46">
        <v>3</v>
      </c>
      <c r="FA4" s="46">
        <v>2</v>
      </c>
      <c r="FB4" s="46">
        <v>1</v>
      </c>
      <c r="FC4" s="47">
        <v>0</v>
      </c>
      <c r="FD4" s="8"/>
      <c r="FE4" s="210"/>
      <c r="FF4" s="211"/>
      <c r="FG4" s="213"/>
      <c r="FH4" s="49">
        <v>31</v>
      </c>
      <c r="FI4" s="46">
        <v>30</v>
      </c>
      <c r="FJ4" s="46">
        <v>29</v>
      </c>
      <c r="FK4" s="46">
        <v>28</v>
      </c>
      <c r="FL4" s="46">
        <v>27</v>
      </c>
      <c r="FM4" s="46">
        <v>26</v>
      </c>
      <c r="FN4" s="46">
        <v>25</v>
      </c>
      <c r="FO4" s="46">
        <v>24</v>
      </c>
      <c r="FP4" s="46">
        <v>23</v>
      </c>
      <c r="FQ4" s="46">
        <v>22</v>
      </c>
      <c r="FR4" s="46">
        <v>21</v>
      </c>
      <c r="FS4" s="46">
        <v>20</v>
      </c>
      <c r="FT4" s="46">
        <v>19</v>
      </c>
      <c r="FU4" s="46">
        <v>18</v>
      </c>
      <c r="FV4" s="46">
        <v>17</v>
      </c>
      <c r="FW4" s="46">
        <v>16</v>
      </c>
      <c r="FX4" s="46">
        <v>15</v>
      </c>
      <c r="FY4" s="46">
        <v>14</v>
      </c>
      <c r="FZ4" s="46">
        <v>13</v>
      </c>
      <c r="GA4" s="46">
        <v>12</v>
      </c>
      <c r="GB4" s="46">
        <v>11</v>
      </c>
      <c r="GC4" s="46">
        <v>10</v>
      </c>
      <c r="GD4" s="46">
        <v>9</v>
      </c>
      <c r="GE4" s="46">
        <v>8</v>
      </c>
      <c r="GF4" s="46">
        <v>7</v>
      </c>
      <c r="GG4" s="46">
        <v>6</v>
      </c>
      <c r="GH4" s="46">
        <v>5</v>
      </c>
      <c r="GI4" s="46">
        <v>4</v>
      </c>
      <c r="GJ4" s="46">
        <v>3</v>
      </c>
      <c r="GK4" s="46">
        <v>2</v>
      </c>
      <c r="GL4" s="46">
        <v>1</v>
      </c>
      <c r="GM4" s="47">
        <v>0</v>
      </c>
      <c r="GN4" s="8"/>
      <c r="GO4" s="210"/>
      <c r="GP4" s="211"/>
      <c r="GQ4" s="213"/>
      <c r="GR4" s="49">
        <v>31</v>
      </c>
      <c r="GS4" s="46">
        <v>30</v>
      </c>
      <c r="GT4" s="46">
        <v>29</v>
      </c>
      <c r="GU4" s="46">
        <v>28</v>
      </c>
      <c r="GV4" s="46">
        <v>27</v>
      </c>
      <c r="GW4" s="46">
        <v>26</v>
      </c>
      <c r="GX4" s="46">
        <v>25</v>
      </c>
      <c r="GY4" s="46">
        <v>24</v>
      </c>
      <c r="GZ4" s="46">
        <v>23</v>
      </c>
      <c r="HA4" s="46">
        <v>22</v>
      </c>
      <c r="HB4" s="46">
        <v>21</v>
      </c>
      <c r="HC4" s="46">
        <v>20</v>
      </c>
      <c r="HD4" s="46">
        <v>19</v>
      </c>
      <c r="HE4" s="46">
        <v>18</v>
      </c>
      <c r="HF4" s="46">
        <v>17</v>
      </c>
      <c r="HG4" s="46">
        <v>16</v>
      </c>
      <c r="HH4" s="46">
        <v>15</v>
      </c>
      <c r="HI4" s="46">
        <v>14</v>
      </c>
      <c r="HJ4" s="46">
        <v>13</v>
      </c>
      <c r="HK4" s="46">
        <v>12</v>
      </c>
      <c r="HL4" s="46">
        <v>11</v>
      </c>
      <c r="HM4" s="46">
        <v>10</v>
      </c>
      <c r="HN4" s="46">
        <v>9</v>
      </c>
      <c r="HO4" s="46">
        <v>8</v>
      </c>
      <c r="HP4" s="46">
        <v>7</v>
      </c>
      <c r="HQ4" s="46">
        <v>6</v>
      </c>
      <c r="HR4" s="46">
        <v>5</v>
      </c>
      <c r="HS4" s="46">
        <v>4</v>
      </c>
      <c r="HT4" s="46">
        <v>3</v>
      </c>
      <c r="HU4" s="46">
        <v>2</v>
      </c>
      <c r="HV4" s="46">
        <v>1</v>
      </c>
      <c r="HW4" s="47">
        <v>0</v>
      </c>
      <c r="HX4" s="8"/>
      <c r="HY4" s="210"/>
      <c r="HZ4" s="211"/>
      <c r="IA4" s="213"/>
      <c r="IB4" s="8"/>
      <c r="IC4" s="210"/>
      <c r="ID4" s="211"/>
      <c r="IE4" s="213"/>
    </row>
    <row r="5" spans="1:239" x14ac:dyDescent="0.25">
      <c r="A5" s="8">
        <v>0</v>
      </c>
      <c r="B5" s="8" t="str">
        <f t="shared" ref="B5:B35" si="0">IF($IB5&lt;&gt;"", $IB5, "")</f>
        <v>HOME</v>
      </c>
      <c r="C5" s="77"/>
      <c r="D5" s="22" t="s">
        <v>371</v>
      </c>
      <c r="E5" s="23">
        <v>0</v>
      </c>
      <c r="F5" s="27" t="s">
        <v>22</v>
      </c>
      <c r="G5" s="161">
        <v>0</v>
      </c>
      <c r="H5" s="22" t="s">
        <v>372</v>
      </c>
      <c r="I5" s="23">
        <v>0</v>
      </c>
      <c r="J5" s="27" t="s">
        <v>22</v>
      </c>
      <c r="K5" s="161">
        <v>0</v>
      </c>
      <c r="L5" s="22" t="s">
        <v>373</v>
      </c>
      <c r="M5" s="23">
        <v>0</v>
      </c>
      <c r="N5" s="27" t="s">
        <v>22</v>
      </c>
      <c r="O5" s="165">
        <v>0</v>
      </c>
      <c r="P5" s="22" t="s">
        <v>374</v>
      </c>
      <c r="Q5" s="23">
        <v>0</v>
      </c>
      <c r="R5" s="27" t="s">
        <v>22</v>
      </c>
      <c r="S5" s="9" t="str">
        <f>IF(AP5=1, "P", "")</f>
        <v/>
      </c>
      <c r="T5" s="18"/>
      <c r="U5" s="19"/>
      <c r="V5" s="19"/>
      <c r="W5" s="19"/>
      <c r="X5" s="19"/>
      <c r="Y5" s="58"/>
      <c r="Z5" s="58"/>
      <c r="AA5" s="58"/>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375</v>
      </c>
      <c r="BB5" s="23">
        <v>0</v>
      </c>
      <c r="BC5" s="27"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376</v>
      </c>
      <c r="CL5" s="23">
        <v>0</v>
      </c>
      <c r="CM5" s="27"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377</v>
      </c>
      <c r="DV5" s="23">
        <v>0</v>
      </c>
      <c r="DW5" s="27"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378</v>
      </c>
      <c r="FF5" s="23">
        <v>0</v>
      </c>
      <c r="FG5" s="27"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379</v>
      </c>
      <c r="GP5" s="23">
        <v>0</v>
      </c>
      <c r="GQ5" s="27"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380</v>
      </c>
      <c r="HZ5" s="23">
        <v>0</v>
      </c>
      <c r="IA5" s="27" t="s">
        <v>22</v>
      </c>
      <c r="IB5" s="10" t="s">
        <v>206</v>
      </c>
      <c r="IC5" s="22" t="s">
        <v>381</v>
      </c>
      <c r="ID5" s="23">
        <v>0</v>
      </c>
      <c r="IE5" s="27" t="s">
        <v>22</v>
      </c>
    </row>
    <row r="6" spans="1:239" x14ac:dyDescent="0.25">
      <c r="A6" s="8">
        <v>1</v>
      </c>
      <c r="B6" s="8" t="str">
        <f t="shared" si="0"/>
        <v>FILLING FEED TANK TO SET POINT LEVEL</v>
      </c>
      <c r="C6" s="77"/>
      <c r="D6" s="6" t="str">
        <f t="shared" ref="D6:D35" si="1">D$5</f>
        <v>RO_Data[3].ACK_DESC[</v>
      </c>
      <c r="E6" s="23">
        <f>E5+1</f>
        <v>1</v>
      </c>
      <c r="F6" s="27" t="s">
        <v>22</v>
      </c>
      <c r="G6" s="161">
        <v>0</v>
      </c>
      <c r="H6" s="6" t="str">
        <f t="shared" ref="H6:H35" si="2">H$5</f>
        <v>RO_Data[3].MIN[</v>
      </c>
      <c r="I6" s="23">
        <f>I5+1</f>
        <v>1</v>
      </c>
      <c r="J6" s="27" t="s">
        <v>22</v>
      </c>
      <c r="K6" s="161">
        <v>1</v>
      </c>
      <c r="L6" s="6" t="str">
        <f t="shared" ref="L6:L35" si="3">L$5</f>
        <v>RO_Data[3].SEC[</v>
      </c>
      <c r="M6" s="23">
        <f>M5+1</f>
        <v>1</v>
      </c>
      <c r="N6" s="27" t="s">
        <v>22</v>
      </c>
      <c r="O6" s="165">
        <v>0</v>
      </c>
      <c r="P6" s="6" t="str">
        <f t="shared" ref="P6:P35" si="4">P$5</f>
        <v>RO_Data[3].SETPOINT[</v>
      </c>
      <c r="Q6" s="23">
        <f>Q5+1</f>
        <v>1</v>
      </c>
      <c r="R6" s="27" t="s">
        <v>22</v>
      </c>
      <c r="S6" s="9" t="str">
        <f t="shared" ref="S6:S35" si="5">IF(AP6=1, "P", "")</f>
        <v>P</v>
      </c>
      <c r="T6" s="18"/>
      <c r="U6" s="19"/>
      <c r="V6" s="19"/>
      <c r="W6" s="19"/>
      <c r="X6" s="19"/>
      <c r="Y6" s="58"/>
      <c r="Z6" s="58"/>
      <c r="AA6" s="58"/>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RO_Data[3].COND1[</v>
      </c>
      <c r="BB6" s="23">
        <f>BB5+1</f>
        <v>1</v>
      </c>
      <c r="BC6" s="27"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27"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27"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27"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27"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27" t="s">
        <v>22</v>
      </c>
      <c r="IB6" s="10" t="s">
        <v>224</v>
      </c>
      <c r="IC6" s="6" t="str">
        <f t="shared" ref="IC6:IC35" si="12">IC$5</f>
        <v>RO_Data[3].STEP_DESC[</v>
      </c>
      <c r="ID6" s="23">
        <f>ID5+1</f>
        <v>1</v>
      </c>
      <c r="IE6" s="27" t="s">
        <v>22</v>
      </c>
    </row>
    <row r="7" spans="1:239" x14ac:dyDescent="0.25">
      <c r="A7" s="8">
        <v>2</v>
      </c>
      <c r="B7" s="8" t="str">
        <f t="shared" si="0"/>
        <v>STARTING PUMPS</v>
      </c>
      <c r="C7" s="77"/>
      <c r="D7" s="6" t="str">
        <f t="shared" si="1"/>
        <v>RO_Data[3].ACK_DESC[</v>
      </c>
      <c r="E7" s="23">
        <f t="shared" ref="E7:E29" si="13">E6+1</f>
        <v>2</v>
      </c>
      <c r="F7" s="27" t="s">
        <v>22</v>
      </c>
      <c r="G7" s="161">
        <v>0</v>
      </c>
      <c r="H7" s="6" t="str">
        <f t="shared" si="2"/>
        <v>RO_Data[3].MIN[</v>
      </c>
      <c r="I7" s="23">
        <f t="shared" ref="I7:I29" si="14">I6+1</f>
        <v>2</v>
      </c>
      <c r="J7" s="27" t="s">
        <v>22</v>
      </c>
      <c r="K7" s="161">
        <v>30</v>
      </c>
      <c r="L7" s="6" t="str">
        <f t="shared" si="3"/>
        <v>RO_Data[3].SEC[</v>
      </c>
      <c r="M7" s="23">
        <f t="shared" ref="M7:M29" si="15">M6+1</f>
        <v>2</v>
      </c>
      <c r="N7" s="27" t="s">
        <v>22</v>
      </c>
      <c r="O7" s="165">
        <v>0</v>
      </c>
      <c r="P7" s="6" t="str">
        <f t="shared" si="4"/>
        <v>RO_Data[3].SETPOINT[</v>
      </c>
      <c r="Q7" s="23">
        <f t="shared" ref="Q7:Q29" si="16">Q6+1</f>
        <v>2</v>
      </c>
      <c r="R7" s="27" t="s">
        <v>22</v>
      </c>
      <c r="S7" s="9" t="str">
        <f t="shared" si="5"/>
        <v>P</v>
      </c>
      <c r="T7" s="18"/>
      <c r="U7" s="19"/>
      <c r="V7" s="19"/>
      <c r="W7" s="19"/>
      <c r="X7" s="19"/>
      <c r="Y7" s="58"/>
      <c r="Z7" s="58"/>
      <c r="AA7" s="58">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RO_Data[3].COND1[</v>
      </c>
      <c r="BB7" s="23">
        <f t="shared" ref="BB7:BB29" si="17">BB6+1</f>
        <v>2</v>
      </c>
      <c r="BC7" s="27"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27"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27"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27"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27"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27" t="s">
        <v>22</v>
      </c>
      <c r="IB7" s="10" t="s">
        <v>225</v>
      </c>
      <c r="IC7" s="6" t="str">
        <f t="shared" si="12"/>
        <v>RO_Data[3].STEP_DESC[</v>
      </c>
      <c r="ID7" s="23">
        <f t="shared" ref="ID7:ID29" si="23">ID6+1</f>
        <v>2</v>
      </c>
      <c r="IE7" s="27" t="s">
        <v>22</v>
      </c>
    </row>
    <row r="8" spans="1:239" x14ac:dyDescent="0.25">
      <c r="A8" s="8">
        <v>3</v>
      </c>
      <c r="B8" s="8" t="str">
        <f t="shared" si="0"/>
        <v>RINSING STAGES</v>
      </c>
      <c r="C8" s="77"/>
      <c r="D8" s="6" t="str">
        <f t="shared" si="1"/>
        <v>RO_Data[3].ACK_DESC[</v>
      </c>
      <c r="E8" s="23">
        <f t="shared" si="13"/>
        <v>3</v>
      </c>
      <c r="F8" s="27" t="s">
        <v>22</v>
      </c>
      <c r="G8" s="161">
        <v>0</v>
      </c>
      <c r="H8" s="6" t="str">
        <f t="shared" si="2"/>
        <v>RO_Data[3].MIN[</v>
      </c>
      <c r="I8" s="23">
        <f t="shared" si="14"/>
        <v>3</v>
      </c>
      <c r="J8" s="27" t="s">
        <v>22</v>
      </c>
      <c r="K8" s="161">
        <v>1</v>
      </c>
      <c r="L8" s="6" t="str">
        <f t="shared" si="3"/>
        <v>RO_Data[3].SEC[</v>
      </c>
      <c r="M8" s="23">
        <f t="shared" si="15"/>
        <v>3</v>
      </c>
      <c r="N8" s="27" t="s">
        <v>22</v>
      </c>
      <c r="O8" s="165">
        <v>0</v>
      </c>
      <c r="P8" s="6" t="str">
        <f t="shared" si="4"/>
        <v>RO_Data[3].SETPOINT[</v>
      </c>
      <c r="Q8" s="23">
        <f t="shared" si="16"/>
        <v>3</v>
      </c>
      <c r="R8" s="27" t="s">
        <v>22</v>
      </c>
      <c r="S8" s="9" t="str">
        <f t="shared" si="5"/>
        <v>P</v>
      </c>
      <c r="T8" s="18"/>
      <c r="U8" s="19"/>
      <c r="V8" s="19"/>
      <c r="W8" s="19"/>
      <c r="X8" s="19"/>
      <c r="Y8" s="58"/>
      <c r="Z8" s="58"/>
      <c r="AA8" s="58"/>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RO_Data[3].COND1[</v>
      </c>
      <c r="BB8" s="23">
        <f t="shared" si="17"/>
        <v>3</v>
      </c>
      <c r="BC8" s="27"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27"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27"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27"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27"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27" t="s">
        <v>22</v>
      </c>
      <c r="IB8" s="10" t="s">
        <v>226</v>
      </c>
      <c r="IC8" s="6" t="str">
        <f t="shared" si="12"/>
        <v>RO_Data[3].STEP_DESC[</v>
      </c>
      <c r="ID8" s="23">
        <f t="shared" si="23"/>
        <v>3</v>
      </c>
      <c r="IE8" s="27" t="s">
        <v>22</v>
      </c>
    </row>
    <row r="9" spans="1:239" x14ac:dyDescent="0.25">
      <c r="A9" s="8">
        <v>4</v>
      </c>
      <c r="B9" s="8" t="str">
        <f t="shared" si="0"/>
        <v>PAUSE</v>
      </c>
      <c r="C9" s="77"/>
      <c r="D9" s="6" t="str">
        <f t="shared" si="1"/>
        <v>RO_Data[3].ACK_DESC[</v>
      </c>
      <c r="E9" s="23">
        <f t="shared" si="13"/>
        <v>4</v>
      </c>
      <c r="F9" s="27" t="s">
        <v>22</v>
      </c>
      <c r="G9" s="161">
        <v>0</v>
      </c>
      <c r="H9" s="6" t="str">
        <f t="shared" si="2"/>
        <v>RO_Data[3].MIN[</v>
      </c>
      <c r="I9" s="23">
        <f t="shared" si="14"/>
        <v>4</v>
      </c>
      <c r="J9" s="27" t="s">
        <v>22</v>
      </c>
      <c r="K9" s="161">
        <v>10</v>
      </c>
      <c r="L9" s="6" t="str">
        <f t="shared" si="3"/>
        <v>RO_Data[3].SEC[</v>
      </c>
      <c r="M9" s="23">
        <f t="shared" si="15"/>
        <v>4</v>
      </c>
      <c r="N9" s="27" t="s">
        <v>22</v>
      </c>
      <c r="O9" s="165">
        <v>0</v>
      </c>
      <c r="P9" s="6" t="str">
        <f t="shared" si="4"/>
        <v>RO_Data[3].SETPOINT[</v>
      </c>
      <c r="Q9" s="23">
        <f t="shared" si="16"/>
        <v>4</v>
      </c>
      <c r="R9" s="27" t="s">
        <v>22</v>
      </c>
      <c r="S9" s="9" t="str">
        <f t="shared" si="5"/>
        <v>P</v>
      </c>
      <c r="T9" s="18"/>
      <c r="U9" s="19"/>
      <c r="V9" s="19"/>
      <c r="W9" s="19"/>
      <c r="X9" s="19"/>
      <c r="Y9" s="58"/>
      <c r="Z9" s="58">
        <v>1</v>
      </c>
      <c r="AA9" s="58"/>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33554944</v>
      </c>
      <c r="BA9" s="6" t="str">
        <f t="shared" si="6"/>
        <v>RO_Data[3].COND1[</v>
      </c>
      <c r="BB9" s="23">
        <f t="shared" si="17"/>
        <v>4</v>
      </c>
      <c r="BC9" s="27"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27"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27"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27"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27"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27" t="s">
        <v>22</v>
      </c>
      <c r="IB9" s="10" t="s">
        <v>222</v>
      </c>
      <c r="IC9" s="6" t="str">
        <f t="shared" si="12"/>
        <v>RO_Data[3].STEP_DESC[</v>
      </c>
      <c r="ID9" s="23">
        <f t="shared" si="23"/>
        <v>4</v>
      </c>
      <c r="IE9" s="27" t="s">
        <v>22</v>
      </c>
    </row>
    <row r="10" spans="1:239" x14ac:dyDescent="0.25">
      <c r="A10" s="8">
        <v>5</v>
      </c>
      <c r="B10" s="8" t="str">
        <f t="shared" si="0"/>
        <v>FILLING FEED TANK TO SET POINT LEVEL</v>
      </c>
      <c r="C10" s="77"/>
      <c r="D10" s="6" t="str">
        <f t="shared" si="1"/>
        <v>RO_Data[3].ACK_DESC[</v>
      </c>
      <c r="E10" s="23">
        <f t="shared" si="13"/>
        <v>5</v>
      </c>
      <c r="F10" s="27" t="s">
        <v>22</v>
      </c>
      <c r="G10" s="161">
        <v>0</v>
      </c>
      <c r="H10" s="6" t="str">
        <f t="shared" si="2"/>
        <v>RO_Data[3].MIN[</v>
      </c>
      <c r="I10" s="23">
        <f t="shared" si="14"/>
        <v>5</v>
      </c>
      <c r="J10" s="27" t="s">
        <v>22</v>
      </c>
      <c r="K10" s="161">
        <v>1</v>
      </c>
      <c r="L10" s="6" t="str">
        <f t="shared" si="3"/>
        <v>RO_Data[3].SEC[</v>
      </c>
      <c r="M10" s="23">
        <f t="shared" si="15"/>
        <v>5</v>
      </c>
      <c r="N10" s="27" t="s">
        <v>22</v>
      </c>
      <c r="O10" s="165">
        <v>0</v>
      </c>
      <c r="P10" s="6" t="str">
        <f t="shared" si="4"/>
        <v>RO_Data[3].SETPOINT[</v>
      </c>
      <c r="Q10" s="23">
        <f t="shared" si="16"/>
        <v>5</v>
      </c>
      <c r="R10" s="27" t="s">
        <v>22</v>
      </c>
      <c r="S10" s="9" t="str">
        <f t="shared" si="5"/>
        <v>P</v>
      </c>
      <c r="T10" s="18"/>
      <c r="U10" s="19"/>
      <c r="V10" s="19"/>
      <c r="W10" s="19"/>
      <c r="X10" s="19"/>
      <c r="Y10" s="58"/>
      <c r="Z10" s="58"/>
      <c r="AA10" s="58"/>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RO_Data[3].COND1[</v>
      </c>
      <c r="BB10" s="23">
        <f t="shared" si="17"/>
        <v>5</v>
      </c>
      <c r="BC10" s="27"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27"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27"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27"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27"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27" t="s">
        <v>22</v>
      </c>
      <c r="IB10" s="10" t="s">
        <v>224</v>
      </c>
      <c r="IC10" s="6" t="str">
        <f t="shared" si="12"/>
        <v>RO_Data[3].STEP_DESC[</v>
      </c>
      <c r="ID10" s="23">
        <f t="shared" si="23"/>
        <v>5</v>
      </c>
      <c r="IE10" s="27" t="s">
        <v>22</v>
      </c>
    </row>
    <row r="11" spans="1:239" x14ac:dyDescent="0.25">
      <c r="A11" s="8">
        <v>6</v>
      </c>
      <c r="B11" s="8" t="str">
        <f t="shared" si="0"/>
        <v>STARTING PUMPS</v>
      </c>
      <c r="C11" s="77"/>
      <c r="D11" s="6" t="str">
        <f t="shared" si="1"/>
        <v>RO_Data[3].ACK_DESC[</v>
      </c>
      <c r="E11" s="23">
        <f t="shared" si="13"/>
        <v>6</v>
      </c>
      <c r="F11" s="27" t="s">
        <v>22</v>
      </c>
      <c r="G11" s="161">
        <v>0</v>
      </c>
      <c r="H11" s="6" t="str">
        <f t="shared" si="2"/>
        <v>RO_Data[3].MIN[</v>
      </c>
      <c r="I11" s="23">
        <f t="shared" si="14"/>
        <v>6</v>
      </c>
      <c r="J11" s="27" t="s">
        <v>22</v>
      </c>
      <c r="K11" s="161">
        <v>30</v>
      </c>
      <c r="L11" s="6" t="str">
        <f t="shared" si="3"/>
        <v>RO_Data[3].SEC[</v>
      </c>
      <c r="M11" s="23">
        <f t="shared" si="15"/>
        <v>6</v>
      </c>
      <c r="N11" s="27" t="s">
        <v>22</v>
      </c>
      <c r="O11" s="165">
        <v>0</v>
      </c>
      <c r="P11" s="6" t="str">
        <f t="shared" si="4"/>
        <v>RO_Data[3].SETPOINT[</v>
      </c>
      <c r="Q11" s="23">
        <f t="shared" si="16"/>
        <v>6</v>
      </c>
      <c r="R11" s="27" t="s">
        <v>22</v>
      </c>
      <c r="S11" s="9" t="str">
        <f t="shared" si="5"/>
        <v>P</v>
      </c>
      <c r="T11" s="18"/>
      <c r="U11" s="19"/>
      <c r="V11" s="19"/>
      <c r="W11" s="19"/>
      <c r="X11" s="19"/>
      <c r="Y11" s="58"/>
      <c r="Z11" s="58"/>
      <c r="AA11" s="58">
        <v>1</v>
      </c>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16777728</v>
      </c>
      <c r="BA11" s="6" t="str">
        <f t="shared" si="6"/>
        <v>RO_Data[3].COND1[</v>
      </c>
      <c r="BB11" s="23">
        <f t="shared" si="17"/>
        <v>6</v>
      </c>
      <c r="BC11" s="27"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27"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27"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27"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27"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27" t="s">
        <v>22</v>
      </c>
      <c r="IB11" s="10" t="s">
        <v>225</v>
      </c>
      <c r="IC11" s="6" t="str">
        <f t="shared" si="12"/>
        <v>RO_Data[3].STEP_DESC[</v>
      </c>
      <c r="ID11" s="23">
        <f t="shared" si="23"/>
        <v>6</v>
      </c>
      <c r="IE11" s="27" t="s">
        <v>22</v>
      </c>
    </row>
    <row r="12" spans="1:239" x14ac:dyDescent="0.25">
      <c r="A12" s="8">
        <v>7</v>
      </c>
      <c r="B12" s="8" t="str">
        <f t="shared" si="0"/>
        <v>ADDING CHEMICALS</v>
      </c>
      <c r="C12" s="77"/>
      <c r="D12" s="6" t="str">
        <f t="shared" si="1"/>
        <v>RO_Data[3].ACK_DESC[</v>
      </c>
      <c r="E12" s="23">
        <f t="shared" si="13"/>
        <v>7</v>
      </c>
      <c r="F12" s="27" t="s">
        <v>22</v>
      </c>
      <c r="G12" s="161">
        <v>0</v>
      </c>
      <c r="H12" s="6" t="str">
        <f t="shared" si="2"/>
        <v>RO_Data[3].MIN[</v>
      </c>
      <c r="I12" s="23">
        <f t="shared" si="14"/>
        <v>7</v>
      </c>
      <c r="J12" s="27" t="s">
        <v>22</v>
      </c>
      <c r="K12" s="161">
        <v>1</v>
      </c>
      <c r="L12" s="6" t="str">
        <f t="shared" si="3"/>
        <v>RO_Data[3].SEC[</v>
      </c>
      <c r="M12" s="23">
        <f t="shared" si="15"/>
        <v>7</v>
      </c>
      <c r="N12" s="27" t="s">
        <v>22</v>
      </c>
      <c r="O12" s="165">
        <v>0</v>
      </c>
      <c r="P12" s="6" t="str">
        <f t="shared" si="4"/>
        <v>RO_Data[3].SETPOINT[</v>
      </c>
      <c r="Q12" s="23">
        <f t="shared" si="16"/>
        <v>7</v>
      </c>
      <c r="R12" s="27" t="s">
        <v>22</v>
      </c>
      <c r="S12" s="9" t="str">
        <f t="shared" si="5"/>
        <v>P</v>
      </c>
      <c r="T12" s="18"/>
      <c r="U12" s="19"/>
      <c r="V12" s="19"/>
      <c r="W12" s="19"/>
      <c r="X12" s="19"/>
      <c r="Y12" s="58"/>
      <c r="Z12" s="58"/>
      <c r="AA12" s="58"/>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RO_Data[3].COND1[</v>
      </c>
      <c r="BB12" s="23">
        <f t="shared" si="17"/>
        <v>7</v>
      </c>
      <c r="BC12" s="27"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27"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27"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27"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27"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27" t="s">
        <v>22</v>
      </c>
      <c r="IB12" s="10" t="s">
        <v>227</v>
      </c>
      <c r="IC12" s="6" t="str">
        <f t="shared" si="12"/>
        <v>RO_Data[3].STEP_DESC[</v>
      </c>
      <c r="ID12" s="23">
        <f t="shared" si="23"/>
        <v>7</v>
      </c>
      <c r="IE12" s="27" t="s">
        <v>22</v>
      </c>
    </row>
    <row r="13" spans="1:239" s="70" customFormat="1" x14ac:dyDescent="0.25">
      <c r="A13" s="61">
        <v>8</v>
      </c>
      <c r="B13" s="61" t="str">
        <f t="shared" si="0"/>
        <v>HEATING TO TEMPERATURE</v>
      </c>
      <c r="C13" s="78"/>
      <c r="D13" s="6" t="str">
        <f t="shared" si="1"/>
        <v>RO_Data[3].ACK_DESC[</v>
      </c>
      <c r="E13" s="64">
        <f t="shared" si="13"/>
        <v>8</v>
      </c>
      <c r="F13" s="65" t="s">
        <v>22</v>
      </c>
      <c r="G13" s="162">
        <v>0</v>
      </c>
      <c r="H13" s="6" t="str">
        <f t="shared" si="2"/>
        <v>RO_Data[3].MIN[</v>
      </c>
      <c r="I13" s="64">
        <f t="shared" si="14"/>
        <v>8</v>
      </c>
      <c r="J13" s="65" t="s">
        <v>22</v>
      </c>
      <c r="K13" s="162">
        <v>1</v>
      </c>
      <c r="L13" s="6" t="str">
        <f t="shared" si="3"/>
        <v>RO_Data[3].SEC[</v>
      </c>
      <c r="M13" s="64">
        <f t="shared" si="15"/>
        <v>8</v>
      </c>
      <c r="N13" s="65" t="s">
        <v>22</v>
      </c>
      <c r="O13" s="166">
        <v>0</v>
      </c>
      <c r="P13" s="6" t="str">
        <f t="shared" si="4"/>
        <v>RO_Data[3].SETPOINT[</v>
      </c>
      <c r="Q13" s="64">
        <f t="shared" si="16"/>
        <v>8</v>
      </c>
      <c r="R13" s="65" t="s">
        <v>22</v>
      </c>
      <c r="S13" s="66" t="str">
        <f t="shared" si="5"/>
        <v>P</v>
      </c>
      <c r="T13" s="67"/>
      <c r="U13" s="58"/>
      <c r="V13" s="58"/>
      <c r="W13" s="58"/>
      <c r="X13" s="58"/>
      <c r="Y13" s="58"/>
      <c r="Z13" s="58"/>
      <c r="AA13" s="58"/>
      <c r="AB13" s="58"/>
      <c r="AC13" s="58"/>
      <c r="AD13" s="58"/>
      <c r="AE13" s="58"/>
      <c r="AF13" s="58"/>
      <c r="AG13" s="58"/>
      <c r="AH13" s="58"/>
      <c r="AI13" s="58"/>
      <c r="AJ13" s="58"/>
      <c r="AK13" s="58"/>
      <c r="AL13" s="58"/>
      <c r="AM13" s="58"/>
      <c r="AN13" s="58"/>
      <c r="AO13" s="58">
        <v>1</v>
      </c>
      <c r="AP13" s="58">
        <v>1</v>
      </c>
      <c r="AQ13" s="58"/>
      <c r="AR13" s="58"/>
      <c r="AS13" s="58"/>
      <c r="AT13" s="58"/>
      <c r="AU13" s="58"/>
      <c r="AV13" s="58"/>
      <c r="AW13" s="58"/>
      <c r="AX13" s="58"/>
      <c r="AY13" s="68"/>
      <c r="AZ13" s="61">
        <f t="array" ref="AZ13">Bin2DecRange($T13:$AY13)</f>
        <v>1536</v>
      </c>
      <c r="BA13" s="6" t="str">
        <f t="shared" si="6"/>
        <v>RO_Data[3].COND1[</v>
      </c>
      <c r="BB13" s="64">
        <f t="shared" si="17"/>
        <v>8</v>
      </c>
      <c r="BC13" s="65" t="s">
        <v>22</v>
      </c>
      <c r="BD13" s="67"/>
      <c r="BE13" s="58"/>
      <c r="BF13" s="58"/>
      <c r="BG13" s="58"/>
      <c r="BH13" s="58"/>
      <c r="BI13" s="58"/>
      <c r="BJ13" s="58"/>
      <c r="BK13" s="58"/>
      <c r="BL13" s="58"/>
      <c r="BM13" s="58">
        <v>1</v>
      </c>
      <c r="BN13" s="58">
        <v>1</v>
      </c>
      <c r="BO13" s="58"/>
      <c r="BP13" s="58"/>
      <c r="BQ13" s="58"/>
      <c r="BR13" s="58"/>
      <c r="BS13" s="58"/>
      <c r="BT13" s="58"/>
      <c r="BU13" s="58"/>
      <c r="BV13" s="58"/>
      <c r="BW13" s="58"/>
      <c r="BX13" s="58"/>
      <c r="BY13" s="58"/>
      <c r="BZ13" s="58"/>
      <c r="CA13" s="58"/>
      <c r="CB13" s="58"/>
      <c r="CC13" s="58"/>
      <c r="CD13" s="58"/>
      <c r="CE13" s="58">
        <v>1</v>
      </c>
      <c r="CF13" s="58"/>
      <c r="CG13" s="58"/>
      <c r="CH13" s="58"/>
      <c r="CI13" s="68"/>
      <c r="CJ13" s="61" cm="1">
        <f t="array" ref="CJ13">Bin2DecRange($BD13:$CI13)</f>
        <v>6291472</v>
      </c>
      <c r="CK13" s="6" t="str">
        <f t="shared" si="7"/>
        <v>RO_Data[3].COND2[</v>
      </c>
      <c r="CL13" s="64">
        <f t="shared" si="18"/>
        <v>8</v>
      </c>
      <c r="CM13" s="65" t="s">
        <v>22</v>
      </c>
      <c r="CN13" s="67"/>
      <c r="CO13" s="58"/>
      <c r="CP13" s="58"/>
      <c r="CQ13" s="58"/>
      <c r="CR13" s="58"/>
      <c r="CS13" s="58"/>
      <c r="CT13" s="58"/>
      <c r="CU13" s="58"/>
      <c r="CV13" s="58"/>
      <c r="CW13" s="58"/>
      <c r="CX13" s="58"/>
      <c r="CY13" s="58"/>
      <c r="CZ13" s="58"/>
      <c r="DA13" s="58"/>
      <c r="DB13" s="58"/>
      <c r="DC13" s="58"/>
      <c r="DD13" s="58"/>
      <c r="DE13" s="58"/>
      <c r="DF13" s="58"/>
      <c r="DG13" s="58"/>
      <c r="DH13" s="58"/>
      <c r="DI13" s="58"/>
      <c r="DJ13" s="58"/>
      <c r="DK13" s="58"/>
      <c r="DL13" s="58"/>
      <c r="DM13" s="58"/>
      <c r="DN13" s="58"/>
      <c r="DO13" s="58"/>
      <c r="DP13" s="58"/>
      <c r="DQ13" s="58"/>
      <c r="DR13" s="58"/>
      <c r="DS13" s="68"/>
      <c r="DT13" s="61" cm="1">
        <f t="array" ref="DT13">Bin2DecRange($CN13:$DS13)</f>
        <v>0</v>
      </c>
      <c r="DU13" s="6" t="str">
        <f t="shared" si="8"/>
        <v>RO_Data[3].COND3[</v>
      </c>
      <c r="DV13" s="64">
        <f t="shared" si="19"/>
        <v>8</v>
      </c>
      <c r="DW13" s="65" t="s">
        <v>22</v>
      </c>
      <c r="DX13" s="69"/>
      <c r="DY13" s="58"/>
      <c r="DZ13" s="58"/>
      <c r="EA13" s="58">
        <v>1</v>
      </c>
      <c r="EB13" s="58">
        <v>1</v>
      </c>
      <c r="EC13" s="58"/>
      <c r="ED13" s="58">
        <v>1</v>
      </c>
      <c r="EE13" s="58">
        <v>1</v>
      </c>
      <c r="EF13" s="58"/>
      <c r="EG13" s="58">
        <v>1</v>
      </c>
      <c r="EH13" s="58">
        <v>1</v>
      </c>
      <c r="EI13" s="58">
        <v>1</v>
      </c>
      <c r="EJ13" s="58">
        <v>1</v>
      </c>
      <c r="EK13" s="58"/>
      <c r="EL13" s="58"/>
      <c r="EM13" s="58"/>
      <c r="EN13" s="58"/>
      <c r="EO13" s="58"/>
      <c r="EP13" s="58">
        <v>1</v>
      </c>
      <c r="EQ13" s="58">
        <v>1</v>
      </c>
      <c r="ER13" s="58"/>
      <c r="ES13" s="58"/>
      <c r="ET13" s="58"/>
      <c r="EU13" s="58"/>
      <c r="EV13" s="58"/>
      <c r="EW13" s="58"/>
      <c r="EX13" s="58"/>
      <c r="EY13" s="58"/>
      <c r="EZ13" s="58"/>
      <c r="FA13" s="58"/>
      <c r="FB13" s="58"/>
      <c r="FC13" s="68"/>
      <c r="FD13" s="61">
        <f t="array" ref="FD13">Bin2DecRange($DX13:$FC13)</f>
        <v>460861440</v>
      </c>
      <c r="FE13" s="6" t="str">
        <f t="shared" si="9"/>
        <v>RO_Data[3].ACT1[</v>
      </c>
      <c r="FF13" s="64">
        <f t="shared" si="20"/>
        <v>8</v>
      </c>
      <c r="FG13" s="65" t="s">
        <v>22</v>
      </c>
      <c r="FH13" s="69"/>
      <c r="FI13" s="58"/>
      <c r="FJ13" s="58"/>
      <c r="FK13" s="58"/>
      <c r="FL13" s="58"/>
      <c r="FM13" s="58"/>
      <c r="FN13" s="58"/>
      <c r="FO13" s="58"/>
      <c r="FP13" s="58"/>
      <c r="FQ13" s="58"/>
      <c r="FR13" s="58"/>
      <c r="FS13" s="58"/>
      <c r="FT13" s="58"/>
      <c r="FU13" s="58"/>
      <c r="FV13" s="58"/>
      <c r="FW13" s="58"/>
      <c r="FX13" s="58"/>
      <c r="FY13" s="58"/>
      <c r="FZ13" s="58"/>
      <c r="GA13" s="58"/>
      <c r="GB13" s="58"/>
      <c r="GC13" s="58"/>
      <c r="GD13" s="58"/>
      <c r="GE13" s="58">
        <v>1</v>
      </c>
      <c r="GF13" s="58">
        <v>1</v>
      </c>
      <c r="GG13" s="58">
        <v>1</v>
      </c>
      <c r="GH13" s="58">
        <v>1</v>
      </c>
      <c r="GI13" s="58">
        <v>1</v>
      </c>
      <c r="GJ13" s="58">
        <v>1</v>
      </c>
      <c r="GK13" s="58">
        <v>1</v>
      </c>
      <c r="GL13" s="58">
        <v>1</v>
      </c>
      <c r="GM13" s="68">
        <v>1</v>
      </c>
      <c r="GN13" s="61" cm="1">
        <f t="array" ref="GN13">Bin2DecRange($FH13:$GM13)</f>
        <v>511</v>
      </c>
      <c r="GO13" s="6" t="str">
        <f t="shared" si="10"/>
        <v>RO_Data[3].ACT5[</v>
      </c>
      <c r="GP13" s="64">
        <f t="shared" si="21"/>
        <v>8</v>
      </c>
      <c r="GQ13" s="65" t="s">
        <v>22</v>
      </c>
      <c r="GR13" s="69"/>
      <c r="GS13" s="58"/>
      <c r="GT13" s="58"/>
      <c r="GU13" s="58"/>
      <c r="GV13" s="58"/>
      <c r="GW13" s="58"/>
      <c r="GX13" s="58"/>
      <c r="GY13" s="58"/>
      <c r="GZ13" s="58"/>
      <c r="HA13" s="58"/>
      <c r="HB13" s="58"/>
      <c r="HC13" s="58"/>
      <c r="HD13" s="58"/>
      <c r="HE13" s="58"/>
      <c r="HF13" s="58"/>
      <c r="HG13" s="58"/>
      <c r="HH13" s="58"/>
      <c r="HI13" s="58"/>
      <c r="HJ13" s="58"/>
      <c r="HK13" s="58"/>
      <c r="HL13" s="58"/>
      <c r="HM13" s="58"/>
      <c r="HN13" s="58"/>
      <c r="HO13" s="58"/>
      <c r="HP13" s="58"/>
      <c r="HQ13" s="58"/>
      <c r="HR13" s="58"/>
      <c r="HS13" s="58"/>
      <c r="HT13" s="58"/>
      <c r="HU13" s="58"/>
      <c r="HV13" s="58"/>
      <c r="HW13" s="68"/>
      <c r="HX13" s="61" cm="1">
        <f t="array" ref="HX13">Bin2DecRange($GR13:$HW13)</f>
        <v>0</v>
      </c>
      <c r="HY13" s="6" t="str">
        <f t="shared" si="11"/>
        <v>RO_Data[3].ACT6[</v>
      </c>
      <c r="HZ13" s="64">
        <f t="shared" si="22"/>
        <v>8</v>
      </c>
      <c r="IA13" s="65" t="s">
        <v>22</v>
      </c>
      <c r="IB13" s="62" t="s">
        <v>241</v>
      </c>
      <c r="IC13" s="6" t="str">
        <f t="shared" si="12"/>
        <v>RO_Data[3].STEP_DESC[</v>
      </c>
      <c r="ID13" s="64">
        <f t="shared" si="23"/>
        <v>8</v>
      </c>
      <c r="IE13" s="65" t="s">
        <v>22</v>
      </c>
    </row>
    <row r="14" spans="1:239" s="70" customFormat="1" x14ac:dyDescent="0.25">
      <c r="A14" s="61">
        <v>9</v>
      </c>
      <c r="B14" s="61" t="str">
        <f t="shared" si="0"/>
        <v>CHECK PH - HOLD FOR ACKNOWLEDGE</v>
      </c>
      <c r="C14" s="78" t="s">
        <v>354</v>
      </c>
      <c r="D14" s="6" t="str">
        <f t="shared" si="1"/>
        <v>RO_Data[3].ACK_DESC[</v>
      </c>
      <c r="E14" s="64">
        <f t="shared" si="13"/>
        <v>9</v>
      </c>
      <c r="F14" s="65" t="s">
        <v>22</v>
      </c>
      <c r="G14" s="162">
        <v>0</v>
      </c>
      <c r="H14" s="6" t="str">
        <f t="shared" si="2"/>
        <v>RO_Data[3].MIN[</v>
      </c>
      <c r="I14" s="64">
        <f t="shared" si="14"/>
        <v>9</v>
      </c>
      <c r="J14" s="65" t="s">
        <v>22</v>
      </c>
      <c r="K14" s="162">
        <v>1</v>
      </c>
      <c r="L14" s="6" t="str">
        <f t="shared" si="3"/>
        <v>RO_Data[3].SEC[</v>
      </c>
      <c r="M14" s="64">
        <f t="shared" si="15"/>
        <v>9</v>
      </c>
      <c r="N14" s="65" t="s">
        <v>22</v>
      </c>
      <c r="O14" s="166">
        <v>0</v>
      </c>
      <c r="P14" s="6" t="str">
        <f t="shared" si="4"/>
        <v>RO_Data[3].SETPOINT[</v>
      </c>
      <c r="Q14" s="64">
        <f t="shared" si="16"/>
        <v>9</v>
      </c>
      <c r="R14" s="65" t="s">
        <v>22</v>
      </c>
      <c r="S14" s="66" t="str">
        <f t="shared" si="5"/>
        <v/>
      </c>
      <c r="T14" s="67"/>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v>1</v>
      </c>
      <c r="AW14" s="58"/>
      <c r="AX14" s="58"/>
      <c r="AY14" s="68"/>
      <c r="AZ14" s="61">
        <f t="array" ref="AZ14">Bin2DecRange($T14:$AY14)</f>
        <v>8</v>
      </c>
      <c r="BA14" s="6" t="str">
        <f t="shared" si="6"/>
        <v>RO_Data[3].COND1[</v>
      </c>
      <c r="BB14" s="64">
        <f t="shared" si="17"/>
        <v>9</v>
      </c>
      <c r="BC14" s="65" t="s">
        <v>22</v>
      </c>
      <c r="BD14" s="67"/>
      <c r="BE14" s="58"/>
      <c r="BF14" s="58"/>
      <c r="BG14" s="58">
        <v>1</v>
      </c>
      <c r="BH14" s="58"/>
      <c r="BI14" s="58"/>
      <c r="BJ14" s="58"/>
      <c r="BK14" s="58"/>
      <c r="BL14" s="58"/>
      <c r="BM14" s="58">
        <v>1</v>
      </c>
      <c r="BN14" s="58">
        <v>1</v>
      </c>
      <c r="BO14" s="58"/>
      <c r="BP14" s="58"/>
      <c r="BQ14" s="58"/>
      <c r="BR14" s="58"/>
      <c r="BS14" s="58"/>
      <c r="BT14" s="58"/>
      <c r="BU14" s="58"/>
      <c r="BV14" s="58"/>
      <c r="BW14" s="58"/>
      <c r="BX14" s="58"/>
      <c r="BY14" s="58"/>
      <c r="BZ14" s="58"/>
      <c r="CA14" s="58"/>
      <c r="CB14" s="58"/>
      <c r="CC14" s="58"/>
      <c r="CD14" s="58"/>
      <c r="CE14" s="58">
        <v>1</v>
      </c>
      <c r="CF14" s="58"/>
      <c r="CG14" s="58"/>
      <c r="CH14" s="58"/>
      <c r="CI14" s="68"/>
      <c r="CJ14" s="61" cm="1">
        <f t="array" ref="CJ14">Bin2DecRange($BD14:$CI14)</f>
        <v>274726928</v>
      </c>
      <c r="CK14" s="6" t="str">
        <f t="shared" si="7"/>
        <v>RO_Data[3].COND2[</v>
      </c>
      <c r="CL14" s="64">
        <f t="shared" si="18"/>
        <v>9</v>
      </c>
      <c r="CM14" s="65" t="s">
        <v>22</v>
      </c>
      <c r="CN14" s="67"/>
      <c r="CO14" s="58"/>
      <c r="CP14" s="58"/>
      <c r="CQ14" s="58"/>
      <c r="CR14" s="58"/>
      <c r="CS14" s="58"/>
      <c r="CT14" s="58"/>
      <c r="CU14" s="58"/>
      <c r="CV14" s="58"/>
      <c r="CW14" s="58"/>
      <c r="CX14" s="58"/>
      <c r="CY14" s="58"/>
      <c r="CZ14" s="58"/>
      <c r="DA14" s="58"/>
      <c r="DB14" s="58"/>
      <c r="DC14" s="58"/>
      <c r="DD14" s="58"/>
      <c r="DE14" s="58"/>
      <c r="DF14" s="58"/>
      <c r="DG14" s="58"/>
      <c r="DH14" s="58"/>
      <c r="DI14" s="58"/>
      <c r="DJ14" s="58"/>
      <c r="DK14" s="58"/>
      <c r="DL14" s="58"/>
      <c r="DM14" s="58"/>
      <c r="DN14" s="58"/>
      <c r="DO14" s="58"/>
      <c r="DP14" s="58"/>
      <c r="DQ14" s="58"/>
      <c r="DR14" s="58"/>
      <c r="DS14" s="68"/>
      <c r="DT14" s="61" cm="1">
        <f t="array" ref="DT14">Bin2DecRange($CN14:$DS14)</f>
        <v>0</v>
      </c>
      <c r="DU14" s="6" t="str">
        <f t="shared" si="8"/>
        <v>RO_Data[3].COND3[</v>
      </c>
      <c r="DV14" s="64">
        <f t="shared" si="19"/>
        <v>9</v>
      </c>
      <c r="DW14" s="65" t="s">
        <v>22</v>
      </c>
      <c r="DX14" s="69"/>
      <c r="DY14" s="58"/>
      <c r="DZ14" s="58"/>
      <c r="EA14" s="58">
        <v>1</v>
      </c>
      <c r="EB14" s="58">
        <v>1</v>
      </c>
      <c r="EC14" s="58"/>
      <c r="ED14" s="58">
        <v>1</v>
      </c>
      <c r="EE14" s="58">
        <v>1</v>
      </c>
      <c r="EF14" s="58"/>
      <c r="EG14" s="58">
        <v>1</v>
      </c>
      <c r="EH14" s="58">
        <v>1</v>
      </c>
      <c r="EI14" s="58">
        <v>1</v>
      </c>
      <c r="EJ14" s="58">
        <v>1</v>
      </c>
      <c r="EK14" s="58"/>
      <c r="EL14" s="58"/>
      <c r="EM14" s="58"/>
      <c r="EN14" s="58"/>
      <c r="EO14" s="58"/>
      <c r="EP14" s="58">
        <v>1</v>
      </c>
      <c r="EQ14" s="58">
        <v>1</v>
      </c>
      <c r="ER14" s="58"/>
      <c r="ES14" s="58"/>
      <c r="ET14" s="58"/>
      <c r="EU14" s="58"/>
      <c r="EV14" s="58"/>
      <c r="EW14" s="58"/>
      <c r="EX14" s="58"/>
      <c r="EY14" s="58"/>
      <c r="EZ14" s="58"/>
      <c r="FA14" s="58"/>
      <c r="FB14" s="58"/>
      <c r="FC14" s="68"/>
      <c r="FD14" s="61">
        <f t="array" ref="FD14">Bin2DecRange($DX14:$FC14)</f>
        <v>460861440</v>
      </c>
      <c r="FE14" s="6" t="str">
        <f t="shared" si="9"/>
        <v>RO_Data[3].ACT1[</v>
      </c>
      <c r="FF14" s="64">
        <f t="shared" si="20"/>
        <v>9</v>
      </c>
      <c r="FG14" s="65" t="s">
        <v>22</v>
      </c>
      <c r="FH14" s="69"/>
      <c r="FI14" s="58"/>
      <c r="FJ14" s="58"/>
      <c r="FK14" s="58"/>
      <c r="FL14" s="58"/>
      <c r="FM14" s="58"/>
      <c r="FN14" s="58"/>
      <c r="FO14" s="58"/>
      <c r="FP14" s="58"/>
      <c r="FQ14" s="58"/>
      <c r="FR14" s="58"/>
      <c r="FS14" s="58"/>
      <c r="FT14" s="58"/>
      <c r="FU14" s="58"/>
      <c r="FV14" s="58"/>
      <c r="FW14" s="58"/>
      <c r="FX14" s="58"/>
      <c r="FY14" s="58"/>
      <c r="FZ14" s="58"/>
      <c r="GA14" s="58"/>
      <c r="GB14" s="58"/>
      <c r="GC14" s="58"/>
      <c r="GD14" s="58"/>
      <c r="GE14" s="58">
        <v>1</v>
      </c>
      <c r="GF14" s="58">
        <v>1</v>
      </c>
      <c r="GG14" s="58">
        <v>1</v>
      </c>
      <c r="GH14" s="58">
        <v>1</v>
      </c>
      <c r="GI14" s="58">
        <v>1</v>
      </c>
      <c r="GJ14" s="58">
        <v>1</v>
      </c>
      <c r="GK14" s="58">
        <v>1</v>
      </c>
      <c r="GL14" s="58">
        <v>1</v>
      </c>
      <c r="GM14" s="68">
        <v>1</v>
      </c>
      <c r="GN14" s="61" cm="1">
        <f t="array" ref="GN14">Bin2DecRange($FH14:$GM14)</f>
        <v>511</v>
      </c>
      <c r="GO14" s="6" t="str">
        <f t="shared" si="10"/>
        <v>RO_Data[3].ACT5[</v>
      </c>
      <c r="GP14" s="64">
        <f t="shared" si="21"/>
        <v>9</v>
      </c>
      <c r="GQ14" s="65" t="s">
        <v>22</v>
      </c>
      <c r="GR14" s="69"/>
      <c r="GS14" s="58"/>
      <c r="GT14" s="58"/>
      <c r="GU14" s="58"/>
      <c r="GV14" s="58"/>
      <c r="GW14" s="58"/>
      <c r="GX14" s="58"/>
      <c r="GY14" s="58"/>
      <c r="GZ14" s="58"/>
      <c r="HA14" s="58"/>
      <c r="HB14" s="58"/>
      <c r="HC14" s="58"/>
      <c r="HD14" s="58"/>
      <c r="HE14" s="58"/>
      <c r="HF14" s="58"/>
      <c r="HG14" s="58"/>
      <c r="HH14" s="58"/>
      <c r="HI14" s="58"/>
      <c r="HJ14" s="58"/>
      <c r="HK14" s="58"/>
      <c r="HL14" s="58"/>
      <c r="HM14" s="58"/>
      <c r="HN14" s="58"/>
      <c r="HO14" s="58"/>
      <c r="HP14" s="58"/>
      <c r="HQ14" s="58"/>
      <c r="HR14" s="58"/>
      <c r="HS14" s="58"/>
      <c r="HT14" s="58"/>
      <c r="HU14" s="58"/>
      <c r="HV14" s="58"/>
      <c r="HW14" s="68"/>
      <c r="HX14" s="61" cm="1">
        <f t="array" ref="HX14">Bin2DecRange($GR14:$HW14)</f>
        <v>0</v>
      </c>
      <c r="HY14" s="6" t="str">
        <f t="shared" si="11"/>
        <v>RO_Data[3].ACT6[</v>
      </c>
      <c r="HZ14" s="64">
        <f t="shared" si="22"/>
        <v>9</v>
      </c>
      <c r="IA14" s="65" t="s">
        <v>22</v>
      </c>
      <c r="IB14" s="62" t="s">
        <v>355</v>
      </c>
      <c r="IC14" s="6" t="str">
        <f t="shared" si="12"/>
        <v>RO_Data[3].STEP_DESC[</v>
      </c>
      <c r="ID14" s="64">
        <f t="shared" si="23"/>
        <v>9</v>
      </c>
      <c r="IE14" s="65" t="s">
        <v>22</v>
      </c>
    </row>
    <row r="15" spans="1:239" s="70" customFormat="1" x14ac:dyDescent="0.25">
      <c r="A15" s="61">
        <v>10</v>
      </c>
      <c r="B15" s="61" t="str">
        <f t="shared" si="0"/>
        <v>SHORT CIP WASH</v>
      </c>
      <c r="C15" s="78"/>
      <c r="D15" s="6" t="str">
        <f t="shared" si="1"/>
        <v>RO_Data[3].ACK_DESC[</v>
      </c>
      <c r="E15" s="64">
        <f t="shared" si="13"/>
        <v>10</v>
      </c>
      <c r="F15" s="65" t="s">
        <v>22</v>
      </c>
      <c r="G15" s="162">
        <v>0</v>
      </c>
      <c r="H15" s="6" t="str">
        <f t="shared" si="2"/>
        <v>RO_Data[3].MIN[</v>
      </c>
      <c r="I15" s="64">
        <f t="shared" si="14"/>
        <v>10</v>
      </c>
      <c r="J15" s="65" t="s">
        <v>22</v>
      </c>
      <c r="K15" s="162">
        <v>1</v>
      </c>
      <c r="L15" s="6" t="str">
        <f t="shared" si="3"/>
        <v>RO_Data[3].SEC[</v>
      </c>
      <c r="M15" s="64">
        <f t="shared" si="15"/>
        <v>10</v>
      </c>
      <c r="N15" s="65" t="s">
        <v>22</v>
      </c>
      <c r="O15" s="166">
        <v>0</v>
      </c>
      <c r="P15" s="6" t="str">
        <f t="shared" si="4"/>
        <v>RO_Data[3].SETPOINT[</v>
      </c>
      <c r="Q15" s="64">
        <f t="shared" si="16"/>
        <v>10</v>
      </c>
      <c r="R15" s="65" t="s">
        <v>22</v>
      </c>
      <c r="S15" s="66" t="str">
        <f t="shared" si="5"/>
        <v>P</v>
      </c>
      <c r="T15" s="67"/>
      <c r="U15" s="58"/>
      <c r="V15" s="58"/>
      <c r="W15" s="58"/>
      <c r="X15" s="58"/>
      <c r="Y15" s="58"/>
      <c r="Z15" s="58"/>
      <c r="AA15" s="58"/>
      <c r="AB15" s="58"/>
      <c r="AC15" s="58"/>
      <c r="AD15" s="58"/>
      <c r="AE15" s="58"/>
      <c r="AF15" s="58"/>
      <c r="AG15" s="58"/>
      <c r="AH15" s="58"/>
      <c r="AI15" s="58"/>
      <c r="AJ15" s="58"/>
      <c r="AK15" s="58"/>
      <c r="AL15" s="58"/>
      <c r="AM15" s="58"/>
      <c r="AN15" s="58"/>
      <c r="AO15" s="58"/>
      <c r="AP15" s="58">
        <v>1</v>
      </c>
      <c r="AQ15" s="58"/>
      <c r="AR15" s="58"/>
      <c r="AS15" s="58"/>
      <c r="AT15" s="58"/>
      <c r="AU15" s="58"/>
      <c r="AV15" s="58"/>
      <c r="AW15" s="58"/>
      <c r="AX15" s="58"/>
      <c r="AY15" s="68"/>
      <c r="AZ15" s="61">
        <f t="array" ref="AZ15">Bin2DecRange($T15:$AY15)</f>
        <v>512</v>
      </c>
      <c r="BA15" s="6" t="str">
        <f t="shared" si="6"/>
        <v>RO_Data[3].COND1[</v>
      </c>
      <c r="BB15" s="64">
        <f t="shared" si="17"/>
        <v>10</v>
      </c>
      <c r="BC15" s="65" t="s">
        <v>22</v>
      </c>
      <c r="BD15" s="67"/>
      <c r="BE15" s="58"/>
      <c r="BF15" s="58"/>
      <c r="BG15" s="58"/>
      <c r="BH15" s="58"/>
      <c r="BI15" s="58"/>
      <c r="BJ15" s="58"/>
      <c r="BK15" s="58"/>
      <c r="BL15" s="58"/>
      <c r="BM15" s="58">
        <v>1</v>
      </c>
      <c r="BN15" s="58">
        <v>1</v>
      </c>
      <c r="BO15" s="58"/>
      <c r="BP15" s="58"/>
      <c r="BQ15" s="58"/>
      <c r="BR15" s="58"/>
      <c r="BS15" s="58"/>
      <c r="BT15" s="58"/>
      <c r="BU15" s="58"/>
      <c r="BV15" s="58"/>
      <c r="BW15" s="58">
        <v>1</v>
      </c>
      <c r="BX15" s="58"/>
      <c r="BY15" s="58"/>
      <c r="BZ15" s="58"/>
      <c r="CA15" s="58"/>
      <c r="CB15" s="58"/>
      <c r="CC15" s="58"/>
      <c r="CD15" s="58"/>
      <c r="CE15" s="58">
        <v>1</v>
      </c>
      <c r="CF15" s="58"/>
      <c r="CG15" s="58"/>
      <c r="CH15" s="58"/>
      <c r="CI15" s="68"/>
      <c r="CJ15" s="61" cm="1">
        <f t="array" ref="CJ15">Bin2DecRange($BD15:$CI15)</f>
        <v>6295568</v>
      </c>
      <c r="CK15" s="6" t="str">
        <f t="shared" si="7"/>
        <v>RO_Data[3].COND2[</v>
      </c>
      <c r="CL15" s="64">
        <f t="shared" si="18"/>
        <v>10</v>
      </c>
      <c r="CM15" s="65" t="s">
        <v>22</v>
      </c>
      <c r="CN15" s="67"/>
      <c r="CO15" s="58"/>
      <c r="CP15" s="58"/>
      <c r="CQ15" s="58"/>
      <c r="CR15" s="58"/>
      <c r="CS15" s="58"/>
      <c r="CT15" s="58"/>
      <c r="CU15" s="58"/>
      <c r="CV15" s="58"/>
      <c r="CW15" s="58"/>
      <c r="CX15" s="58"/>
      <c r="CY15" s="58"/>
      <c r="CZ15" s="58"/>
      <c r="DA15" s="58"/>
      <c r="DB15" s="58"/>
      <c r="DC15" s="58"/>
      <c r="DD15" s="58"/>
      <c r="DE15" s="58"/>
      <c r="DF15" s="58"/>
      <c r="DG15" s="58"/>
      <c r="DH15" s="58"/>
      <c r="DI15" s="58"/>
      <c r="DJ15" s="58"/>
      <c r="DK15" s="58"/>
      <c r="DL15" s="58"/>
      <c r="DM15" s="58"/>
      <c r="DN15" s="58"/>
      <c r="DO15" s="58"/>
      <c r="DP15" s="58"/>
      <c r="DQ15" s="58"/>
      <c r="DR15" s="58"/>
      <c r="DS15" s="68"/>
      <c r="DT15" s="61" cm="1">
        <f t="array" ref="DT15">Bin2DecRange($CN15:$DS15)</f>
        <v>0</v>
      </c>
      <c r="DU15" s="6" t="str">
        <f t="shared" si="8"/>
        <v>RO_Data[3].COND3[</v>
      </c>
      <c r="DV15" s="64">
        <f t="shared" si="19"/>
        <v>10</v>
      </c>
      <c r="DW15" s="65" t="s">
        <v>22</v>
      </c>
      <c r="DX15" s="69"/>
      <c r="DY15" s="58"/>
      <c r="DZ15" s="58"/>
      <c r="EA15" s="58">
        <v>1</v>
      </c>
      <c r="EB15" s="58">
        <v>1</v>
      </c>
      <c r="EC15" s="58"/>
      <c r="ED15" s="58">
        <v>1</v>
      </c>
      <c r="EE15" s="58">
        <v>1</v>
      </c>
      <c r="EF15" s="58"/>
      <c r="EG15" s="58">
        <v>1</v>
      </c>
      <c r="EH15" s="58">
        <v>1</v>
      </c>
      <c r="EI15" s="58">
        <v>1</v>
      </c>
      <c r="EJ15" s="58">
        <v>1</v>
      </c>
      <c r="EK15" s="58"/>
      <c r="EL15" s="58"/>
      <c r="EM15" s="58"/>
      <c r="EN15" s="58"/>
      <c r="EO15" s="58"/>
      <c r="EP15" s="58">
        <v>1</v>
      </c>
      <c r="EQ15" s="58">
        <v>1</v>
      </c>
      <c r="ER15" s="58"/>
      <c r="ES15" s="58"/>
      <c r="ET15" s="58"/>
      <c r="EU15" s="58"/>
      <c r="EV15" s="58"/>
      <c r="EW15" s="58"/>
      <c r="EX15" s="58"/>
      <c r="EY15" s="58">
        <v>1</v>
      </c>
      <c r="EZ15" s="58">
        <v>1</v>
      </c>
      <c r="FA15" s="58">
        <v>1</v>
      </c>
      <c r="FB15" s="58"/>
      <c r="FC15" s="68">
        <v>1</v>
      </c>
      <c r="FD15" s="61">
        <f t="array" ref="FD15">Bin2DecRange($DX15:$FC15)</f>
        <v>460861469</v>
      </c>
      <c r="FE15" s="6" t="str">
        <f t="shared" si="9"/>
        <v>RO_Data[3].ACT1[</v>
      </c>
      <c r="FF15" s="64">
        <f t="shared" si="20"/>
        <v>10</v>
      </c>
      <c r="FG15" s="65" t="s">
        <v>22</v>
      </c>
      <c r="FH15" s="69"/>
      <c r="FI15" s="58"/>
      <c r="FJ15" s="58"/>
      <c r="FK15" s="58"/>
      <c r="FL15" s="58"/>
      <c r="FM15" s="58"/>
      <c r="FN15" s="58"/>
      <c r="FO15" s="58"/>
      <c r="FP15" s="58"/>
      <c r="FQ15" s="58"/>
      <c r="FR15" s="58"/>
      <c r="FS15" s="58"/>
      <c r="FT15" s="58"/>
      <c r="FU15" s="58"/>
      <c r="FV15" s="58"/>
      <c r="FW15" s="58"/>
      <c r="FX15" s="58"/>
      <c r="FY15" s="58"/>
      <c r="FZ15" s="58"/>
      <c r="GA15" s="58"/>
      <c r="GB15" s="58"/>
      <c r="GC15" s="58"/>
      <c r="GD15" s="58"/>
      <c r="GE15" s="58">
        <v>1</v>
      </c>
      <c r="GF15" s="58">
        <v>1</v>
      </c>
      <c r="GG15" s="58">
        <v>1</v>
      </c>
      <c r="GH15" s="58">
        <v>1</v>
      </c>
      <c r="GI15" s="58">
        <v>1</v>
      </c>
      <c r="GJ15" s="58">
        <v>1</v>
      </c>
      <c r="GK15" s="58">
        <v>1</v>
      </c>
      <c r="GL15" s="58">
        <v>1</v>
      </c>
      <c r="GM15" s="68">
        <v>1</v>
      </c>
      <c r="GN15" s="61" cm="1">
        <f t="array" ref="GN15">Bin2DecRange($FH15:$GM15)</f>
        <v>511</v>
      </c>
      <c r="GO15" s="6" t="str">
        <f t="shared" si="10"/>
        <v>RO_Data[3].ACT5[</v>
      </c>
      <c r="GP15" s="64">
        <f t="shared" si="21"/>
        <v>10</v>
      </c>
      <c r="GQ15" s="65" t="s">
        <v>22</v>
      </c>
      <c r="GR15" s="69"/>
      <c r="GS15" s="58"/>
      <c r="GT15" s="58"/>
      <c r="GU15" s="58"/>
      <c r="GV15" s="58"/>
      <c r="GW15" s="58"/>
      <c r="GX15" s="58"/>
      <c r="GY15" s="58"/>
      <c r="GZ15" s="58"/>
      <c r="HA15" s="58"/>
      <c r="HB15" s="58"/>
      <c r="HC15" s="58"/>
      <c r="HD15" s="58"/>
      <c r="HE15" s="58"/>
      <c r="HF15" s="58"/>
      <c r="HG15" s="58"/>
      <c r="HH15" s="58"/>
      <c r="HI15" s="58"/>
      <c r="HJ15" s="58"/>
      <c r="HK15" s="58"/>
      <c r="HL15" s="58"/>
      <c r="HM15" s="58"/>
      <c r="HN15" s="58"/>
      <c r="HO15" s="58"/>
      <c r="HP15" s="58"/>
      <c r="HQ15" s="58"/>
      <c r="HR15" s="58"/>
      <c r="HS15" s="58"/>
      <c r="HT15" s="58"/>
      <c r="HU15" s="58"/>
      <c r="HV15" s="58"/>
      <c r="HW15" s="68"/>
      <c r="HX15" s="61" cm="1">
        <f t="array" ref="HX15">Bin2DecRange($GR15:$HW15)</f>
        <v>0</v>
      </c>
      <c r="HY15" s="6" t="str">
        <f t="shared" si="11"/>
        <v>RO_Data[3].ACT6[</v>
      </c>
      <c r="HZ15" s="64">
        <f t="shared" si="22"/>
        <v>10</v>
      </c>
      <c r="IA15" s="65" t="s">
        <v>22</v>
      </c>
      <c r="IB15" s="62" t="s">
        <v>242</v>
      </c>
      <c r="IC15" s="6" t="str">
        <f t="shared" si="12"/>
        <v>RO_Data[3].STEP_DESC[</v>
      </c>
      <c r="ID15" s="64">
        <f t="shared" si="23"/>
        <v>10</v>
      </c>
      <c r="IE15" s="65" t="s">
        <v>22</v>
      </c>
    </row>
    <row r="16" spans="1:239" x14ac:dyDescent="0.25">
      <c r="A16" s="8">
        <v>11</v>
      </c>
      <c r="B16" s="8" t="str">
        <f t="shared" si="0"/>
        <v>PUMPING DOWN FEED TANK</v>
      </c>
      <c r="C16" s="77"/>
      <c r="D16" s="6" t="str">
        <f t="shared" si="1"/>
        <v>RO_Data[3].ACK_DESC[</v>
      </c>
      <c r="E16" s="23">
        <f t="shared" si="13"/>
        <v>11</v>
      </c>
      <c r="F16" s="27" t="s">
        <v>22</v>
      </c>
      <c r="G16" s="161">
        <v>0</v>
      </c>
      <c r="H16" s="6" t="str">
        <f t="shared" si="2"/>
        <v>RO_Data[3].MIN[</v>
      </c>
      <c r="I16" s="23">
        <f t="shared" si="14"/>
        <v>11</v>
      </c>
      <c r="J16" s="27" t="s">
        <v>22</v>
      </c>
      <c r="K16" s="161">
        <v>1</v>
      </c>
      <c r="L16" s="6" t="str">
        <f t="shared" si="3"/>
        <v>RO_Data[3].SEC[</v>
      </c>
      <c r="M16" s="23">
        <f t="shared" si="15"/>
        <v>11</v>
      </c>
      <c r="N16" s="27" t="s">
        <v>22</v>
      </c>
      <c r="O16" s="165">
        <v>0</v>
      </c>
      <c r="P16" s="6" t="str">
        <f t="shared" si="4"/>
        <v>RO_Data[3].SETPOINT[</v>
      </c>
      <c r="Q16" s="23">
        <f t="shared" si="16"/>
        <v>11</v>
      </c>
      <c r="R16" s="27" t="s">
        <v>22</v>
      </c>
      <c r="S16" s="9" t="str">
        <f t="shared" si="5"/>
        <v>P</v>
      </c>
      <c r="T16" s="18"/>
      <c r="U16" s="19"/>
      <c r="V16" s="19"/>
      <c r="W16" s="19"/>
      <c r="X16" s="19"/>
      <c r="Y16" s="58"/>
      <c r="Z16" s="58"/>
      <c r="AA16" s="58"/>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RO_Data[3].COND1[</v>
      </c>
      <c r="BB16" s="23">
        <f t="shared" si="17"/>
        <v>11</v>
      </c>
      <c r="BC16" s="27"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27"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27"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27"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27"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27" t="s">
        <v>22</v>
      </c>
      <c r="IB16" s="10" t="s">
        <v>230</v>
      </c>
      <c r="IC16" s="6" t="str">
        <f t="shared" si="12"/>
        <v>RO_Data[3].STEP_DESC[</v>
      </c>
      <c r="ID16" s="23">
        <f t="shared" si="23"/>
        <v>11</v>
      </c>
      <c r="IE16" s="27" t="s">
        <v>22</v>
      </c>
    </row>
    <row r="17" spans="1:239" x14ac:dyDescent="0.25">
      <c r="A17" s="8">
        <v>12</v>
      </c>
      <c r="B17" s="8" t="str">
        <f t="shared" si="0"/>
        <v>DRAINING FEED BALANCE TANK</v>
      </c>
      <c r="C17" s="77"/>
      <c r="D17" s="6" t="str">
        <f t="shared" si="1"/>
        <v>RO_Data[3].ACK_DESC[</v>
      </c>
      <c r="E17" s="23">
        <f t="shared" si="13"/>
        <v>12</v>
      </c>
      <c r="F17" s="27" t="s">
        <v>22</v>
      </c>
      <c r="G17" s="161">
        <v>0</v>
      </c>
      <c r="H17" s="6" t="str">
        <f t="shared" si="2"/>
        <v>RO_Data[3].MIN[</v>
      </c>
      <c r="I17" s="23">
        <f t="shared" si="14"/>
        <v>12</v>
      </c>
      <c r="J17" s="27" t="s">
        <v>22</v>
      </c>
      <c r="K17" s="161">
        <v>1</v>
      </c>
      <c r="L17" s="6" t="str">
        <f t="shared" si="3"/>
        <v>RO_Data[3].SEC[</v>
      </c>
      <c r="M17" s="23">
        <f t="shared" si="15"/>
        <v>12</v>
      </c>
      <c r="N17" s="27" t="s">
        <v>22</v>
      </c>
      <c r="O17" s="165">
        <v>0</v>
      </c>
      <c r="P17" s="6" t="str">
        <f t="shared" si="4"/>
        <v>RO_Data[3].SETPOINT[</v>
      </c>
      <c r="Q17" s="23">
        <f t="shared" si="16"/>
        <v>12</v>
      </c>
      <c r="R17" s="27" t="s">
        <v>22</v>
      </c>
      <c r="S17" s="9" t="str">
        <f t="shared" si="5"/>
        <v>P</v>
      </c>
      <c r="T17" s="18"/>
      <c r="U17" s="19"/>
      <c r="V17" s="19"/>
      <c r="W17" s="19"/>
      <c r="X17" s="19"/>
      <c r="Y17" s="58"/>
      <c r="Z17" s="58"/>
      <c r="AA17" s="58"/>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RO_Data[3].COND1[</v>
      </c>
      <c r="BB17" s="23">
        <f t="shared" si="17"/>
        <v>12</v>
      </c>
      <c r="BC17" s="27"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27"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27"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27"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27"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27" t="s">
        <v>22</v>
      </c>
      <c r="IB17" s="10" t="s">
        <v>243</v>
      </c>
      <c r="IC17" s="6" t="str">
        <f t="shared" si="12"/>
        <v>RO_Data[3].STEP_DESC[</v>
      </c>
      <c r="ID17" s="23">
        <f t="shared" si="23"/>
        <v>12</v>
      </c>
      <c r="IE17" s="27" t="s">
        <v>22</v>
      </c>
    </row>
    <row r="18" spans="1:239" x14ac:dyDescent="0.25">
      <c r="A18" s="8">
        <v>13</v>
      </c>
      <c r="B18" s="8" t="str">
        <f t="shared" si="0"/>
        <v>FILLING FEED TANK TO SET POINT LEVEL</v>
      </c>
      <c r="C18" s="77"/>
      <c r="D18" s="6" t="str">
        <f t="shared" si="1"/>
        <v>RO_Data[3].ACK_DESC[</v>
      </c>
      <c r="E18" s="23">
        <f t="shared" si="13"/>
        <v>13</v>
      </c>
      <c r="F18" s="27" t="s">
        <v>22</v>
      </c>
      <c r="G18" s="161">
        <v>0</v>
      </c>
      <c r="H18" s="6" t="str">
        <f t="shared" si="2"/>
        <v>RO_Data[3].MIN[</v>
      </c>
      <c r="I18" s="23">
        <f t="shared" si="14"/>
        <v>13</v>
      </c>
      <c r="J18" s="27" t="s">
        <v>22</v>
      </c>
      <c r="K18" s="161">
        <v>1</v>
      </c>
      <c r="L18" s="6" t="str">
        <f t="shared" si="3"/>
        <v>RO_Data[3].SEC[</v>
      </c>
      <c r="M18" s="23">
        <f t="shared" si="15"/>
        <v>13</v>
      </c>
      <c r="N18" s="27" t="s">
        <v>22</v>
      </c>
      <c r="O18" s="165">
        <v>0</v>
      </c>
      <c r="P18" s="6" t="str">
        <f t="shared" si="4"/>
        <v>RO_Data[3].SETPOINT[</v>
      </c>
      <c r="Q18" s="23">
        <f t="shared" si="16"/>
        <v>13</v>
      </c>
      <c r="R18" s="27" t="s">
        <v>22</v>
      </c>
      <c r="S18" s="9" t="str">
        <f t="shared" si="5"/>
        <v>P</v>
      </c>
      <c r="T18" s="18"/>
      <c r="U18" s="19"/>
      <c r="V18" s="19"/>
      <c r="W18" s="19">
        <v>1</v>
      </c>
      <c r="X18" s="19"/>
      <c r="Y18" s="58"/>
      <c r="Z18" s="58"/>
      <c r="AA18" s="58"/>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268501504</v>
      </c>
      <c r="BA18" s="6" t="str">
        <f t="shared" si="6"/>
        <v>RO_Data[3].COND1[</v>
      </c>
      <c r="BB18" s="23">
        <f t="shared" si="17"/>
        <v>13</v>
      </c>
      <c r="BC18" s="27"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27"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27"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27"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27"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27" t="s">
        <v>22</v>
      </c>
      <c r="IB18" s="10" t="s">
        <v>224</v>
      </c>
      <c r="IC18" s="6" t="str">
        <f t="shared" si="12"/>
        <v>RO_Data[3].STEP_DESC[</v>
      </c>
      <c r="ID18" s="23">
        <f t="shared" si="23"/>
        <v>13</v>
      </c>
      <c r="IE18" s="27" t="s">
        <v>22</v>
      </c>
    </row>
    <row r="19" spans="1:239" x14ac:dyDescent="0.25">
      <c r="A19" s="8">
        <v>14</v>
      </c>
      <c r="B19" s="8" t="str">
        <f t="shared" si="0"/>
        <v>STARTING PUMPS</v>
      </c>
      <c r="C19" s="77"/>
      <c r="D19" s="6" t="str">
        <f t="shared" si="1"/>
        <v>RO_Data[3].ACK_DESC[</v>
      </c>
      <c r="E19" s="23">
        <f t="shared" si="13"/>
        <v>14</v>
      </c>
      <c r="F19" s="27" t="s">
        <v>22</v>
      </c>
      <c r="G19" s="161">
        <v>0</v>
      </c>
      <c r="H19" s="6" t="str">
        <f t="shared" si="2"/>
        <v>RO_Data[3].MIN[</v>
      </c>
      <c r="I19" s="23">
        <f t="shared" si="14"/>
        <v>14</v>
      </c>
      <c r="J19" s="27" t="s">
        <v>22</v>
      </c>
      <c r="K19" s="161">
        <v>30</v>
      </c>
      <c r="L19" s="6" t="str">
        <f t="shared" si="3"/>
        <v>RO_Data[3].SEC[</v>
      </c>
      <c r="M19" s="23">
        <f t="shared" si="15"/>
        <v>14</v>
      </c>
      <c r="N19" s="27" t="s">
        <v>22</v>
      </c>
      <c r="O19" s="165">
        <v>0</v>
      </c>
      <c r="P19" s="6" t="str">
        <f t="shared" si="4"/>
        <v>RO_Data[3].SETPOINT[</v>
      </c>
      <c r="Q19" s="23">
        <f t="shared" si="16"/>
        <v>14</v>
      </c>
      <c r="R19" s="27" t="s">
        <v>22</v>
      </c>
      <c r="S19" s="9" t="str">
        <f t="shared" si="5"/>
        <v>P</v>
      </c>
      <c r="T19" s="18"/>
      <c r="U19" s="19"/>
      <c r="V19" s="19"/>
      <c r="W19" s="19">
        <v>1</v>
      </c>
      <c r="X19" s="19"/>
      <c r="Y19" s="58"/>
      <c r="Z19" s="58"/>
      <c r="AA19" s="58">
        <v>1</v>
      </c>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285213184</v>
      </c>
      <c r="BA19" s="6" t="str">
        <f t="shared" si="6"/>
        <v>RO_Data[3].COND1[</v>
      </c>
      <c r="BB19" s="23">
        <f t="shared" si="17"/>
        <v>14</v>
      </c>
      <c r="BC19" s="27"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27"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27"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27"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27"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27" t="s">
        <v>22</v>
      </c>
      <c r="IB19" s="10" t="s">
        <v>225</v>
      </c>
      <c r="IC19" s="6" t="str">
        <f t="shared" si="12"/>
        <v>RO_Data[3].STEP_DESC[</v>
      </c>
      <c r="ID19" s="23">
        <f t="shared" si="23"/>
        <v>14</v>
      </c>
      <c r="IE19" s="27" t="s">
        <v>22</v>
      </c>
    </row>
    <row r="20" spans="1:239" x14ac:dyDescent="0.25">
      <c r="A20" s="8">
        <v>15</v>
      </c>
      <c r="B20" s="8" t="str">
        <f t="shared" si="0"/>
        <v>RINSING STAGES</v>
      </c>
      <c r="C20" s="77"/>
      <c r="D20" s="6" t="str">
        <f t="shared" si="1"/>
        <v>RO_Data[3].ACK_DESC[</v>
      </c>
      <c r="E20" s="23">
        <f t="shared" si="13"/>
        <v>15</v>
      </c>
      <c r="F20" s="27" t="s">
        <v>22</v>
      </c>
      <c r="G20" s="161">
        <v>0</v>
      </c>
      <c r="H20" s="6" t="str">
        <f t="shared" si="2"/>
        <v>RO_Data[3].MIN[</v>
      </c>
      <c r="I20" s="23">
        <f t="shared" si="14"/>
        <v>15</v>
      </c>
      <c r="J20" s="27" t="s">
        <v>22</v>
      </c>
      <c r="K20" s="161">
        <v>1</v>
      </c>
      <c r="L20" s="6" t="str">
        <f t="shared" si="3"/>
        <v>RO_Data[3].SEC[</v>
      </c>
      <c r="M20" s="23">
        <f t="shared" si="15"/>
        <v>15</v>
      </c>
      <c r="N20" s="27" t="s">
        <v>22</v>
      </c>
      <c r="O20" s="165">
        <v>0</v>
      </c>
      <c r="P20" s="6" t="str">
        <f t="shared" si="4"/>
        <v>RO_Data[3].SETPOINT[</v>
      </c>
      <c r="Q20" s="23">
        <f t="shared" si="16"/>
        <v>15</v>
      </c>
      <c r="R20" s="27" t="s">
        <v>22</v>
      </c>
      <c r="S20" s="9" t="str">
        <f t="shared" si="5"/>
        <v>P</v>
      </c>
      <c r="T20" s="18"/>
      <c r="U20" s="19"/>
      <c r="V20" s="19"/>
      <c r="W20" s="19">
        <v>1</v>
      </c>
      <c r="X20" s="19"/>
      <c r="Y20" s="58"/>
      <c r="Z20" s="58"/>
      <c r="AA20" s="58"/>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268440064</v>
      </c>
      <c r="BA20" s="6" t="str">
        <f t="shared" si="6"/>
        <v>RO_Data[3].COND1[</v>
      </c>
      <c r="BB20" s="23">
        <f t="shared" si="17"/>
        <v>15</v>
      </c>
      <c r="BC20" s="27"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27"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27"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27"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27"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27" t="s">
        <v>22</v>
      </c>
      <c r="IB20" s="10" t="s">
        <v>226</v>
      </c>
      <c r="IC20" s="6" t="str">
        <f t="shared" si="12"/>
        <v>RO_Data[3].STEP_DESC[</v>
      </c>
      <c r="ID20" s="23">
        <f t="shared" si="23"/>
        <v>15</v>
      </c>
      <c r="IE20" s="27" t="s">
        <v>22</v>
      </c>
    </row>
    <row r="21" spans="1:239" x14ac:dyDescent="0.25">
      <c r="A21" s="8">
        <v>16</v>
      </c>
      <c r="B21" s="8" t="str">
        <f t="shared" si="0"/>
        <v>PUMPING DOWN FEED TANK</v>
      </c>
      <c r="C21" s="77"/>
      <c r="D21" s="6" t="str">
        <f t="shared" si="1"/>
        <v>RO_Data[3].ACK_DESC[</v>
      </c>
      <c r="E21" s="23">
        <f t="shared" si="13"/>
        <v>16</v>
      </c>
      <c r="F21" s="27" t="s">
        <v>22</v>
      </c>
      <c r="G21" s="161">
        <v>0</v>
      </c>
      <c r="H21" s="6" t="str">
        <f t="shared" si="2"/>
        <v>RO_Data[3].MIN[</v>
      </c>
      <c r="I21" s="23">
        <f t="shared" si="14"/>
        <v>16</v>
      </c>
      <c r="J21" s="27" t="s">
        <v>22</v>
      </c>
      <c r="K21" s="161">
        <v>1</v>
      </c>
      <c r="L21" s="6" t="str">
        <f t="shared" si="3"/>
        <v>RO_Data[3].SEC[</v>
      </c>
      <c r="M21" s="23">
        <f t="shared" si="15"/>
        <v>16</v>
      </c>
      <c r="N21" s="27" t="s">
        <v>22</v>
      </c>
      <c r="O21" s="165">
        <v>0</v>
      </c>
      <c r="P21" s="6" t="str">
        <f t="shared" si="4"/>
        <v>RO_Data[3].SETPOINT[</v>
      </c>
      <c r="Q21" s="23">
        <f t="shared" si="16"/>
        <v>16</v>
      </c>
      <c r="R21" s="27" t="s">
        <v>22</v>
      </c>
      <c r="S21" s="9" t="str">
        <f t="shared" si="5"/>
        <v>P</v>
      </c>
      <c r="T21" s="18"/>
      <c r="U21" s="19"/>
      <c r="V21" s="19"/>
      <c r="W21" s="19"/>
      <c r="X21" s="19"/>
      <c r="Y21" s="58"/>
      <c r="Z21" s="58"/>
      <c r="AA21" s="58"/>
      <c r="AB21" s="19"/>
      <c r="AC21" s="19"/>
      <c r="AD21" s="19"/>
      <c r="AE21" s="19"/>
      <c r="AF21" s="19">
        <v>1</v>
      </c>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524800</v>
      </c>
      <c r="BA21" s="6" t="str">
        <f t="shared" si="6"/>
        <v>RO_Data[3].COND1[</v>
      </c>
      <c r="BB21" s="23">
        <f t="shared" si="17"/>
        <v>16</v>
      </c>
      <c r="BC21" s="27"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27"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27"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27"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27"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27" t="s">
        <v>22</v>
      </c>
      <c r="IB21" s="10" t="s">
        <v>230</v>
      </c>
      <c r="IC21" s="6" t="str">
        <f t="shared" si="12"/>
        <v>RO_Data[3].STEP_DESC[</v>
      </c>
      <c r="ID21" s="23">
        <f t="shared" si="23"/>
        <v>16</v>
      </c>
      <c r="IE21" s="27" t="s">
        <v>22</v>
      </c>
    </row>
    <row r="22" spans="1:239" x14ac:dyDescent="0.25">
      <c r="A22" s="8">
        <v>17</v>
      </c>
      <c r="B22" s="8" t="str">
        <f t="shared" si="0"/>
        <v>DRAINING FEEDTANK</v>
      </c>
      <c r="C22" s="77"/>
      <c r="D22" s="6" t="str">
        <f t="shared" si="1"/>
        <v>RO_Data[3].ACK_DESC[</v>
      </c>
      <c r="E22" s="23">
        <f t="shared" si="13"/>
        <v>17</v>
      </c>
      <c r="F22" s="27" t="s">
        <v>22</v>
      </c>
      <c r="G22" s="161">
        <v>0</v>
      </c>
      <c r="H22" s="6" t="str">
        <f t="shared" si="2"/>
        <v>RO_Data[3].MIN[</v>
      </c>
      <c r="I22" s="23">
        <f t="shared" si="14"/>
        <v>17</v>
      </c>
      <c r="J22" s="27" t="s">
        <v>22</v>
      </c>
      <c r="K22" s="161">
        <v>1</v>
      </c>
      <c r="L22" s="6" t="str">
        <f t="shared" si="3"/>
        <v>RO_Data[3].SEC[</v>
      </c>
      <c r="M22" s="23">
        <f t="shared" si="15"/>
        <v>17</v>
      </c>
      <c r="N22" s="27" t="s">
        <v>22</v>
      </c>
      <c r="O22" s="165">
        <v>0</v>
      </c>
      <c r="P22" s="6" t="str">
        <f t="shared" si="4"/>
        <v>RO_Data[3].SETPOINT[</v>
      </c>
      <c r="Q22" s="23">
        <f t="shared" si="16"/>
        <v>17</v>
      </c>
      <c r="R22" s="27" t="s">
        <v>22</v>
      </c>
      <c r="S22" s="9" t="str">
        <f t="shared" si="5"/>
        <v>P</v>
      </c>
      <c r="T22" s="18"/>
      <c r="U22" s="19"/>
      <c r="V22" s="19"/>
      <c r="W22" s="19"/>
      <c r="X22" s="19"/>
      <c r="Y22" s="58"/>
      <c r="Z22" s="58"/>
      <c r="AA22" s="58"/>
      <c r="AB22" s="19"/>
      <c r="AC22" s="19"/>
      <c r="AD22" s="19"/>
      <c r="AE22" s="19"/>
      <c r="AF22" s="19"/>
      <c r="AG22" s="19"/>
      <c r="AH22" s="19"/>
      <c r="AI22" s="19"/>
      <c r="AJ22" s="19"/>
      <c r="AK22" s="19"/>
      <c r="AL22" s="19"/>
      <c r="AM22" s="19"/>
      <c r="AN22" s="19"/>
      <c r="AO22" s="19"/>
      <c r="AP22" s="19">
        <v>1</v>
      </c>
      <c r="AQ22" s="19"/>
      <c r="AR22" s="19"/>
      <c r="AS22" s="19"/>
      <c r="AT22" s="19"/>
      <c r="AU22" s="19"/>
      <c r="AV22" s="19"/>
      <c r="AW22" s="19"/>
      <c r="AX22" s="19"/>
      <c r="AY22" s="20"/>
      <c r="AZ22" s="8">
        <f t="array" ref="AZ22">Bin2DecRange($T22:$AY22)</f>
        <v>512</v>
      </c>
      <c r="BA22" s="6" t="str">
        <f t="shared" si="6"/>
        <v>RO_Data[3].COND1[</v>
      </c>
      <c r="BB22" s="23">
        <f t="shared" si="17"/>
        <v>17</v>
      </c>
      <c r="BC22" s="27"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27"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27"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27"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27"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27" t="s">
        <v>22</v>
      </c>
      <c r="IB22" s="10" t="s">
        <v>244</v>
      </c>
      <c r="IC22" s="6" t="str">
        <f t="shared" si="12"/>
        <v>RO_Data[3].STEP_DESC[</v>
      </c>
      <c r="ID22" s="23">
        <f t="shared" si="23"/>
        <v>17</v>
      </c>
      <c r="IE22" s="27" t="s">
        <v>22</v>
      </c>
    </row>
    <row r="23" spans="1:239" x14ac:dyDescent="0.25">
      <c r="A23" s="8">
        <v>18</v>
      </c>
      <c r="B23" s="8" t="str">
        <f t="shared" si="0"/>
        <v>CYCLE COMPLETE</v>
      </c>
      <c r="C23" s="77"/>
      <c r="D23" s="6" t="str">
        <f t="shared" si="1"/>
        <v>RO_Data[3].ACK_DESC[</v>
      </c>
      <c r="E23" s="23">
        <f t="shared" si="13"/>
        <v>18</v>
      </c>
      <c r="F23" s="27" t="s">
        <v>22</v>
      </c>
      <c r="G23" s="161">
        <v>0</v>
      </c>
      <c r="H23" s="6" t="str">
        <f t="shared" si="2"/>
        <v>RO_Data[3].MIN[</v>
      </c>
      <c r="I23" s="23">
        <f t="shared" si="14"/>
        <v>18</v>
      </c>
      <c r="J23" s="27" t="s">
        <v>22</v>
      </c>
      <c r="K23" s="161">
        <v>0</v>
      </c>
      <c r="L23" s="6" t="str">
        <f t="shared" si="3"/>
        <v>RO_Data[3].SEC[</v>
      </c>
      <c r="M23" s="23">
        <f t="shared" si="15"/>
        <v>18</v>
      </c>
      <c r="N23" s="27" t="s">
        <v>22</v>
      </c>
      <c r="O23" s="165">
        <v>0</v>
      </c>
      <c r="P23" s="6" t="str">
        <f t="shared" si="4"/>
        <v>RO_Data[3].SETPOINT[</v>
      </c>
      <c r="Q23" s="23">
        <f t="shared" si="16"/>
        <v>18</v>
      </c>
      <c r="R23" s="27" t="s">
        <v>22</v>
      </c>
      <c r="S23" s="9" t="str">
        <f t="shared" si="5"/>
        <v/>
      </c>
      <c r="T23" s="18"/>
      <c r="U23" s="19"/>
      <c r="V23" s="19"/>
      <c r="W23" s="19"/>
      <c r="X23" s="19"/>
      <c r="Y23" s="58"/>
      <c r="Z23" s="58"/>
      <c r="AA23" s="58"/>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v>1</v>
      </c>
      <c r="AZ23" s="8">
        <f t="array" ref="AZ23">Bin2DecRange($T23:$AY23)</f>
        <v>1</v>
      </c>
      <c r="BA23" s="6" t="str">
        <f t="shared" si="6"/>
        <v>RO_Data[3].COND1[</v>
      </c>
      <c r="BB23" s="23">
        <f t="shared" si="17"/>
        <v>18</v>
      </c>
      <c r="BC23" s="27"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27"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27"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27"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27"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27" t="s">
        <v>22</v>
      </c>
      <c r="IB23" s="10" t="s">
        <v>223</v>
      </c>
      <c r="IC23" s="6" t="str">
        <f t="shared" si="12"/>
        <v>RO_Data[3].STEP_DESC[</v>
      </c>
      <c r="ID23" s="23">
        <f t="shared" si="23"/>
        <v>18</v>
      </c>
      <c r="IE23" s="27" t="s">
        <v>22</v>
      </c>
    </row>
    <row r="24" spans="1:239" x14ac:dyDescent="0.25">
      <c r="A24" s="8">
        <v>19</v>
      </c>
      <c r="B24" s="8" t="str">
        <f t="shared" si="0"/>
        <v/>
      </c>
      <c r="C24" s="77"/>
      <c r="D24" s="6" t="str">
        <f t="shared" si="1"/>
        <v>RO_Data[3].ACK_DESC[</v>
      </c>
      <c r="E24" s="23">
        <f t="shared" si="13"/>
        <v>19</v>
      </c>
      <c r="F24" s="27" t="s">
        <v>22</v>
      </c>
      <c r="G24" s="161">
        <v>0</v>
      </c>
      <c r="H24" s="6" t="str">
        <f t="shared" si="2"/>
        <v>RO_Data[3].MIN[</v>
      </c>
      <c r="I24" s="23">
        <f t="shared" si="14"/>
        <v>19</v>
      </c>
      <c r="J24" s="27" t="s">
        <v>22</v>
      </c>
      <c r="K24" s="161">
        <v>0</v>
      </c>
      <c r="L24" s="6" t="str">
        <f t="shared" si="3"/>
        <v>RO_Data[3].SEC[</v>
      </c>
      <c r="M24" s="23">
        <f t="shared" si="15"/>
        <v>19</v>
      </c>
      <c r="N24" s="27" t="s">
        <v>22</v>
      </c>
      <c r="O24" s="165">
        <v>0</v>
      </c>
      <c r="P24" s="6" t="str">
        <f t="shared" si="4"/>
        <v>RO_Data[3].SETPOINT[</v>
      </c>
      <c r="Q24" s="23">
        <f t="shared" si="16"/>
        <v>19</v>
      </c>
      <c r="R24" s="27" t="s">
        <v>22</v>
      </c>
      <c r="S24" s="9" t="str">
        <f t="shared" si="5"/>
        <v/>
      </c>
      <c r="T24" s="18"/>
      <c r="U24" s="19"/>
      <c r="V24" s="19"/>
      <c r="W24" s="19"/>
      <c r="X24" s="19"/>
      <c r="Y24" s="58"/>
      <c r="Z24" s="58"/>
      <c r="AA24" s="58"/>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27"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27"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27"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27"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27"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27" t="s">
        <v>22</v>
      </c>
      <c r="IB24" s="10"/>
      <c r="IC24" s="6" t="str">
        <f t="shared" si="12"/>
        <v>RO_Data[3].STEP_DESC[</v>
      </c>
      <c r="ID24" s="23">
        <f t="shared" si="23"/>
        <v>19</v>
      </c>
      <c r="IE24" s="27" t="s">
        <v>22</v>
      </c>
    </row>
    <row r="25" spans="1:239" x14ac:dyDescent="0.25">
      <c r="A25" s="8">
        <v>20</v>
      </c>
      <c r="B25" s="8" t="str">
        <f t="shared" si="0"/>
        <v/>
      </c>
      <c r="C25" s="77"/>
      <c r="D25" s="6" t="str">
        <f t="shared" si="1"/>
        <v>RO_Data[3].ACK_DESC[</v>
      </c>
      <c r="E25" s="23">
        <f t="shared" si="13"/>
        <v>20</v>
      </c>
      <c r="F25" s="27" t="s">
        <v>22</v>
      </c>
      <c r="G25" s="161">
        <v>0</v>
      </c>
      <c r="H25" s="6" t="str">
        <f t="shared" si="2"/>
        <v>RO_Data[3].MIN[</v>
      </c>
      <c r="I25" s="23">
        <f t="shared" si="14"/>
        <v>20</v>
      </c>
      <c r="J25" s="27" t="s">
        <v>22</v>
      </c>
      <c r="K25" s="161">
        <v>0</v>
      </c>
      <c r="L25" s="6" t="str">
        <f t="shared" si="3"/>
        <v>RO_Data[3].SEC[</v>
      </c>
      <c r="M25" s="23">
        <f t="shared" si="15"/>
        <v>20</v>
      </c>
      <c r="N25" s="27" t="s">
        <v>22</v>
      </c>
      <c r="O25" s="165">
        <v>0</v>
      </c>
      <c r="P25" s="6" t="str">
        <f t="shared" si="4"/>
        <v>RO_Data[3].SETPOINT[</v>
      </c>
      <c r="Q25" s="23">
        <f t="shared" si="16"/>
        <v>20</v>
      </c>
      <c r="R25" s="27" t="s">
        <v>22</v>
      </c>
      <c r="S25" s="9" t="str">
        <f t="shared" si="5"/>
        <v/>
      </c>
      <c r="T25" s="18"/>
      <c r="U25" s="19"/>
      <c r="V25" s="19"/>
      <c r="W25" s="19"/>
      <c r="X25" s="19"/>
      <c r="Y25" s="58"/>
      <c r="Z25" s="58"/>
      <c r="AA25" s="58"/>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27"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27"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27"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27"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27"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27" t="s">
        <v>22</v>
      </c>
      <c r="IB25" s="10"/>
      <c r="IC25" s="6" t="str">
        <f t="shared" si="12"/>
        <v>RO_Data[3].STEP_DESC[</v>
      </c>
      <c r="ID25" s="23">
        <f t="shared" si="23"/>
        <v>20</v>
      </c>
      <c r="IE25" s="27" t="s">
        <v>22</v>
      </c>
    </row>
    <row r="26" spans="1:239" x14ac:dyDescent="0.25">
      <c r="A26" s="8">
        <v>21</v>
      </c>
      <c r="B26" s="8" t="str">
        <f t="shared" si="0"/>
        <v/>
      </c>
      <c r="C26" s="77"/>
      <c r="D26" s="6" t="str">
        <f t="shared" si="1"/>
        <v>RO_Data[3].ACK_DESC[</v>
      </c>
      <c r="E26" s="23">
        <f t="shared" si="13"/>
        <v>21</v>
      </c>
      <c r="F26" s="27" t="s">
        <v>22</v>
      </c>
      <c r="G26" s="161">
        <v>0</v>
      </c>
      <c r="H26" s="6" t="str">
        <f t="shared" si="2"/>
        <v>RO_Data[3].MIN[</v>
      </c>
      <c r="I26" s="23">
        <f t="shared" si="14"/>
        <v>21</v>
      </c>
      <c r="J26" s="27" t="s">
        <v>22</v>
      </c>
      <c r="K26" s="161">
        <v>0</v>
      </c>
      <c r="L26" s="6" t="str">
        <f t="shared" si="3"/>
        <v>RO_Data[3].SEC[</v>
      </c>
      <c r="M26" s="23">
        <f t="shared" si="15"/>
        <v>21</v>
      </c>
      <c r="N26" s="27" t="s">
        <v>22</v>
      </c>
      <c r="O26" s="165">
        <v>0</v>
      </c>
      <c r="P26" s="6" t="str">
        <f t="shared" si="4"/>
        <v>RO_Data[3].SETPOINT[</v>
      </c>
      <c r="Q26" s="23">
        <f t="shared" si="16"/>
        <v>21</v>
      </c>
      <c r="R26" s="27" t="s">
        <v>22</v>
      </c>
      <c r="S26" s="9" t="str">
        <f t="shared" si="5"/>
        <v/>
      </c>
      <c r="T26" s="18"/>
      <c r="U26" s="19"/>
      <c r="V26" s="19"/>
      <c r="W26" s="19"/>
      <c r="X26" s="19"/>
      <c r="Y26" s="58"/>
      <c r="Z26" s="58"/>
      <c r="AA26" s="58"/>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27"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27"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27"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27"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27"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27" t="s">
        <v>22</v>
      </c>
      <c r="IB26" s="10"/>
      <c r="IC26" s="6" t="str">
        <f t="shared" si="12"/>
        <v>RO_Data[3].STEP_DESC[</v>
      </c>
      <c r="ID26" s="23">
        <f t="shared" si="23"/>
        <v>21</v>
      </c>
      <c r="IE26" s="27" t="s">
        <v>22</v>
      </c>
    </row>
    <row r="27" spans="1:239" x14ac:dyDescent="0.25">
      <c r="A27" s="8">
        <v>22</v>
      </c>
      <c r="B27" s="8" t="str">
        <f t="shared" si="0"/>
        <v/>
      </c>
      <c r="C27" s="77"/>
      <c r="D27" s="6" t="str">
        <f t="shared" si="1"/>
        <v>RO_Data[3].ACK_DESC[</v>
      </c>
      <c r="E27" s="23">
        <f t="shared" si="13"/>
        <v>22</v>
      </c>
      <c r="F27" s="27" t="s">
        <v>22</v>
      </c>
      <c r="G27" s="161">
        <v>0</v>
      </c>
      <c r="H27" s="6" t="str">
        <f t="shared" si="2"/>
        <v>RO_Data[3].MIN[</v>
      </c>
      <c r="I27" s="23">
        <f t="shared" si="14"/>
        <v>22</v>
      </c>
      <c r="J27" s="27" t="s">
        <v>22</v>
      </c>
      <c r="K27" s="161">
        <v>0</v>
      </c>
      <c r="L27" s="6" t="str">
        <f t="shared" si="3"/>
        <v>RO_Data[3].SEC[</v>
      </c>
      <c r="M27" s="23">
        <f t="shared" si="15"/>
        <v>22</v>
      </c>
      <c r="N27" s="27" t="s">
        <v>22</v>
      </c>
      <c r="O27" s="165">
        <v>0</v>
      </c>
      <c r="P27" s="6" t="str">
        <f t="shared" si="4"/>
        <v>RO_Data[3].SETPOINT[</v>
      </c>
      <c r="Q27" s="23">
        <f t="shared" si="16"/>
        <v>22</v>
      </c>
      <c r="R27" s="27" t="s">
        <v>22</v>
      </c>
      <c r="S27" s="9" t="str">
        <f t="shared" si="5"/>
        <v/>
      </c>
      <c r="T27" s="18"/>
      <c r="U27" s="19"/>
      <c r="V27" s="19"/>
      <c r="W27" s="19"/>
      <c r="X27" s="19"/>
      <c r="Y27" s="58"/>
      <c r="Z27" s="58"/>
      <c r="AA27" s="58"/>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27"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27"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27"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27"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27"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27" t="s">
        <v>22</v>
      </c>
      <c r="IB27" s="10"/>
      <c r="IC27" s="6" t="str">
        <f t="shared" si="12"/>
        <v>RO_Data[3].STEP_DESC[</v>
      </c>
      <c r="ID27" s="23">
        <f t="shared" si="23"/>
        <v>22</v>
      </c>
      <c r="IE27" s="27" t="s">
        <v>22</v>
      </c>
    </row>
    <row r="28" spans="1:239" x14ac:dyDescent="0.25">
      <c r="A28" s="8">
        <v>23</v>
      </c>
      <c r="B28" s="8" t="str">
        <f t="shared" si="0"/>
        <v/>
      </c>
      <c r="C28" s="77"/>
      <c r="D28" s="6" t="str">
        <f t="shared" si="1"/>
        <v>RO_Data[3].ACK_DESC[</v>
      </c>
      <c r="E28" s="23">
        <f t="shared" si="13"/>
        <v>23</v>
      </c>
      <c r="F28" s="27" t="s">
        <v>22</v>
      </c>
      <c r="G28" s="161">
        <v>0</v>
      </c>
      <c r="H28" s="6" t="str">
        <f t="shared" si="2"/>
        <v>RO_Data[3].MIN[</v>
      </c>
      <c r="I28" s="23">
        <f t="shared" si="14"/>
        <v>23</v>
      </c>
      <c r="J28" s="27" t="s">
        <v>22</v>
      </c>
      <c r="K28" s="161">
        <v>0</v>
      </c>
      <c r="L28" s="6" t="str">
        <f t="shared" si="3"/>
        <v>RO_Data[3].SEC[</v>
      </c>
      <c r="M28" s="23">
        <f t="shared" si="15"/>
        <v>23</v>
      </c>
      <c r="N28" s="27" t="s">
        <v>22</v>
      </c>
      <c r="O28" s="165">
        <v>0</v>
      </c>
      <c r="P28" s="6" t="str">
        <f t="shared" si="4"/>
        <v>RO_Data[3].SETPOINT[</v>
      </c>
      <c r="Q28" s="23">
        <f t="shared" si="16"/>
        <v>23</v>
      </c>
      <c r="R28" s="27" t="s">
        <v>22</v>
      </c>
      <c r="S28" s="9" t="str">
        <f t="shared" si="5"/>
        <v/>
      </c>
      <c r="T28" s="18"/>
      <c r="U28" s="19"/>
      <c r="V28" s="19"/>
      <c r="W28" s="19"/>
      <c r="X28" s="19"/>
      <c r="Y28" s="58"/>
      <c r="Z28" s="58"/>
      <c r="AA28" s="58"/>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27"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27"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27"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27"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27"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27" t="s">
        <v>22</v>
      </c>
      <c r="IB28" s="10"/>
      <c r="IC28" s="6" t="str">
        <f t="shared" si="12"/>
        <v>RO_Data[3].STEP_DESC[</v>
      </c>
      <c r="ID28" s="23">
        <f t="shared" si="23"/>
        <v>23</v>
      </c>
      <c r="IE28" s="27" t="s">
        <v>22</v>
      </c>
    </row>
    <row r="29" spans="1:239" ht="15.75" customHeight="1" x14ac:dyDescent="0.25">
      <c r="A29" s="8">
        <v>24</v>
      </c>
      <c r="B29" s="8" t="str">
        <f t="shared" si="0"/>
        <v/>
      </c>
      <c r="C29" s="10"/>
      <c r="D29" s="6" t="str">
        <f t="shared" si="1"/>
        <v>RO_Data[3].ACK_DESC[</v>
      </c>
      <c r="E29" s="23">
        <f t="shared" si="13"/>
        <v>24</v>
      </c>
      <c r="F29" s="27" t="s">
        <v>22</v>
      </c>
      <c r="G29" s="165">
        <v>0</v>
      </c>
      <c r="H29" s="6" t="str">
        <f t="shared" si="2"/>
        <v>RO_Data[3].MIN[</v>
      </c>
      <c r="I29" s="23">
        <f t="shared" si="14"/>
        <v>24</v>
      </c>
      <c r="J29" s="27" t="s">
        <v>22</v>
      </c>
      <c r="K29" s="165">
        <v>0</v>
      </c>
      <c r="L29" s="6" t="str">
        <f t="shared" si="3"/>
        <v>RO_Data[3].SEC[</v>
      </c>
      <c r="M29" s="23">
        <f t="shared" si="15"/>
        <v>24</v>
      </c>
      <c r="N29" s="27" t="s">
        <v>22</v>
      </c>
      <c r="O29" s="165">
        <v>0</v>
      </c>
      <c r="P29" s="6" t="str">
        <f t="shared" si="4"/>
        <v>RO_Data[3].SETPOINT[</v>
      </c>
      <c r="Q29" s="23">
        <f t="shared" si="16"/>
        <v>24</v>
      </c>
      <c r="R29" s="27" t="s">
        <v>22</v>
      </c>
      <c r="S29" s="80" t="str">
        <f t="shared" si="5"/>
        <v/>
      </c>
      <c r="T29" s="19"/>
      <c r="U29" s="19"/>
      <c r="V29" s="19"/>
      <c r="W29" s="19"/>
      <c r="X29" s="19"/>
      <c r="Y29" s="58"/>
      <c r="Z29" s="58"/>
      <c r="AA29" s="58"/>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27"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27"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27"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27"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27"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27" t="s">
        <v>22</v>
      </c>
      <c r="IB29" s="10"/>
      <c r="IC29" s="6" t="str">
        <f t="shared" si="12"/>
        <v>RO_Data[3].STEP_DESC[</v>
      </c>
      <c r="ID29" s="23">
        <f t="shared" si="23"/>
        <v>24</v>
      </c>
      <c r="IE29" s="27" t="s">
        <v>22</v>
      </c>
    </row>
    <row r="30" spans="1:239" x14ac:dyDescent="0.25">
      <c r="A30" s="8">
        <v>25</v>
      </c>
      <c r="B30" s="8" t="str">
        <f t="shared" si="0"/>
        <v/>
      </c>
      <c r="C30" s="8"/>
      <c r="D30" s="6" t="str">
        <f t="shared" si="1"/>
        <v>RO_Data[3].ACK_DESC[</v>
      </c>
      <c r="E30" s="23">
        <v>25</v>
      </c>
      <c r="F30" s="27" t="s">
        <v>22</v>
      </c>
      <c r="G30" s="165">
        <v>0</v>
      </c>
      <c r="H30" s="6" t="str">
        <f t="shared" si="2"/>
        <v>RO_Data[3].MIN[</v>
      </c>
      <c r="I30" s="23">
        <v>25</v>
      </c>
      <c r="J30" s="27" t="s">
        <v>22</v>
      </c>
      <c r="K30" s="165">
        <v>0</v>
      </c>
      <c r="L30" s="6" t="str">
        <f t="shared" si="3"/>
        <v>RO_Data[3].SEC[</v>
      </c>
      <c r="M30" s="23">
        <v>25</v>
      </c>
      <c r="N30" s="27" t="s">
        <v>22</v>
      </c>
      <c r="O30" s="165">
        <v>0</v>
      </c>
      <c r="P30" s="6" t="str">
        <f t="shared" si="4"/>
        <v>RO_Data[3].SETPOINT[</v>
      </c>
      <c r="Q30" s="23">
        <v>25</v>
      </c>
      <c r="R30" s="27" t="s">
        <v>22</v>
      </c>
      <c r="S30" s="80" t="str">
        <f t="shared" si="5"/>
        <v/>
      </c>
      <c r="T30" s="16"/>
      <c r="U30" s="16"/>
      <c r="V30" s="16"/>
      <c r="W30" s="16"/>
      <c r="X30" s="16"/>
      <c r="Y30" s="57"/>
      <c r="Z30" s="57"/>
      <c r="AA30" s="57"/>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27" t="s">
        <v>22</v>
      </c>
      <c r="BD30" s="75"/>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27" t="s">
        <v>22</v>
      </c>
      <c r="CN30" s="75"/>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27" t="s">
        <v>22</v>
      </c>
      <c r="DX30" s="75"/>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27" t="s">
        <v>22</v>
      </c>
      <c r="FH30" s="75"/>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27" t="s">
        <v>22</v>
      </c>
      <c r="GR30" s="75"/>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27" t="s">
        <v>22</v>
      </c>
      <c r="IB30" s="8"/>
      <c r="IC30" s="6" t="str">
        <f t="shared" si="12"/>
        <v>RO_Data[3].STEP_DESC[</v>
      </c>
      <c r="ID30" s="23">
        <v>25</v>
      </c>
      <c r="IE30" s="27" t="s">
        <v>22</v>
      </c>
    </row>
    <row r="31" spans="1:239" x14ac:dyDescent="0.25">
      <c r="A31" s="8">
        <v>26</v>
      </c>
      <c r="B31" s="8" t="str">
        <f t="shared" si="0"/>
        <v/>
      </c>
      <c r="C31" s="8"/>
      <c r="D31" s="6" t="str">
        <f t="shared" si="1"/>
        <v>RO_Data[3].ACK_DESC[</v>
      </c>
      <c r="E31" s="23">
        <v>26</v>
      </c>
      <c r="F31" s="27" t="s">
        <v>22</v>
      </c>
      <c r="G31" s="165">
        <v>0</v>
      </c>
      <c r="H31" s="6" t="str">
        <f t="shared" si="2"/>
        <v>RO_Data[3].MIN[</v>
      </c>
      <c r="I31" s="23">
        <v>26</v>
      </c>
      <c r="J31" s="27" t="s">
        <v>22</v>
      </c>
      <c r="K31" s="165">
        <v>0</v>
      </c>
      <c r="L31" s="6" t="str">
        <f t="shared" si="3"/>
        <v>RO_Data[3].SEC[</v>
      </c>
      <c r="M31" s="23">
        <v>26</v>
      </c>
      <c r="N31" s="27" t="s">
        <v>22</v>
      </c>
      <c r="O31" s="165">
        <v>0</v>
      </c>
      <c r="P31" s="6" t="str">
        <f t="shared" si="4"/>
        <v>RO_Data[3].SETPOINT[</v>
      </c>
      <c r="Q31" s="23">
        <v>26</v>
      </c>
      <c r="R31" s="27" t="s">
        <v>22</v>
      </c>
      <c r="S31" s="80" t="str">
        <f t="shared" si="5"/>
        <v/>
      </c>
      <c r="T31" s="16"/>
      <c r="U31" s="16"/>
      <c r="V31" s="16"/>
      <c r="W31" s="16"/>
      <c r="X31" s="16"/>
      <c r="Y31" s="57"/>
      <c r="Z31" s="57"/>
      <c r="AA31" s="57"/>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27" t="s">
        <v>22</v>
      </c>
      <c r="BD31" s="75"/>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27" t="s">
        <v>22</v>
      </c>
      <c r="CN31" s="75"/>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27" t="s">
        <v>22</v>
      </c>
      <c r="DX31" s="75"/>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27" t="s">
        <v>22</v>
      </c>
      <c r="FH31" s="75"/>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27" t="s">
        <v>22</v>
      </c>
      <c r="GR31" s="75"/>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27" t="s">
        <v>22</v>
      </c>
      <c r="IB31" s="8"/>
      <c r="IC31" s="6" t="str">
        <f t="shared" si="12"/>
        <v>RO_Data[3].STEP_DESC[</v>
      </c>
      <c r="ID31" s="23">
        <v>26</v>
      </c>
      <c r="IE31" s="27" t="s">
        <v>22</v>
      </c>
    </row>
    <row r="32" spans="1:239" x14ac:dyDescent="0.25">
      <c r="A32" s="8">
        <v>27</v>
      </c>
      <c r="B32" s="8" t="str">
        <f t="shared" si="0"/>
        <v/>
      </c>
      <c r="C32" s="8"/>
      <c r="D32" s="6" t="str">
        <f t="shared" si="1"/>
        <v>RO_Data[3].ACK_DESC[</v>
      </c>
      <c r="E32" s="23">
        <v>27</v>
      </c>
      <c r="F32" s="27" t="s">
        <v>22</v>
      </c>
      <c r="G32" s="165">
        <v>0</v>
      </c>
      <c r="H32" s="6" t="str">
        <f t="shared" si="2"/>
        <v>RO_Data[3].MIN[</v>
      </c>
      <c r="I32" s="23">
        <v>27</v>
      </c>
      <c r="J32" s="27" t="s">
        <v>22</v>
      </c>
      <c r="K32" s="165">
        <v>0</v>
      </c>
      <c r="L32" s="6" t="str">
        <f t="shared" si="3"/>
        <v>RO_Data[3].SEC[</v>
      </c>
      <c r="M32" s="23">
        <v>27</v>
      </c>
      <c r="N32" s="27" t="s">
        <v>22</v>
      </c>
      <c r="O32" s="165">
        <v>0</v>
      </c>
      <c r="P32" s="6" t="str">
        <f t="shared" si="4"/>
        <v>RO_Data[3].SETPOINT[</v>
      </c>
      <c r="Q32" s="23">
        <v>27</v>
      </c>
      <c r="R32" s="27" t="s">
        <v>22</v>
      </c>
      <c r="S32" s="80" t="str">
        <f t="shared" si="5"/>
        <v/>
      </c>
      <c r="T32" s="16"/>
      <c r="U32" s="16"/>
      <c r="V32" s="16"/>
      <c r="W32" s="16"/>
      <c r="X32" s="16"/>
      <c r="Y32" s="57"/>
      <c r="Z32" s="57"/>
      <c r="AA32" s="57"/>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27" t="s">
        <v>22</v>
      </c>
      <c r="BD32" s="75"/>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27" t="s">
        <v>22</v>
      </c>
      <c r="CN32" s="75"/>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27" t="s">
        <v>22</v>
      </c>
      <c r="DX32" s="75"/>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27" t="s">
        <v>22</v>
      </c>
      <c r="FH32" s="75"/>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27" t="s">
        <v>22</v>
      </c>
      <c r="GR32" s="75"/>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27" t="s">
        <v>22</v>
      </c>
      <c r="IB32" s="8"/>
      <c r="IC32" s="6" t="str">
        <f t="shared" si="12"/>
        <v>RO_Data[3].STEP_DESC[</v>
      </c>
      <c r="ID32" s="23">
        <v>27</v>
      </c>
      <c r="IE32" s="27" t="s">
        <v>22</v>
      </c>
    </row>
    <row r="33" spans="1:239" x14ac:dyDescent="0.25">
      <c r="A33" s="8">
        <v>28</v>
      </c>
      <c r="B33" s="8" t="str">
        <f t="shared" si="0"/>
        <v/>
      </c>
      <c r="C33" s="8"/>
      <c r="D33" s="6" t="str">
        <f t="shared" si="1"/>
        <v>RO_Data[3].ACK_DESC[</v>
      </c>
      <c r="E33" s="23">
        <v>28</v>
      </c>
      <c r="F33" s="27" t="s">
        <v>22</v>
      </c>
      <c r="G33" s="165">
        <v>0</v>
      </c>
      <c r="H33" s="6" t="str">
        <f t="shared" si="2"/>
        <v>RO_Data[3].MIN[</v>
      </c>
      <c r="I33" s="23">
        <v>28</v>
      </c>
      <c r="J33" s="27" t="s">
        <v>22</v>
      </c>
      <c r="K33" s="165">
        <v>0</v>
      </c>
      <c r="L33" s="6" t="str">
        <f t="shared" si="3"/>
        <v>RO_Data[3].SEC[</v>
      </c>
      <c r="M33" s="23">
        <v>28</v>
      </c>
      <c r="N33" s="27" t="s">
        <v>22</v>
      </c>
      <c r="O33" s="165">
        <v>0</v>
      </c>
      <c r="P33" s="6" t="str">
        <f t="shared" si="4"/>
        <v>RO_Data[3].SETPOINT[</v>
      </c>
      <c r="Q33" s="23">
        <v>28</v>
      </c>
      <c r="R33" s="27" t="s">
        <v>22</v>
      </c>
      <c r="S33" s="80" t="str">
        <f t="shared" si="5"/>
        <v/>
      </c>
      <c r="T33" s="16"/>
      <c r="U33" s="16"/>
      <c r="V33" s="16"/>
      <c r="W33" s="16"/>
      <c r="X33" s="16"/>
      <c r="Y33" s="57"/>
      <c r="Z33" s="57"/>
      <c r="AA33" s="57"/>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27" t="s">
        <v>22</v>
      </c>
      <c r="BD33" s="75"/>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27" t="s">
        <v>22</v>
      </c>
      <c r="CN33" s="75"/>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27" t="s">
        <v>22</v>
      </c>
      <c r="DX33" s="75"/>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27" t="s">
        <v>22</v>
      </c>
      <c r="FH33" s="75"/>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27" t="s">
        <v>22</v>
      </c>
      <c r="GR33" s="75"/>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27" t="s">
        <v>22</v>
      </c>
      <c r="IB33" s="8"/>
      <c r="IC33" s="6" t="str">
        <f t="shared" si="12"/>
        <v>RO_Data[3].STEP_DESC[</v>
      </c>
      <c r="ID33" s="23">
        <v>28</v>
      </c>
      <c r="IE33" s="27" t="s">
        <v>22</v>
      </c>
    </row>
    <row r="34" spans="1:239" x14ac:dyDescent="0.25">
      <c r="A34" s="8">
        <v>29</v>
      </c>
      <c r="B34" s="8" t="str">
        <f t="shared" si="0"/>
        <v/>
      </c>
      <c r="C34" s="8"/>
      <c r="D34" s="6" t="str">
        <f t="shared" si="1"/>
        <v>RO_Data[3].ACK_DESC[</v>
      </c>
      <c r="E34" s="23">
        <v>29</v>
      </c>
      <c r="F34" s="27" t="s">
        <v>22</v>
      </c>
      <c r="G34" s="165">
        <v>0</v>
      </c>
      <c r="H34" s="6" t="str">
        <f t="shared" si="2"/>
        <v>RO_Data[3].MIN[</v>
      </c>
      <c r="I34" s="23">
        <v>29</v>
      </c>
      <c r="J34" s="27" t="s">
        <v>22</v>
      </c>
      <c r="K34" s="165">
        <v>0</v>
      </c>
      <c r="L34" s="6" t="str">
        <f t="shared" si="3"/>
        <v>RO_Data[3].SEC[</v>
      </c>
      <c r="M34" s="23">
        <v>29</v>
      </c>
      <c r="N34" s="27" t="s">
        <v>22</v>
      </c>
      <c r="O34" s="165">
        <v>0</v>
      </c>
      <c r="P34" s="6" t="str">
        <f t="shared" si="4"/>
        <v>RO_Data[3].SETPOINT[</v>
      </c>
      <c r="Q34" s="23">
        <v>29</v>
      </c>
      <c r="R34" s="27" t="s">
        <v>22</v>
      </c>
      <c r="S34" s="80" t="str">
        <f t="shared" si="5"/>
        <v/>
      </c>
      <c r="T34" s="16"/>
      <c r="U34" s="16"/>
      <c r="V34" s="16"/>
      <c r="W34" s="16"/>
      <c r="X34" s="16"/>
      <c r="Y34" s="57"/>
      <c r="Z34" s="57"/>
      <c r="AA34" s="57"/>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27" t="s">
        <v>22</v>
      </c>
      <c r="BD34" s="75"/>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27" t="s">
        <v>22</v>
      </c>
      <c r="CN34" s="75"/>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27" t="s">
        <v>22</v>
      </c>
      <c r="DX34" s="75"/>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27" t="s">
        <v>22</v>
      </c>
      <c r="FH34" s="75"/>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27" t="s">
        <v>22</v>
      </c>
      <c r="GR34" s="75"/>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27" t="s">
        <v>22</v>
      </c>
      <c r="IB34" s="8"/>
      <c r="IC34" s="6" t="str">
        <f t="shared" si="12"/>
        <v>RO_Data[3].STEP_DESC[</v>
      </c>
      <c r="ID34" s="23">
        <v>29</v>
      </c>
      <c r="IE34" s="27" t="s">
        <v>22</v>
      </c>
    </row>
    <row r="35" spans="1:239" ht="15.75" thickBot="1" x14ac:dyDescent="0.3">
      <c r="A35" s="53">
        <v>30</v>
      </c>
      <c r="B35" s="53" t="str">
        <f t="shared" si="0"/>
        <v/>
      </c>
      <c r="C35" s="53"/>
      <c r="D35" s="51" t="str">
        <f t="shared" si="1"/>
        <v>RO_Data[3].ACK_DESC[</v>
      </c>
      <c r="E35" s="52">
        <v>30</v>
      </c>
      <c r="F35" s="55" t="s">
        <v>22</v>
      </c>
      <c r="G35" s="167">
        <v>0</v>
      </c>
      <c r="H35" s="51" t="str">
        <f t="shared" si="2"/>
        <v>RO_Data[3].MIN[</v>
      </c>
      <c r="I35" s="52">
        <v>30</v>
      </c>
      <c r="J35" s="55" t="s">
        <v>22</v>
      </c>
      <c r="K35" s="167">
        <v>0</v>
      </c>
      <c r="L35" s="51" t="str">
        <f t="shared" si="3"/>
        <v>RO_Data[3].SEC[</v>
      </c>
      <c r="M35" s="52">
        <v>30</v>
      </c>
      <c r="N35" s="55" t="s">
        <v>22</v>
      </c>
      <c r="O35" s="167">
        <v>0</v>
      </c>
      <c r="P35" s="51" t="str">
        <f t="shared" si="4"/>
        <v>RO_Data[3].SETPOINT[</v>
      </c>
      <c r="Q35" s="52">
        <v>30</v>
      </c>
      <c r="R35" s="55" t="s">
        <v>22</v>
      </c>
      <c r="S35" s="81" t="str">
        <f t="shared" si="5"/>
        <v/>
      </c>
      <c r="T35" s="82"/>
      <c r="U35" s="82"/>
      <c r="V35" s="82"/>
      <c r="W35" s="82"/>
      <c r="X35" s="82"/>
      <c r="Y35" s="83"/>
      <c r="Z35" s="83"/>
      <c r="AA35" s="83"/>
      <c r="AB35" s="82"/>
      <c r="AC35" s="82"/>
      <c r="AD35" s="82"/>
      <c r="AE35" s="82"/>
      <c r="AF35" s="82"/>
      <c r="AG35" s="82"/>
      <c r="AH35" s="82"/>
      <c r="AI35" s="82"/>
      <c r="AJ35" s="82"/>
      <c r="AK35" s="82"/>
      <c r="AL35" s="82"/>
      <c r="AM35" s="82"/>
      <c r="AN35" s="82"/>
      <c r="AO35" s="82"/>
      <c r="AP35" s="82"/>
      <c r="AQ35" s="82"/>
      <c r="AR35" s="82"/>
      <c r="AS35" s="82"/>
      <c r="AT35" s="82"/>
      <c r="AU35" s="82"/>
      <c r="AV35" s="82"/>
      <c r="AW35" s="82"/>
      <c r="AX35" s="82"/>
      <c r="AY35" s="84"/>
      <c r="AZ35" s="53">
        <f t="array" ref="AZ35">Bin2DecRange($T35:$AY35)</f>
        <v>0</v>
      </c>
      <c r="BA35" s="51" t="str">
        <f t="shared" si="6"/>
        <v>RO_Data[3].COND1[</v>
      </c>
      <c r="BB35" s="52">
        <v>30</v>
      </c>
      <c r="BC35" s="55" t="s">
        <v>22</v>
      </c>
      <c r="BD35" s="85"/>
      <c r="BE35" s="82"/>
      <c r="BF35" s="82"/>
      <c r="BG35" s="82"/>
      <c r="BH35" s="82"/>
      <c r="BI35" s="82"/>
      <c r="BJ35" s="82"/>
      <c r="BK35" s="82"/>
      <c r="BL35" s="82"/>
      <c r="BM35" s="82"/>
      <c r="BN35" s="82"/>
      <c r="BO35" s="82"/>
      <c r="BP35" s="82"/>
      <c r="BQ35" s="82"/>
      <c r="BR35" s="82"/>
      <c r="BS35" s="82"/>
      <c r="BT35" s="82"/>
      <c r="BU35" s="82"/>
      <c r="BV35" s="82"/>
      <c r="BW35" s="82"/>
      <c r="BX35" s="82"/>
      <c r="BY35" s="82"/>
      <c r="BZ35" s="82"/>
      <c r="CA35" s="82"/>
      <c r="CB35" s="82"/>
      <c r="CC35" s="82"/>
      <c r="CD35" s="82"/>
      <c r="CE35" s="82"/>
      <c r="CF35" s="82"/>
      <c r="CG35" s="82"/>
      <c r="CH35" s="82"/>
      <c r="CI35" s="84"/>
      <c r="CJ35" s="53" cm="1">
        <f t="array" ref="CJ35">Bin2DecRange($BD35:$CI35)</f>
        <v>0</v>
      </c>
      <c r="CK35" s="51" t="str">
        <f t="shared" si="7"/>
        <v>RO_Data[3].COND2[</v>
      </c>
      <c r="CL35" s="52">
        <v>30</v>
      </c>
      <c r="CM35" s="55" t="s">
        <v>22</v>
      </c>
      <c r="CN35" s="85"/>
      <c r="CO35" s="82"/>
      <c r="CP35" s="82"/>
      <c r="CQ35" s="82"/>
      <c r="CR35" s="82"/>
      <c r="CS35" s="82"/>
      <c r="CT35" s="82"/>
      <c r="CU35" s="82"/>
      <c r="CV35" s="82"/>
      <c r="CW35" s="82"/>
      <c r="CX35" s="82"/>
      <c r="CY35" s="82"/>
      <c r="CZ35" s="82"/>
      <c r="DA35" s="82"/>
      <c r="DB35" s="82"/>
      <c r="DC35" s="82"/>
      <c r="DD35" s="82"/>
      <c r="DE35" s="82"/>
      <c r="DF35" s="82"/>
      <c r="DG35" s="82"/>
      <c r="DH35" s="82"/>
      <c r="DI35" s="82"/>
      <c r="DJ35" s="82"/>
      <c r="DK35" s="82"/>
      <c r="DL35" s="82"/>
      <c r="DM35" s="82"/>
      <c r="DN35" s="82"/>
      <c r="DO35" s="82"/>
      <c r="DP35" s="82"/>
      <c r="DQ35" s="82"/>
      <c r="DR35" s="82"/>
      <c r="DS35" s="84"/>
      <c r="DT35" s="53" cm="1">
        <f t="array" ref="DT35">Bin2DecRange($CN35:$DS35)</f>
        <v>0</v>
      </c>
      <c r="DU35" s="51" t="str">
        <f t="shared" si="8"/>
        <v>RO_Data[3].COND3[</v>
      </c>
      <c r="DV35" s="52">
        <v>30</v>
      </c>
      <c r="DW35" s="55" t="s">
        <v>22</v>
      </c>
      <c r="DX35" s="85"/>
      <c r="DY35" s="82"/>
      <c r="DZ35" s="82"/>
      <c r="EA35" s="82"/>
      <c r="EB35" s="82"/>
      <c r="EC35" s="82"/>
      <c r="ED35" s="82"/>
      <c r="EE35" s="82"/>
      <c r="EF35" s="82"/>
      <c r="EG35" s="82"/>
      <c r="EH35" s="82"/>
      <c r="EI35" s="82"/>
      <c r="EJ35" s="82"/>
      <c r="EK35" s="82"/>
      <c r="EL35" s="82"/>
      <c r="EM35" s="82"/>
      <c r="EN35" s="82"/>
      <c r="EO35" s="82"/>
      <c r="EP35" s="82"/>
      <c r="EQ35" s="82"/>
      <c r="ER35" s="82"/>
      <c r="ES35" s="82"/>
      <c r="ET35" s="82"/>
      <c r="EU35" s="82"/>
      <c r="EV35" s="82"/>
      <c r="EW35" s="82"/>
      <c r="EX35" s="82"/>
      <c r="EY35" s="82"/>
      <c r="EZ35" s="82"/>
      <c r="FA35" s="82"/>
      <c r="FB35" s="82"/>
      <c r="FC35" s="84"/>
      <c r="FD35" s="53">
        <f t="array" ref="FD35">Bin2DecRange($DX35:$FC35)</f>
        <v>0</v>
      </c>
      <c r="FE35" s="51" t="str">
        <f t="shared" si="9"/>
        <v>RO_Data[3].ACT1[</v>
      </c>
      <c r="FF35" s="52">
        <v>30</v>
      </c>
      <c r="FG35" s="55" t="s">
        <v>22</v>
      </c>
      <c r="FH35" s="85"/>
      <c r="FI35" s="82"/>
      <c r="FJ35" s="82"/>
      <c r="FK35" s="82"/>
      <c r="FL35" s="82"/>
      <c r="FM35" s="82"/>
      <c r="FN35" s="82"/>
      <c r="FO35" s="82"/>
      <c r="FP35" s="82"/>
      <c r="FQ35" s="82"/>
      <c r="FR35" s="82"/>
      <c r="FS35" s="82"/>
      <c r="FT35" s="82"/>
      <c r="FU35" s="82"/>
      <c r="FV35" s="82"/>
      <c r="FW35" s="82"/>
      <c r="FX35" s="82"/>
      <c r="FY35" s="82"/>
      <c r="FZ35" s="82"/>
      <c r="GA35" s="82"/>
      <c r="GB35" s="82"/>
      <c r="GC35" s="82"/>
      <c r="GD35" s="82"/>
      <c r="GE35" s="82"/>
      <c r="GF35" s="82"/>
      <c r="GG35" s="82"/>
      <c r="GH35" s="82"/>
      <c r="GI35" s="82"/>
      <c r="GJ35" s="82"/>
      <c r="GK35" s="82"/>
      <c r="GL35" s="82"/>
      <c r="GM35" s="84"/>
      <c r="GN35" s="53" cm="1">
        <f t="array" ref="GN35">Bin2DecRange($FH35:$GM35)</f>
        <v>0</v>
      </c>
      <c r="GO35" s="51" t="str">
        <f t="shared" si="10"/>
        <v>RO_Data[3].ACT5[</v>
      </c>
      <c r="GP35" s="52">
        <v>30</v>
      </c>
      <c r="GQ35" s="55" t="s">
        <v>22</v>
      </c>
      <c r="GR35" s="85"/>
      <c r="GS35" s="82"/>
      <c r="GT35" s="82"/>
      <c r="GU35" s="82"/>
      <c r="GV35" s="82"/>
      <c r="GW35" s="82"/>
      <c r="GX35" s="82"/>
      <c r="GY35" s="82"/>
      <c r="GZ35" s="82"/>
      <c r="HA35" s="82"/>
      <c r="HB35" s="82"/>
      <c r="HC35" s="82"/>
      <c r="HD35" s="82"/>
      <c r="HE35" s="82"/>
      <c r="HF35" s="82"/>
      <c r="HG35" s="82"/>
      <c r="HH35" s="82"/>
      <c r="HI35" s="82"/>
      <c r="HJ35" s="82"/>
      <c r="HK35" s="82"/>
      <c r="HL35" s="82"/>
      <c r="HM35" s="82"/>
      <c r="HN35" s="82"/>
      <c r="HO35" s="82"/>
      <c r="HP35" s="82"/>
      <c r="HQ35" s="82"/>
      <c r="HR35" s="82"/>
      <c r="HS35" s="82"/>
      <c r="HT35" s="82"/>
      <c r="HU35" s="82"/>
      <c r="HV35" s="82"/>
      <c r="HW35" s="84"/>
      <c r="HX35" s="53" cm="1">
        <f t="array" ref="HX35">Bin2DecRange($GR35:$HW35)</f>
        <v>0</v>
      </c>
      <c r="HY35" s="51" t="str">
        <f t="shared" si="11"/>
        <v>RO_Data[3].ACT6[</v>
      </c>
      <c r="HZ35" s="52">
        <v>30</v>
      </c>
      <c r="IA35" s="55" t="s">
        <v>22</v>
      </c>
      <c r="IB35" s="53"/>
      <c r="IC35" s="51" t="str">
        <f t="shared" si="12"/>
        <v>RO_Data[3].STEP_DESC[</v>
      </c>
      <c r="ID35" s="52">
        <v>30</v>
      </c>
      <c r="IE35" s="55"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01C924B-D21B-4147-80FD-7F4E9EFE41FA}">
          <x14:formula1>
            <xm:f>'Main Program'!$B$32:$B$37</xm:f>
          </x14:formula1>
          <xm:sqref>AZ3 C3 K3 O3 G3 HX3 GN3 DT3 CJ3 IB3 FD3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F13E-3266-487E-818E-378DD38396F0}">
  <sheetPr codeName="Sheet6"/>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H15" sqref="H15"/>
    </sheetView>
  </sheetViews>
  <sheetFormatPr defaultRowHeight="15" x14ac:dyDescent="0.25"/>
  <cols>
    <col min="1" max="1" width="6.7109375" style="72" bestFit="1" customWidth="1"/>
    <col min="2" max="2" width="45" style="72" bestFit="1" customWidth="1"/>
    <col min="3" max="3" width="29" style="72" customWidth="1"/>
    <col min="4" max="4" width="22.5703125" style="72" customWidth="1"/>
    <col min="5" max="5" width="4.42578125" style="25" bestFit="1" customWidth="1"/>
    <col min="6" max="6" width="1.85546875" style="72" customWidth="1"/>
    <col min="7" max="7" width="12.42578125" style="72" customWidth="1"/>
    <col min="8" max="8" width="17.140625" style="72" customWidth="1"/>
    <col min="9" max="9" width="4.42578125" style="25" bestFit="1" customWidth="1"/>
    <col min="10" max="10" width="1.7109375" style="72" customWidth="1"/>
    <col min="11" max="11" width="12.42578125" style="72" customWidth="1"/>
    <col min="12" max="12" width="16.42578125" style="72" customWidth="1"/>
    <col min="13" max="13" width="4.42578125" style="25" bestFit="1" customWidth="1"/>
    <col min="14" max="14" width="1.7109375" style="72" customWidth="1"/>
    <col min="15" max="15" width="12.5703125" style="72" customWidth="1"/>
    <col min="16" max="16" width="22.140625" style="72" customWidth="1"/>
    <col min="17" max="17" width="4.42578125" style="25" bestFit="1" customWidth="1"/>
    <col min="18" max="18" width="2" style="72" bestFit="1" customWidth="1"/>
    <col min="19" max="19" width="3.5703125" style="72" customWidth="1"/>
    <col min="20" max="24" width="3" style="25" customWidth="1"/>
    <col min="25" max="27" width="3" style="59" customWidth="1"/>
    <col min="28" max="51" width="3" style="25" customWidth="1"/>
    <col min="52" max="52" width="12.7109375" style="72" bestFit="1" customWidth="1"/>
    <col min="53" max="53" width="20.140625" style="72" bestFit="1" customWidth="1"/>
    <col min="54" max="54" width="4.42578125" style="25" bestFit="1" customWidth="1"/>
    <col min="55" max="55" width="1.7109375" style="72" bestFit="1" customWidth="1"/>
    <col min="56" max="87" width="3" style="25" customWidth="1"/>
    <col min="88" max="88" width="11.85546875" style="72" bestFit="1" customWidth="1"/>
    <col min="89" max="89" width="19.7109375" style="72" bestFit="1" customWidth="1"/>
    <col min="90" max="90" width="4.42578125" style="25" bestFit="1" customWidth="1"/>
    <col min="91" max="91" width="1.7109375" style="72" bestFit="1" customWidth="1"/>
    <col min="92" max="123" width="3" style="25" customWidth="1"/>
    <col min="124" max="124" width="11.85546875" style="72" bestFit="1" customWidth="1"/>
    <col min="125" max="125" width="19.7109375" style="72" bestFit="1" customWidth="1"/>
    <col min="126" max="126" width="4.42578125" style="25" bestFit="1" customWidth="1"/>
    <col min="127" max="127" width="1.7109375" style="72" bestFit="1" customWidth="1"/>
    <col min="128" max="142" width="3" style="25" customWidth="1"/>
    <col min="143" max="143" width="3.140625" style="25" bestFit="1" customWidth="1"/>
    <col min="144" max="159" width="3" style="25" customWidth="1"/>
    <col min="160" max="160" width="11.5703125" style="72" bestFit="1" customWidth="1"/>
    <col min="161" max="161" width="17.85546875" style="72" bestFit="1" customWidth="1"/>
    <col min="162" max="162" width="4.42578125" style="25" bestFit="1" customWidth="1"/>
    <col min="163" max="163" width="1.85546875" style="72" bestFit="1" customWidth="1"/>
    <col min="164" max="178" width="3" style="25" customWidth="1"/>
    <col min="179" max="179" width="3.140625" style="25" bestFit="1" customWidth="1"/>
    <col min="180" max="195" width="3" style="25" customWidth="1"/>
    <col min="196" max="196" width="10.7109375" style="72" bestFit="1" customWidth="1"/>
    <col min="197" max="197" width="17.85546875" style="72" bestFit="1" customWidth="1"/>
    <col min="198" max="198" width="4.42578125" style="25" bestFit="1" customWidth="1"/>
    <col min="199" max="199" width="1.85546875" style="72" bestFit="1" customWidth="1"/>
    <col min="200" max="214" width="3" style="25" customWidth="1"/>
    <col min="215" max="215" width="3.140625" style="25" bestFit="1" customWidth="1"/>
    <col min="216" max="231" width="3" style="25" customWidth="1"/>
    <col min="232" max="232" width="10.7109375" style="72" bestFit="1" customWidth="1"/>
    <col min="233" max="233" width="17.85546875" style="72" bestFit="1" customWidth="1"/>
    <col min="234" max="234" width="4.42578125" style="25" bestFit="1" customWidth="1"/>
    <col min="235" max="235" width="1.85546875" style="72" bestFit="1" customWidth="1"/>
    <col min="236" max="236" width="39.42578125" style="72" customWidth="1"/>
    <col min="237" max="237" width="23.140625" style="72" bestFit="1" customWidth="1"/>
    <col min="238" max="238" width="4.42578125" style="25" bestFit="1" customWidth="1"/>
    <col min="239" max="239" width="1.85546875" style="72" bestFit="1" customWidth="1"/>
    <col min="240" max="16384" width="9.140625" style="72"/>
  </cols>
  <sheetData>
    <row r="1" spans="1:239" ht="15.75" customHeight="1" thickBot="1" x14ac:dyDescent="0.3">
      <c r="A1" s="216" t="s">
        <v>134</v>
      </c>
      <c r="B1" s="196"/>
      <c r="C1" s="196" t="s">
        <v>123</v>
      </c>
      <c r="D1" s="214"/>
      <c r="E1" s="214"/>
      <c r="F1" s="215"/>
      <c r="G1" s="196" t="s">
        <v>124</v>
      </c>
      <c r="H1" s="214"/>
      <c r="I1" s="214"/>
      <c r="J1" s="215"/>
      <c r="K1" s="196" t="s">
        <v>125</v>
      </c>
      <c r="L1" s="214"/>
      <c r="M1" s="214"/>
      <c r="N1" s="215"/>
      <c r="O1" s="196" t="s">
        <v>126</v>
      </c>
      <c r="P1" s="214"/>
      <c r="Q1" s="214"/>
      <c r="R1" s="215"/>
      <c r="S1" s="76"/>
      <c r="T1" s="217" t="s">
        <v>127</v>
      </c>
      <c r="U1" s="217"/>
      <c r="V1" s="217"/>
      <c r="W1" s="217"/>
      <c r="X1" s="217"/>
      <c r="Y1" s="217"/>
      <c r="Z1" s="217"/>
      <c r="AA1" s="217"/>
      <c r="AB1" s="217"/>
      <c r="AC1" s="217"/>
      <c r="AD1" s="217"/>
      <c r="AE1" s="217"/>
      <c r="AF1" s="217"/>
      <c r="AG1" s="217"/>
      <c r="AH1" s="217"/>
      <c r="AI1" s="217"/>
      <c r="AJ1" s="217"/>
      <c r="AK1" s="217"/>
      <c r="AL1" s="217"/>
      <c r="AM1" s="217"/>
      <c r="AN1" s="217"/>
      <c r="AO1" s="217"/>
      <c r="AP1" s="217"/>
      <c r="AQ1" s="217"/>
      <c r="AR1" s="217"/>
      <c r="AS1" s="217"/>
      <c r="AT1" s="217"/>
      <c r="AU1" s="217"/>
      <c r="AV1" s="217"/>
      <c r="AW1" s="217"/>
      <c r="AX1" s="217"/>
      <c r="AY1" s="217"/>
      <c r="AZ1" s="217"/>
      <c r="BA1" s="217"/>
      <c r="BB1" s="217"/>
      <c r="BC1" s="217"/>
      <c r="BD1" s="217" t="s">
        <v>128</v>
      </c>
      <c r="BE1" s="217"/>
      <c r="BF1" s="217"/>
      <c r="BG1" s="217"/>
      <c r="BH1" s="217"/>
      <c r="BI1" s="217"/>
      <c r="BJ1" s="217"/>
      <c r="BK1" s="217"/>
      <c r="BL1" s="217"/>
      <c r="BM1" s="217"/>
      <c r="BN1" s="217"/>
      <c r="BO1" s="217"/>
      <c r="BP1" s="217"/>
      <c r="BQ1" s="217"/>
      <c r="BR1" s="217"/>
      <c r="BS1" s="217"/>
      <c r="BT1" s="217"/>
      <c r="BU1" s="217"/>
      <c r="BV1" s="217"/>
      <c r="BW1" s="217"/>
      <c r="BX1" s="217"/>
      <c r="BY1" s="217"/>
      <c r="BZ1" s="217"/>
      <c r="CA1" s="217"/>
      <c r="CB1" s="217"/>
      <c r="CC1" s="217"/>
      <c r="CD1" s="217"/>
      <c r="CE1" s="217"/>
      <c r="CF1" s="217"/>
      <c r="CG1" s="217"/>
      <c r="CH1" s="217"/>
      <c r="CI1" s="217"/>
      <c r="CJ1" s="217"/>
      <c r="CK1" s="217"/>
      <c r="CL1" s="217"/>
      <c r="CM1" s="217"/>
      <c r="CN1" s="217" t="s">
        <v>129</v>
      </c>
      <c r="CO1" s="217"/>
      <c r="CP1" s="217"/>
      <c r="CQ1" s="217"/>
      <c r="CR1" s="217"/>
      <c r="CS1" s="217"/>
      <c r="CT1" s="217"/>
      <c r="CU1" s="217"/>
      <c r="CV1" s="217"/>
      <c r="CW1" s="217"/>
      <c r="CX1" s="217"/>
      <c r="CY1" s="217"/>
      <c r="CZ1" s="217"/>
      <c r="DA1" s="217"/>
      <c r="DB1" s="217"/>
      <c r="DC1" s="217"/>
      <c r="DD1" s="217"/>
      <c r="DE1" s="217"/>
      <c r="DF1" s="217"/>
      <c r="DG1" s="217"/>
      <c r="DH1" s="217"/>
      <c r="DI1" s="217"/>
      <c r="DJ1" s="217"/>
      <c r="DK1" s="217"/>
      <c r="DL1" s="217"/>
      <c r="DM1" s="217"/>
      <c r="DN1" s="217"/>
      <c r="DO1" s="217"/>
      <c r="DP1" s="217"/>
      <c r="DQ1" s="217"/>
      <c r="DR1" s="217"/>
      <c r="DS1" s="217"/>
      <c r="DT1" s="217"/>
      <c r="DU1" s="217"/>
      <c r="DV1" s="217"/>
      <c r="DW1" s="217"/>
      <c r="DX1" s="196" t="s">
        <v>130</v>
      </c>
      <c r="DY1" s="196"/>
      <c r="DZ1" s="196"/>
      <c r="EA1" s="196"/>
      <c r="EB1" s="196"/>
      <c r="EC1" s="196"/>
      <c r="ED1" s="196"/>
      <c r="EE1" s="196"/>
      <c r="EF1" s="196"/>
      <c r="EG1" s="196"/>
      <c r="EH1" s="196"/>
      <c r="EI1" s="196"/>
      <c r="EJ1" s="196"/>
      <c r="EK1" s="196"/>
      <c r="EL1" s="196"/>
      <c r="EM1" s="196"/>
      <c r="EN1" s="196"/>
      <c r="EO1" s="196"/>
      <c r="EP1" s="196"/>
      <c r="EQ1" s="196"/>
      <c r="ER1" s="196"/>
      <c r="ES1" s="196"/>
      <c r="ET1" s="196"/>
      <c r="EU1" s="196"/>
      <c r="EV1" s="196"/>
      <c r="EW1" s="196"/>
      <c r="EX1" s="196"/>
      <c r="EY1" s="196"/>
      <c r="EZ1" s="196"/>
      <c r="FA1" s="196"/>
      <c r="FB1" s="196"/>
      <c r="FC1" s="196"/>
      <c r="FD1" s="196"/>
      <c r="FE1" s="196"/>
      <c r="FF1" s="196"/>
      <c r="FG1" s="196"/>
      <c r="FH1" s="196" t="s">
        <v>131</v>
      </c>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t="s">
        <v>132</v>
      </c>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t="s">
        <v>133</v>
      </c>
      <c r="IC1" s="214"/>
      <c r="ID1" s="214"/>
      <c r="IE1" s="215"/>
    </row>
    <row r="2" spans="1:239" ht="312.75" thickBot="1" x14ac:dyDescent="0.3">
      <c r="A2" s="1"/>
      <c r="B2" s="2" t="s">
        <v>51</v>
      </c>
      <c r="C2" s="4" t="s">
        <v>109</v>
      </c>
      <c r="D2" s="209"/>
      <c r="E2" s="207"/>
      <c r="F2" s="227"/>
      <c r="G2" s="42" t="s">
        <v>107</v>
      </c>
      <c r="H2" s="218"/>
      <c r="I2" s="181"/>
      <c r="J2" s="226"/>
      <c r="K2" s="42" t="s">
        <v>110</v>
      </c>
      <c r="L2" s="218"/>
      <c r="M2" s="181"/>
      <c r="N2" s="226"/>
      <c r="O2" s="4" t="s">
        <v>106</v>
      </c>
      <c r="P2" s="219"/>
      <c r="Q2" s="181"/>
      <c r="R2" s="181"/>
      <c r="S2" s="60" t="s">
        <v>135</v>
      </c>
      <c r="T2" s="13" t="s">
        <v>24</v>
      </c>
      <c r="U2" s="14" t="s">
        <v>25</v>
      </c>
      <c r="V2" s="14"/>
      <c r="W2" s="14" t="s">
        <v>26</v>
      </c>
      <c r="X2" s="14" t="s">
        <v>27</v>
      </c>
      <c r="Y2" s="56" t="s">
        <v>136</v>
      </c>
      <c r="Z2" s="56" t="s">
        <v>137</v>
      </c>
      <c r="AA2" s="56" t="s">
        <v>138</v>
      </c>
      <c r="AB2" s="14" t="s">
        <v>28</v>
      </c>
      <c r="AC2" s="14" t="s">
        <v>29</v>
      </c>
      <c r="AD2" s="14" t="s">
        <v>30</v>
      </c>
      <c r="AE2" s="71" t="s">
        <v>31</v>
      </c>
      <c r="AF2" s="71" t="s">
        <v>139</v>
      </c>
      <c r="AG2" s="71" t="s">
        <v>32</v>
      </c>
      <c r="AH2" s="71" t="s">
        <v>33</v>
      </c>
      <c r="AI2" s="71" t="s">
        <v>34</v>
      </c>
      <c r="AJ2" s="71" t="s">
        <v>35</v>
      </c>
      <c r="AK2" s="71" t="s">
        <v>36</v>
      </c>
      <c r="AL2" s="71" t="s">
        <v>37</v>
      </c>
      <c r="AM2" s="71" t="s">
        <v>38</v>
      </c>
      <c r="AN2" s="71" t="s">
        <v>39</v>
      </c>
      <c r="AO2" s="71" t="s">
        <v>40</v>
      </c>
      <c r="AP2" s="71" t="s">
        <v>41</v>
      </c>
      <c r="AQ2" s="71" t="s">
        <v>42</v>
      </c>
      <c r="AR2" s="71" t="s">
        <v>43</v>
      </c>
      <c r="AS2" s="71" t="s">
        <v>44</v>
      </c>
      <c r="AT2" s="71" t="s">
        <v>45</v>
      </c>
      <c r="AU2" s="71" t="s">
        <v>46</v>
      </c>
      <c r="AV2" s="71" t="s">
        <v>47</v>
      </c>
      <c r="AW2" s="14" t="s">
        <v>48</v>
      </c>
      <c r="AX2" s="14" t="s">
        <v>49</v>
      </c>
      <c r="AY2" s="15" t="s">
        <v>50</v>
      </c>
      <c r="AZ2" s="2"/>
      <c r="BA2" s="205"/>
      <c r="BB2" s="197"/>
      <c r="BC2" s="198"/>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205"/>
      <c r="CL2" s="197"/>
      <c r="CM2" s="198"/>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205"/>
      <c r="DV2" s="197"/>
      <c r="DW2" s="198"/>
      <c r="DX2" s="48" t="s">
        <v>149</v>
      </c>
      <c r="DY2" s="44" t="s">
        <v>150</v>
      </c>
      <c r="DZ2" s="44" t="s">
        <v>151</v>
      </c>
      <c r="EA2" s="44" t="s">
        <v>152</v>
      </c>
      <c r="EB2" s="44" t="s">
        <v>153</v>
      </c>
      <c r="EC2" s="44" t="s">
        <v>154</v>
      </c>
      <c r="ED2" s="44" t="s">
        <v>155</v>
      </c>
      <c r="EE2" s="44" t="s">
        <v>156</v>
      </c>
      <c r="EF2" s="44" t="s">
        <v>157</v>
      </c>
      <c r="EG2" s="44" t="s">
        <v>158</v>
      </c>
      <c r="EH2" s="44" t="s">
        <v>159</v>
      </c>
      <c r="EI2" s="44" t="s">
        <v>160</v>
      </c>
      <c r="EJ2" s="44" t="s">
        <v>161</v>
      </c>
      <c r="EK2" s="44"/>
      <c r="EL2" s="44"/>
      <c r="EM2" s="44" t="s">
        <v>162</v>
      </c>
      <c r="EN2" s="44" t="s">
        <v>163</v>
      </c>
      <c r="EO2" s="44" t="s">
        <v>164</v>
      </c>
      <c r="EP2" s="44" t="s">
        <v>165</v>
      </c>
      <c r="EQ2" s="44" t="s">
        <v>166</v>
      </c>
      <c r="ER2" s="44"/>
      <c r="ES2" s="44"/>
      <c r="ET2" s="44" t="s">
        <v>167</v>
      </c>
      <c r="EU2" s="44"/>
      <c r="EV2" s="44"/>
      <c r="EW2" s="44"/>
      <c r="EX2" s="44"/>
      <c r="EY2" s="44" t="s">
        <v>168</v>
      </c>
      <c r="EZ2" s="44" t="s">
        <v>169</v>
      </c>
      <c r="FA2" s="44" t="s">
        <v>170</v>
      </c>
      <c r="FB2" s="44" t="s">
        <v>171</v>
      </c>
      <c r="FC2" s="45" t="s">
        <v>172</v>
      </c>
      <c r="FD2" s="2"/>
      <c r="FE2" s="206"/>
      <c r="FF2" s="207"/>
      <c r="FG2" s="207"/>
      <c r="FH2" s="50" t="s">
        <v>173</v>
      </c>
      <c r="FI2" s="44" t="s">
        <v>174</v>
      </c>
      <c r="FJ2" s="44" t="s">
        <v>175</v>
      </c>
      <c r="FK2" s="44" t="s">
        <v>176</v>
      </c>
      <c r="FL2" s="44" t="s">
        <v>177</v>
      </c>
      <c r="FM2" s="44"/>
      <c r="FN2" s="44"/>
      <c r="FO2" s="44"/>
      <c r="FP2" s="44"/>
      <c r="FQ2" s="44"/>
      <c r="FR2" s="44"/>
      <c r="FS2" s="44"/>
      <c r="FT2" s="44"/>
      <c r="FU2" s="44"/>
      <c r="FV2" s="44"/>
      <c r="FW2" s="44"/>
      <c r="FX2" s="44"/>
      <c r="FY2" s="44"/>
      <c r="FZ2" s="44"/>
      <c r="GA2" s="44"/>
      <c r="GB2" s="44"/>
      <c r="GC2" s="44"/>
      <c r="GD2" s="44"/>
      <c r="GE2" s="44" t="s">
        <v>178</v>
      </c>
      <c r="GF2" s="44" t="s">
        <v>179</v>
      </c>
      <c r="GG2" s="44" t="s">
        <v>180</v>
      </c>
      <c r="GH2" s="44" t="s">
        <v>181</v>
      </c>
      <c r="GI2" s="44" t="s">
        <v>182</v>
      </c>
      <c r="GJ2" s="44" t="s">
        <v>183</v>
      </c>
      <c r="GK2" s="44" t="s">
        <v>184</v>
      </c>
      <c r="GL2" s="44" t="s">
        <v>185</v>
      </c>
      <c r="GM2" s="45" t="s">
        <v>186</v>
      </c>
      <c r="GN2" s="2"/>
      <c r="GO2" s="206"/>
      <c r="GP2" s="207"/>
      <c r="GQ2" s="207"/>
      <c r="GR2" s="50"/>
      <c r="GS2" s="44" t="s">
        <v>187</v>
      </c>
      <c r="GT2" s="44" t="s">
        <v>188</v>
      </c>
      <c r="GU2" s="44" t="s">
        <v>189</v>
      </c>
      <c r="GV2" s="44" t="s">
        <v>190</v>
      </c>
      <c r="GW2" s="44" t="s">
        <v>191</v>
      </c>
      <c r="GX2" s="44" t="s">
        <v>192</v>
      </c>
      <c r="GY2" s="44" t="s">
        <v>193</v>
      </c>
      <c r="GZ2" s="44"/>
      <c r="HA2" s="44"/>
      <c r="HB2" s="44"/>
      <c r="HC2" s="44"/>
      <c r="HD2" s="44"/>
      <c r="HE2" s="44"/>
      <c r="HF2" s="44"/>
      <c r="HG2" s="44"/>
      <c r="HH2" s="44"/>
      <c r="HI2" s="44"/>
      <c r="HJ2" s="44" t="s">
        <v>194</v>
      </c>
      <c r="HK2" s="44" t="s">
        <v>195</v>
      </c>
      <c r="HL2" s="44" t="s">
        <v>196</v>
      </c>
      <c r="HM2" s="44" t="s">
        <v>197</v>
      </c>
      <c r="HN2" s="44" t="s">
        <v>198</v>
      </c>
      <c r="HO2" s="44" t="s">
        <v>199</v>
      </c>
      <c r="HP2" s="44"/>
      <c r="HQ2" s="44"/>
      <c r="HR2" s="44" t="s">
        <v>200</v>
      </c>
      <c r="HS2" s="44" t="s">
        <v>201</v>
      </c>
      <c r="HT2" s="44" t="s">
        <v>202</v>
      </c>
      <c r="HU2" s="44" t="s">
        <v>203</v>
      </c>
      <c r="HV2" s="44" t="s">
        <v>204</v>
      </c>
      <c r="HW2" s="45" t="s">
        <v>205</v>
      </c>
      <c r="HX2" s="2"/>
      <c r="HY2" s="206"/>
      <c r="HZ2" s="207"/>
      <c r="IA2" s="207"/>
      <c r="IB2" s="4" t="s">
        <v>18</v>
      </c>
      <c r="IC2" s="209"/>
      <c r="ID2" s="207"/>
      <c r="IE2" s="227"/>
    </row>
    <row r="3" spans="1:239" ht="15.75" customHeight="1" thickBot="1" x14ac:dyDescent="0.3">
      <c r="A3" s="73" t="s">
        <v>19</v>
      </c>
      <c r="B3" s="79"/>
      <c r="C3" s="73" t="s">
        <v>17</v>
      </c>
      <c r="D3" s="228" t="s">
        <v>20</v>
      </c>
      <c r="E3" s="197"/>
      <c r="F3" s="198"/>
      <c r="G3" s="73" t="s">
        <v>15</v>
      </c>
      <c r="H3" s="200" t="s">
        <v>20</v>
      </c>
      <c r="I3" s="197"/>
      <c r="J3" s="198"/>
      <c r="K3" s="160" t="s">
        <v>15</v>
      </c>
      <c r="L3" s="200" t="s">
        <v>20</v>
      </c>
      <c r="M3" s="197"/>
      <c r="N3" s="198"/>
      <c r="O3" s="160" t="s">
        <v>15</v>
      </c>
      <c r="P3" s="228" t="s">
        <v>20</v>
      </c>
      <c r="Q3" s="197"/>
      <c r="R3" s="198"/>
      <c r="S3" s="24"/>
      <c r="T3" s="199"/>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8"/>
      <c r="AZ3" s="73" t="s">
        <v>423</v>
      </c>
      <c r="BA3" s="200" t="s">
        <v>20</v>
      </c>
      <c r="BB3" s="197"/>
      <c r="BC3" s="198"/>
      <c r="BD3" s="199"/>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8"/>
      <c r="CJ3" s="73" t="s">
        <v>423</v>
      </c>
      <c r="CK3" s="200" t="s">
        <v>20</v>
      </c>
      <c r="CL3" s="197"/>
      <c r="CM3" s="198"/>
      <c r="CN3" s="199"/>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8"/>
      <c r="DT3" s="73" t="s">
        <v>423</v>
      </c>
      <c r="DU3" s="200" t="s">
        <v>20</v>
      </c>
      <c r="DV3" s="197"/>
      <c r="DW3" s="198"/>
      <c r="DX3" s="225"/>
      <c r="DY3" s="203"/>
      <c r="DZ3" s="203"/>
      <c r="EA3" s="203"/>
      <c r="EB3" s="203"/>
      <c r="EC3" s="203"/>
      <c r="ED3" s="203"/>
      <c r="EE3" s="203"/>
      <c r="EF3" s="203"/>
      <c r="EG3" s="203"/>
      <c r="EH3" s="203"/>
      <c r="EI3" s="203"/>
      <c r="EJ3" s="203"/>
      <c r="EK3" s="203"/>
      <c r="EL3" s="203"/>
      <c r="EM3" s="203"/>
      <c r="EN3" s="203"/>
      <c r="EO3" s="203"/>
      <c r="EP3" s="203"/>
      <c r="EQ3" s="203"/>
      <c r="ER3" s="203"/>
      <c r="ES3" s="203"/>
      <c r="ET3" s="203"/>
      <c r="EU3" s="203"/>
      <c r="EV3" s="203"/>
      <c r="EW3" s="203"/>
      <c r="EX3" s="203"/>
      <c r="EY3" s="203"/>
      <c r="EZ3" s="203"/>
      <c r="FA3" s="203"/>
      <c r="FB3" s="203"/>
      <c r="FC3" s="204"/>
      <c r="FD3" s="74" t="s">
        <v>423</v>
      </c>
      <c r="FE3" s="200" t="s">
        <v>20</v>
      </c>
      <c r="FF3" s="197"/>
      <c r="FG3" s="198"/>
      <c r="FH3" s="225"/>
      <c r="FI3" s="203"/>
      <c r="FJ3" s="203"/>
      <c r="FK3" s="203"/>
      <c r="FL3" s="203"/>
      <c r="FM3" s="203"/>
      <c r="FN3" s="203"/>
      <c r="FO3" s="203"/>
      <c r="FP3" s="203"/>
      <c r="FQ3" s="203"/>
      <c r="FR3" s="203"/>
      <c r="FS3" s="203"/>
      <c r="FT3" s="203"/>
      <c r="FU3" s="203"/>
      <c r="FV3" s="203"/>
      <c r="FW3" s="203"/>
      <c r="FX3" s="203"/>
      <c r="FY3" s="203"/>
      <c r="FZ3" s="203"/>
      <c r="GA3" s="203"/>
      <c r="GB3" s="203"/>
      <c r="GC3" s="203"/>
      <c r="GD3" s="203"/>
      <c r="GE3" s="203"/>
      <c r="GF3" s="203"/>
      <c r="GG3" s="203"/>
      <c r="GH3" s="203"/>
      <c r="GI3" s="203"/>
      <c r="GJ3" s="203"/>
      <c r="GK3" s="203"/>
      <c r="GL3" s="203"/>
      <c r="GM3" s="204"/>
      <c r="GN3" s="74" t="s">
        <v>423</v>
      </c>
      <c r="GO3" s="200" t="s">
        <v>20</v>
      </c>
      <c r="GP3" s="197"/>
      <c r="GQ3" s="198"/>
      <c r="GR3" s="225"/>
      <c r="GS3" s="203"/>
      <c r="GT3" s="203"/>
      <c r="GU3" s="203"/>
      <c r="GV3" s="203"/>
      <c r="GW3" s="203"/>
      <c r="GX3" s="203"/>
      <c r="GY3" s="203"/>
      <c r="GZ3" s="203"/>
      <c r="HA3" s="203"/>
      <c r="HB3" s="203"/>
      <c r="HC3" s="203"/>
      <c r="HD3" s="203"/>
      <c r="HE3" s="203"/>
      <c r="HF3" s="203"/>
      <c r="HG3" s="203"/>
      <c r="HH3" s="203"/>
      <c r="HI3" s="203"/>
      <c r="HJ3" s="203"/>
      <c r="HK3" s="203"/>
      <c r="HL3" s="203"/>
      <c r="HM3" s="203"/>
      <c r="HN3" s="203"/>
      <c r="HO3" s="203"/>
      <c r="HP3" s="203"/>
      <c r="HQ3" s="203"/>
      <c r="HR3" s="203"/>
      <c r="HS3" s="203"/>
      <c r="HT3" s="203"/>
      <c r="HU3" s="203"/>
      <c r="HV3" s="203"/>
      <c r="HW3" s="204"/>
      <c r="HX3" s="74" t="s">
        <v>423</v>
      </c>
      <c r="HY3" s="200" t="s">
        <v>20</v>
      </c>
      <c r="HZ3" s="197"/>
      <c r="IA3" s="198"/>
      <c r="IB3" s="73" t="s">
        <v>17</v>
      </c>
      <c r="IC3" s="228" t="s">
        <v>20</v>
      </c>
      <c r="ID3" s="197"/>
      <c r="IE3" s="198"/>
    </row>
    <row r="4" spans="1:239" x14ac:dyDescent="0.25">
      <c r="A4" s="8" t="s">
        <v>21</v>
      </c>
      <c r="B4" s="8" t="s">
        <v>18</v>
      </c>
      <c r="C4" s="27"/>
      <c r="D4" s="210"/>
      <c r="E4" s="211"/>
      <c r="F4" s="213"/>
      <c r="G4" s="7"/>
      <c r="H4" s="210"/>
      <c r="I4" s="211"/>
      <c r="J4" s="213"/>
      <c r="K4" s="7"/>
      <c r="L4" s="210"/>
      <c r="M4" s="211"/>
      <c r="N4" s="213"/>
      <c r="O4" s="5"/>
      <c r="P4" s="210"/>
      <c r="Q4" s="211"/>
      <c r="R4" s="213"/>
      <c r="S4" s="3"/>
      <c r="T4" s="75">
        <v>31</v>
      </c>
      <c r="U4" s="16">
        <v>30</v>
      </c>
      <c r="V4" s="16">
        <v>29</v>
      </c>
      <c r="W4" s="16">
        <v>28</v>
      </c>
      <c r="X4" s="16">
        <v>27</v>
      </c>
      <c r="Y4" s="57">
        <v>26</v>
      </c>
      <c r="Z4" s="57">
        <v>25</v>
      </c>
      <c r="AA4" s="57">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210"/>
      <c r="BB4" s="211"/>
      <c r="BC4" s="213"/>
      <c r="BD4" s="75">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210"/>
      <c r="CL4" s="211"/>
      <c r="CM4" s="213"/>
      <c r="CN4" s="75">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210"/>
      <c r="DV4" s="211"/>
      <c r="DW4" s="213"/>
      <c r="DX4" s="49">
        <v>31</v>
      </c>
      <c r="DY4" s="46">
        <v>30</v>
      </c>
      <c r="DZ4" s="46">
        <v>29</v>
      </c>
      <c r="EA4" s="46">
        <v>28</v>
      </c>
      <c r="EB4" s="46">
        <v>27</v>
      </c>
      <c r="EC4" s="46">
        <v>26</v>
      </c>
      <c r="ED4" s="46">
        <v>25</v>
      </c>
      <c r="EE4" s="46">
        <v>24</v>
      </c>
      <c r="EF4" s="46">
        <v>23</v>
      </c>
      <c r="EG4" s="46">
        <v>22</v>
      </c>
      <c r="EH4" s="46">
        <v>21</v>
      </c>
      <c r="EI4" s="46">
        <v>20</v>
      </c>
      <c r="EJ4" s="46">
        <v>19</v>
      </c>
      <c r="EK4" s="46">
        <v>18</v>
      </c>
      <c r="EL4" s="46">
        <v>17</v>
      </c>
      <c r="EM4" s="46">
        <v>16</v>
      </c>
      <c r="EN4" s="46">
        <v>15</v>
      </c>
      <c r="EO4" s="46">
        <v>14</v>
      </c>
      <c r="EP4" s="46">
        <v>13</v>
      </c>
      <c r="EQ4" s="46">
        <v>12</v>
      </c>
      <c r="ER4" s="46">
        <v>11</v>
      </c>
      <c r="ES4" s="46">
        <v>10</v>
      </c>
      <c r="ET4" s="46">
        <v>9</v>
      </c>
      <c r="EU4" s="46">
        <v>8</v>
      </c>
      <c r="EV4" s="46">
        <v>7</v>
      </c>
      <c r="EW4" s="46">
        <v>6</v>
      </c>
      <c r="EX4" s="46">
        <v>5</v>
      </c>
      <c r="EY4" s="46">
        <v>4</v>
      </c>
      <c r="EZ4" s="46">
        <v>3</v>
      </c>
      <c r="FA4" s="46">
        <v>2</v>
      </c>
      <c r="FB4" s="46">
        <v>1</v>
      </c>
      <c r="FC4" s="47">
        <v>0</v>
      </c>
      <c r="FD4" s="8"/>
      <c r="FE4" s="210"/>
      <c r="FF4" s="211"/>
      <c r="FG4" s="213"/>
      <c r="FH4" s="49">
        <v>31</v>
      </c>
      <c r="FI4" s="46">
        <v>30</v>
      </c>
      <c r="FJ4" s="46">
        <v>29</v>
      </c>
      <c r="FK4" s="46">
        <v>28</v>
      </c>
      <c r="FL4" s="46">
        <v>27</v>
      </c>
      <c r="FM4" s="46">
        <v>26</v>
      </c>
      <c r="FN4" s="46">
        <v>25</v>
      </c>
      <c r="FO4" s="46">
        <v>24</v>
      </c>
      <c r="FP4" s="46">
        <v>23</v>
      </c>
      <c r="FQ4" s="46">
        <v>22</v>
      </c>
      <c r="FR4" s="46">
        <v>21</v>
      </c>
      <c r="FS4" s="46">
        <v>20</v>
      </c>
      <c r="FT4" s="46">
        <v>19</v>
      </c>
      <c r="FU4" s="46">
        <v>18</v>
      </c>
      <c r="FV4" s="46">
        <v>17</v>
      </c>
      <c r="FW4" s="46">
        <v>16</v>
      </c>
      <c r="FX4" s="46">
        <v>15</v>
      </c>
      <c r="FY4" s="46">
        <v>14</v>
      </c>
      <c r="FZ4" s="46">
        <v>13</v>
      </c>
      <c r="GA4" s="46">
        <v>12</v>
      </c>
      <c r="GB4" s="46">
        <v>11</v>
      </c>
      <c r="GC4" s="46">
        <v>10</v>
      </c>
      <c r="GD4" s="46">
        <v>9</v>
      </c>
      <c r="GE4" s="46">
        <v>8</v>
      </c>
      <c r="GF4" s="46">
        <v>7</v>
      </c>
      <c r="GG4" s="46">
        <v>6</v>
      </c>
      <c r="GH4" s="46">
        <v>5</v>
      </c>
      <c r="GI4" s="46">
        <v>4</v>
      </c>
      <c r="GJ4" s="46">
        <v>3</v>
      </c>
      <c r="GK4" s="46">
        <v>2</v>
      </c>
      <c r="GL4" s="46">
        <v>1</v>
      </c>
      <c r="GM4" s="47">
        <v>0</v>
      </c>
      <c r="GN4" s="8"/>
      <c r="GO4" s="210"/>
      <c r="GP4" s="211"/>
      <c r="GQ4" s="213"/>
      <c r="GR4" s="49">
        <v>31</v>
      </c>
      <c r="GS4" s="46">
        <v>30</v>
      </c>
      <c r="GT4" s="46">
        <v>29</v>
      </c>
      <c r="GU4" s="46">
        <v>28</v>
      </c>
      <c r="GV4" s="46">
        <v>27</v>
      </c>
      <c r="GW4" s="46">
        <v>26</v>
      </c>
      <c r="GX4" s="46">
        <v>25</v>
      </c>
      <c r="GY4" s="46">
        <v>24</v>
      </c>
      <c r="GZ4" s="46">
        <v>23</v>
      </c>
      <c r="HA4" s="46">
        <v>22</v>
      </c>
      <c r="HB4" s="46">
        <v>21</v>
      </c>
      <c r="HC4" s="46">
        <v>20</v>
      </c>
      <c r="HD4" s="46">
        <v>19</v>
      </c>
      <c r="HE4" s="46">
        <v>18</v>
      </c>
      <c r="HF4" s="46">
        <v>17</v>
      </c>
      <c r="HG4" s="46">
        <v>16</v>
      </c>
      <c r="HH4" s="46">
        <v>15</v>
      </c>
      <c r="HI4" s="46">
        <v>14</v>
      </c>
      <c r="HJ4" s="46">
        <v>13</v>
      </c>
      <c r="HK4" s="46">
        <v>12</v>
      </c>
      <c r="HL4" s="46">
        <v>11</v>
      </c>
      <c r="HM4" s="46">
        <v>10</v>
      </c>
      <c r="HN4" s="46">
        <v>9</v>
      </c>
      <c r="HO4" s="46">
        <v>8</v>
      </c>
      <c r="HP4" s="46">
        <v>7</v>
      </c>
      <c r="HQ4" s="46">
        <v>6</v>
      </c>
      <c r="HR4" s="46">
        <v>5</v>
      </c>
      <c r="HS4" s="46">
        <v>4</v>
      </c>
      <c r="HT4" s="46">
        <v>3</v>
      </c>
      <c r="HU4" s="46">
        <v>2</v>
      </c>
      <c r="HV4" s="46">
        <v>1</v>
      </c>
      <c r="HW4" s="47">
        <v>0</v>
      </c>
      <c r="HX4" s="8"/>
      <c r="HY4" s="210"/>
      <c r="HZ4" s="211"/>
      <c r="IA4" s="213"/>
      <c r="IB4" s="8"/>
      <c r="IC4" s="210"/>
      <c r="ID4" s="211"/>
      <c r="IE4" s="213"/>
    </row>
    <row r="5" spans="1:239" x14ac:dyDescent="0.25">
      <c r="A5" s="8">
        <v>0</v>
      </c>
      <c r="B5" s="8" t="str">
        <f t="shared" ref="B5:B35" si="0">IF($IB5&lt;&gt;"", $IB5, "")</f>
        <v>HOME</v>
      </c>
      <c r="C5" s="77"/>
      <c r="D5" s="22" t="s">
        <v>382</v>
      </c>
      <c r="E5" s="23">
        <v>0</v>
      </c>
      <c r="F5" s="27" t="s">
        <v>22</v>
      </c>
      <c r="G5" s="161">
        <v>0</v>
      </c>
      <c r="H5" s="22" t="s">
        <v>383</v>
      </c>
      <c r="I5" s="23">
        <v>0</v>
      </c>
      <c r="J5" s="27" t="s">
        <v>22</v>
      </c>
      <c r="K5" s="161">
        <v>0</v>
      </c>
      <c r="L5" s="22" t="s">
        <v>384</v>
      </c>
      <c r="M5" s="23">
        <v>0</v>
      </c>
      <c r="N5" s="27" t="s">
        <v>22</v>
      </c>
      <c r="O5" s="165">
        <v>0</v>
      </c>
      <c r="P5" s="22" t="s">
        <v>385</v>
      </c>
      <c r="Q5" s="23">
        <v>0</v>
      </c>
      <c r="R5" s="27" t="s">
        <v>22</v>
      </c>
      <c r="S5" s="9" t="str">
        <f>IF(AP5=1, "P", "")</f>
        <v/>
      </c>
      <c r="T5" s="18"/>
      <c r="U5" s="19"/>
      <c r="V5" s="19"/>
      <c r="W5" s="19"/>
      <c r="X5" s="19"/>
      <c r="Y5" s="58"/>
      <c r="Z5" s="58"/>
      <c r="AA5" s="58"/>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386</v>
      </c>
      <c r="BB5" s="23">
        <v>0</v>
      </c>
      <c r="BC5" s="27"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387</v>
      </c>
      <c r="CL5" s="23">
        <v>0</v>
      </c>
      <c r="CM5" s="27"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388</v>
      </c>
      <c r="DV5" s="23">
        <v>0</v>
      </c>
      <c r="DW5" s="27"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389</v>
      </c>
      <c r="FF5" s="23">
        <v>0</v>
      </c>
      <c r="FG5" s="27"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390</v>
      </c>
      <c r="GP5" s="23">
        <v>0</v>
      </c>
      <c r="GQ5" s="27"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391</v>
      </c>
      <c r="HZ5" s="23">
        <v>0</v>
      </c>
      <c r="IA5" s="27" t="s">
        <v>22</v>
      </c>
      <c r="IB5" s="10" t="s">
        <v>206</v>
      </c>
      <c r="IC5" s="22" t="s">
        <v>392</v>
      </c>
      <c r="ID5" s="23">
        <v>0</v>
      </c>
      <c r="IE5" s="27" t="s">
        <v>22</v>
      </c>
    </row>
    <row r="6" spans="1:239" x14ac:dyDescent="0.25">
      <c r="A6" s="8">
        <v>1</v>
      </c>
      <c r="B6" s="8" t="str">
        <f t="shared" si="0"/>
        <v>FILLING FEED TANK TO SET POINT LEVEL</v>
      </c>
      <c r="C6" s="77"/>
      <c r="D6" s="6" t="str">
        <f t="shared" ref="D6:D35" si="1">D$5</f>
        <v>RO_Data[4].ACK_DESC[</v>
      </c>
      <c r="E6" s="23">
        <f>E5+1</f>
        <v>1</v>
      </c>
      <c r="F6" s="27" t="s">
        <v>22</v>
      </c>
      <c r="G6" s="161">
        <v>0</v>
      </c>
      <c r="H6" s="6" t="str">
        <f t="shared" ref="H6:H35" si="2">H$5</f>
        <v>RO_Data[4].MIN[</v>
      </c>
      <c r="I6" s="23">
        <f>I5+1</f>
        <v>1</v>
      </c>
      <c r="J6" s="27" t="s">
        <v>22</v>
      </c>
      <c r="K6" s="161">
        <v>1</v>
      </c>
      <c r="L6" s="6" t="str">
        <f t="shared" ref="L6:L35" si="3">L$5</f>
        <v>RO_Data[4].SEC[</v>
      </c>
      <c r="M6" s="23">
        <f>M5+1</f>
        <v>1</v>
      </c>
      <c r="N6" s="27" t="s">
        <v>22</v>
      </c>
      <c r="O6" s="165">
        <v>0</v>
      </c>
      <c r="P6" s="6" t="str">
        <f t="shared" ref="P6:P35" si="4">P$5</f>
        <v>RO_Data[4].SETPOINT[</v>
      </c>
      <c r="Q6" s="23">
        <f>Q5+1</f>
        <v>1</v>
      </c>
      <c r="R6" s="27" t="s">
        <v>22</v>
      </c>
      <c r="S6" s="9" t="str">
        <f t="shared" ref="S6:S35" si="5">IF(AP6=1, "P", "")</f>
        <v>P</v>
      </c>
      <c r="T6" s="18"/>
      <c r="U6" s="19"/>
      <c r="V6" s="19"/>
      <c r="W6" s="19"/>
      <c r="X6" s="19"/>
      <c r="Y6" s="58"/>
      <c r="Z6" s="58"/>
      <c r="AA6" s="58"/>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RO_Data[4].COND1[</v>
      </c>
      <c r="BB6" s="23">
        <f>BB5+1</f>
        <v>1</v>
      </c>
      <c r="BC6" s="27"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27"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27"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27"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27"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27" t="s">
        <v>22</v>
      </c>
      <c r="IB6" s="10" t="s">
        <v>224</v>
      </c>
      <c r="IC6" s="6" t="str">
        <f t="shared" ref="IC6:IC35" si="12">IC$5</f>
        <v>RO_Data[4].STEP_DESC[</v>
      </c>
      <c r="ID6" s="23">
        <f>ID5+1</f>
        <v>1</v>
      </c>
      <c r="IE6" s="27" t="s">
        <v>22</v>
      </c>
    </row>
    <row r="7" spans="1:239" x14ac:dyDescent="0.25">
      <c r="A7" s="8">
        <v>2</v>
      </c>
      <c r="B7" s="8" t="str">
        <f t="shared" si="0"/>
        <v>STARTING PUMPS</v>
      </c>
      <c r="C7" s="77"/>
      <c r="D7" s="6" t="str">
        <f t="shared" si="1"/>
        <v>RO_Data[4].ACK_DESC[</v>
      </c>
      <c r="E7" s="23">
        <f t="shared" ref="E7:E29" si="13">E6+1</f>
        <v>2</v>
      </c>
      <c r="F7" s="27" t="s">
        <v>22</v>
      </c>
      <c r="G7" s="161">
        <v>0</v>
      </c>
      <c r="H7" s="6" t="str">
        <f t="shared" si="2"/>
        <v>RO_Data[4].MIN[</v>
      </c>
      <c r="I7" s="23">
        <f t="shared" ref="I7:I29" si="14">I6+1</f>
        <v>2</v>
      </c>
      <c r="J7" s="27" t="s">
        <v>22</v>
      </c>
      <c r="K7" s="161">
        <v>30</v>
      </c>
      <c r="L7" s="6" t="str">
        <f t="shared" si="3"/>
        <v>RO_Data[4].SEC[</v>
      </c>
      <c r="M7" s="23">
        <f t="shared" ref="M7:M29" si="15">M6+1</f>
        <v>2</v>
      </c>
      <c r="N7" s="27" t="s">
        <v>22</v>
      </c>
      <c r="O7" s="165">
        <v>0</v>
      </c>
      <c r="P7" s="6" t="str">
        <f t="shared" si="4"/>
        <v>RO_Data[4].SETPOINT[</v>
      </c>
      <c r="Q7" s="23">
        <f t="shared" ref="Q7:Q29" si="16">Q6+1</f>
        <v>2</v>
      </c>
      <c r="R7" s="27" t="s">
        <v>22</v>
      </c>
      <c r="S7" s="9" t="str">
        <f t="shared" si="5"/>
        <v>P</v>
      </c>
      <c r="T7" s="18"/>
      <c r="U7" s="19"/>
      <c r="V7" s="19"/>
      <c r="W7" s="19"/>
      <c r="X7" s="19"/>
      <c r="Y7" s="58"/>
      <c r="Z7" s="58"/>
      <c r="AA7" s="58">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RO_Data[4].COND1[</v>
      </c>
      <c r="BB7" s="23">
        <f t="shared" ref="BB7:BB29" si="17">BB6+1</f>
        <v>2</v>
      </c>
      <c r="BC7" s="27"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27"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27"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27"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27"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27" t="s">
        <v>22</v>
      </c>
      <c r="IB7" s="10" t="s">
        <v>225</v>
      </c>
      <c r="IC7" s="6" t="str">
        <f t="shared" si="12"/>
        <v>RO_Data[4].STEP_DESC[</v>
      </c>
      <c r="ID7" s="23">
        <f t="shared" ref="ID7:ID29" si="23">ID6+1</f>
        <v>2</v>
      </c>
      <c r="IE7" s="27" t="s">
        <v>22</v>
      </c>
    </row>
    <row r="8" spans="1:239" x14ac:dyDescent="0.25">
      <c r="A8" s="8">
        <v>3</v>
      </c>
      <c r="B8" s="8" t="str">
        <f t="shared" si="0"/>
        <v>ADDING CHEMICALS</v>
      </c>
      <c r="C8" s="77"/>
      <c r="D8" s="6" t="str">
        <f t="shared" si="1"/>
        <v>RO_Data[4].ACK_DESC[</v>
      </c>
      <c r="E8" s="23">
        <f t="shared" si="13"/>
        <v>3</v>
      </c>
      <c r="F8" s="27" t="s">
        <v>22</v>
      </c>
      <c r="G8" s="161">
        <v>0</v>
      </c>
      <c r="H8" s="6" t="str">
        <f t="shared" si="2"/>
        <v>RO_Data[4].MIN[</v>
      </c>
      <c r="I8" s="23">
        <f t="shared" si="14"/>
        <v>3</v>
      </c>
      <c r="J8" s="27" t="s">
        <v>22</v>
      </c>
      <c r="K8" s="161">
        <v>1</v>
      </c>
      <c r="L8" s="6" t="str">
        <f t="shared" si="3"/>
        <v>RO_Data[4].SEC[</v>
      </c>
      <c r="M8" s="23">
        <f t="shared" si="15"/>
        <v>3</v>
      </c>
      <c r="N8" s="27" t="s">
        <v>22</v>
      </c>
      <c r="O8" s="165">
        <v>0</v>
      </c>
      <c r="P8" s="6" t="str">
        <f t="shared" si="4"/>
        <v>RO_Data[4].SETPOINT[</v>
      </c>
      <c r="Q8" s="23">
        <f t="shared" si="16"/>
        <v>3</v>
      </c>
      <c r="R8" s="27" t="s">
        <v>22</v>
      </c>
      <c r="S8" s="9" t="str">
        <f t="shared" si="5"/>
        <v>P</v>
      </c>
      <c r="T8" s="18"/>
      <c r="U8" s="19"/>
      <c r="V8" s="19"/>
      <c r="W8" s="19"/>
      <c r="X8" s="19"/>
      <c r="Y8" s="58"/>
      <c r="Z8" s="58"/>
      <c r="AA8" s="58"/>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RO_Data[4].COND1[</v>
      </c>
      <c r="BB8" s="23">
        <f t="shared" si="17"/>
        <v>3</v>
      </c>
      <c r="BC8" s="27"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27"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27"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27"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27" t="s">
        <v>22</v>
      </c>
      <c r="GR8" s="21"/>
      <c r="GS8" s="19"/>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536870912</v>
      </c>
      <c r="HY8" s="6" t="str">
        <f t="shared" si="11"/>
        <v>RO_Data[4].ACT6[</v>
      </c>
      <c r="HZ8" s="23">
        <f t="shared" si="22"/>
        <v>3</v>
      </c>
      <c r="IA8" s="27" t="s">
        <v>22</v>
      </c>
      <c r="IB8" s="10" t="s">
        <v>227</v>
      </c>
      <c r="IC8" s="6" t="str">
        <f t="shared" si="12"/>
        <v>RO_Data[4].STEP_DESC[</v>
      </c>
      <c r="ID8" s="23">
        <f t="shared" si="23"/>
        <v>3</v>
      </c>
      <c r="IE8" s="27" t="s">
        <v>22</v>
      </c>
    </row>
    <row r="9" spans="1:239" x14ac:dyDescent="0.25">
      <c r="A9" s="8">
        <v>4</v>
      </c>
      <c r="B9" s="8" t="str">
        <f t="shared" si="0"/>
        <v>CHECK PH - HOLD FOR ACKNOWLEDGE</v>
      </c>
      <c r="C9" s="77" t="s">
        <v>354</v>
      </c>
      <c r="D9" s="6" t="str">
        <f t="shared" si="1"/>
        <v>RO_Data[4].ACK_DESC[</v>
      </c>
      <c r="E9" s="23">
        <f t="shared" si="13"/>
        <v>4</v>
      </c>
      <c r="F9" s="27" t="s">
        <v>22</v>
      </c>
      <c r="G9" s="161">
        <v>0</v>
      </c>
      <c r="H9" s="6" t="str">
        <f t="shared" si="2"/>
        <v>RO_Data[4].MIN[</v>
      </c>
      <c r="I9" s="23">
        <f t="shared" si="14"/>
        <v>4</v>
      </c>
      <c r="J9" s="27" t="s">
        <v>22</v>
      </c>
      <c r="K9" s="161">
        <v>1</v>
      </c>
      <c r="L9" s="6" t="str">
        <f t="shared" si="3"/>
        <v>RO_Data[4].SEC[</v>
      </c>
      <c r="M9" s="23">
        <f t="shared" si="15"/>
        <v>4</v>
      </c>
      <c r="N9" s="27" t="s">
        <v>22</v>
      </c>
      <c r="O9" s="165">
        <v>0</v>
      </c>
      <c r="P9" s="6" t="str">
        <f t="shared" si="4"/>
        <v>RO_Data[4].SETPOINT[</v>
      </c>
      <c r="Q9" s="23">
        <f t="shared" si="16"/>
        <v>4</v>
      </c>
      <c r="R9" s="27" t="s">
        <v>22</v>
      </c>
      <c r="S9" s="9" t="str">
        <f t="shared" si="5"/>
        <v/>
      </c>
      <c r="T9" s="18"/>
      <c r="U9" s="19"/>
      <c r="V9" s="19"/>
      <c r="W9" s="19"/>
      <c r="X9" s="19"/>
      <c r="Y9" s="58"/>
      <c r="Z9" s="58"/>
      <c r="AA9" s="58"/>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RO_Data[4].COND1[</v>
      </c>
      <c r="BB9" s="23">
        <f t="shared" si="17"/>
        <v>4</v>
      </c>
      <c r="BC9" s="27"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27"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27"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27"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27"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RO_Data[4].ACT6[</v>
      </c>
      <c r="HZ9" s="23">
        <f t="shared" si="22"/>
        <v>4</v>
      </c>
      <c r="IA9" s="27" t="s">
        <v>22</v>
      </c>
      <c r="IB9" s="10" t="s">
        <v>355</v>
      </c>
      <c r="IC9" s="6" t="str">
        <f t="shared" si="12"/>
        <v>RO_Data[4].STEP_DESC[</v>
      </c>
      <c r="ID9" s="23">
        <f t="shared" si="23"/>
        <v>4</v>
      </c>
      <c r="IE9" s="27" t="s">
        <v>22</v>
      </c>
    </row>
    <row r="10" spans="1:239" x14ac:dyDescent="0.25">
      <c r="A10" s="8">
        <v>5</v>
      </c>
      <c r="B10" s="8" t="str">
        <f t="shared" si="0"/>
        <v>RECIRCULATE SOAK CHEMICALS</v>
      </c>
      <c r="C10" s="77"/>
      <c r="D10" s="6" t="str">
        <f t="shared" si="1"/>
        <v>RO_Data[4].ACK_DESC[</v>
      </c>
      <c r="E10" s="23">
        <f t="shared" si="13"/>
        <v>5</v>
      </c>
      <c r="F10" s="27" t="s">
        <v>22</v>
      </c>
      <c r="G10" s="161">
        <v>0</v>
      </c>
      <c r="H10" s="6" t="str">
        <f t="shared" si="2"/>
        <v>RO_Data[4].MIN[</v>
      </c>
      <c r="I10" s="23">
        <f t="shared" si="14"/>
        <v>5</v>
      </c>
      <c r="J10" s="27" t="s">
        <v>22</v>
      </c>
      <c r="K10" s="161">
        <v>1</v>
      </c>
      <c r="L10" s="6" t="str">
        <f t="shared" si="3"/>
        <v>RO_Data[4].SEC[</v>
      </c>
      <c r="M10" s="23">
        <f t="shared" si="15"/>
        <v>5</v>
      </c>
      <c r="N10" s="27" t="s">
        <v>22</v>
      </c>
      <c r="O10" s="165">
        <v>0</v>
      </c>
      <c r="P10" s="6" t="str">
        <f t="shared" si="4"/>
        <v>RO_Data[4].SETPOINT[</v>
      </c>
      <c r="Q10" s="23">
        <f t="shared" si="16"/>
        <v>5</v>
      </c>
      <c r="R10" s="27" t="s">
        <v>22</v>
      </c>
      <c r="S10" s="9" t="str">
        <f t="shared" si="5"/>
        <v>P</v>
      </c>
      <c r="T10" s="18"/>
      <c r="U10" s="19"/>
      <c r="V10" s="19"/>
      <c r="W10" s="19"/>
      <c r="X10" s="19"/>
      <c r="Y10" s="58"/>
      <c r="Z10" s="58"/>
      <c r="AA10" s="58"/>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RO_Data[4].COND1[</v>
      </c>
      <c r="BB10" s="23">
        <f t="shared" si="17"/>
        <v>5</v>
      </c>
      <c r="BC10" s="27"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27"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27"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27"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27"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RO_Data[4].ACT6[</v>
      </c>
      <c r="HZ10" s="23">
        <f t="shared" si="22"/>
        <v>5</v>
      </c>
      <c r="IA10" s="27" t="s">
        <v>22</v>
      </c>
      <c r="IB10" s="10" t="s">
        <v>245</v>
      </c>
      <c r="IC10" s="6" t="str">
        <f t="shared" si="12"/>
        <v>RO_Data[4].STEP_DESC[</v>
      </c>
      <c r="ID10" s="23">
        <f t="shared" si="23"/>
        <v>5</v>
      </c>
      <c r="IE10" s="27" t="s">
        <v>22</v>
      </c>
    </row>
    <row r="11" spans="1:239" x14ac:dyDescent="0.25">
      <c r="A11" s="8">
        <v>6</v>
      </c>
      <c r="B11" s="8" t="str">
        <f t="shared" si="0"/>
        <v>PAUSE</v>
      </c>
      <c r="C11" s="77"/>
      <c r="D11" s="6" t="str">
        <f t="shared" si="1"/>
        <v>RO_Data[4].ACK_DESC[</v>
      </c>
      <c r="E11" s="23">
        <f t="shared" si="13"/>
        <v>6</v>
      </c>
      <c r="F11" s="27" t="s">
        <v>22</v>
      </c>
      <c r="G11" s="161">
        <v>0</v>
      </c>
      <c r="H11" s="6" t="str">
        <f t="shared" si="2"/>
        <v>RO_Data[4].MIN[</v>
      </c>
      <c r="I11" s="23">
        <f t="shared" si="14"/>
        <v>6</v>
      </c>
      <c r="J11" s="27" t="s">
        <v>22</v>
      </c>
      <c r="K11" s="161">
        <v>10</v>
      </c>
      <c r="L11" s="6" t="str">
        <f t="shared" si="3"/>
        <v>RO_Data[4].SEC[</v>
      </c>
      <c r="M11" s="23">
        <f t="shared" si="15"/>
        <v>6</v>
      </c>
      <c r="N11" s="27" t="s">
        <v>22</v>
      </c>
      <c r="O11" s="165">
        <v>0</v>
      </c>
      <c r="P11" s="6" t="str">
        <f t="shared" si="4"/>
        <v>RO_Data[4].SETPOINT[</v>
      </c>
      <c r="Q11" s="23">
        <f t="shared" si="16"/>
        <v>6</v>
      </c>
      <c r="R11" s="27" t="s">
        <v>22</v>
      </c>
      <c r="S11" s="9" t="str">
        <f t="shared" si="5"/>
        <v>P</v>
      </c>
      <c r="T11" s="18"/>
      <c r="U11" s="19"/>
      <c r="V11" s="19"/>
      <c r="W11" s="19"/>
      <c r="X11" s="19"/>
      <c r="Y11" s="58"/>
      <c r="Z11" s="58">
        <v>1</v>
      </c>
      <c r="AA11" s="58"/>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RO_Data[4].COND1[</v>
      </c>
      <c r="BB11" s="23">
        <f t="shared" si="17"/>
        <v>6</v>
      </c>
      <c r="BC11" s="27"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27"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27"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27"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27"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27" t="s">
        <v>22</v>
      </c>
      <c r="IB11" s="10" t="s">
        <v>222</v>
      </c>
      <c r="IC11" s="6" t="str">
        <f t="shared" si="12"/>
        <v>RO_Data[4].STEP_DESC[</v>
      </c>
      <c r="ID11" s="23">
        <f t="shared" si="23"/>
        <v>6</v>
      </c>
      <c r="IE11" s="27" t="s">
        <v>22</v>
      </c>
    </row>
    <row r="12" spans="1:239" x14ac:dyDescent="0.25">
      <c r="A12" s="8">
        <v>7</v>
      </c>
      <c r="B12" s="8" t="str">
        <f t="shared" si="0"/>
        <v>SOAKING</v>
      </c>
      <c r="C12" s="77"/>
      <c r="D12" s="6" t="str">
        <f t="shared" si="1"/>
        <v>RO_Data[4].ACK_DESC[</v>
      </c>
      <c r="E12" s="23">
        <f t="shared" si="13"/>
        <v>7</v>
      </c>
      <c r="F12" s="27" t="s">
        <v>22</v>
      </c>
      <c r="G12" s="161">
        <v>0</v>
      </c>
      <c r="H12" s="6" t="str">
        <f t="shared" si="2"/>
        <v>RO_Data[4].MIN[</v>
      </c>
      <c r="I12" s="23">
        <f t="shared" si="14"/>
        <v>7</v>
      </c>
      <c r="J12" s="27" t="s">
        <v>22</v>
      </c>
      <c r="K12" s="161">
        <v>1</v>
      </c>
      <c r="L12" s="6" t="str">
        <f t="shared" si="3"/>
        <v>RO_Data[4].SEC[</v>
      </c>
      <c r="M12" s="23">
        <f t="shared" si="15"/>
        <v>7</v>
      </c>
      <c r="N12" s="27" t="s">
        <v>22</v>
      </c>
      <c r="O12" s="165">
        <v>0</v>
      </c>
      <c r="P12" s="6" t="str">
        <f t="shared" si="4"/>
        <v>RO_Data[4].SETPOINT[</v>
      </c>
      <c r="Q12" s="23">
        <f t="shared" si="16"/>
        <v>7</v>
      </c>
      <c r="R12" s="27" t="s">
        <v>22</v>
      </c>
      <c r="S12" s="9" t="str">
        <f t="shared" si="5"/>
        <v>P</v>
      </c>
      <c r="T12" s="18"/>
      <c r="U12" s="19"/>
      <c r="V12" s="19"/>
      <c r="W12" s="19"/>
      <c r="X12" s="19"/>
      <c r="Y12" s="58"/>
      <c r="Z12" s="58"/>
      <c r="AA12" s="58"/>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RO_Data[4].COND1[</v>
      </c>
      <c r="BB12" s="23">
        <f t="shared" si="17"/>
        <v>7</v>
      </c>
      <c r="BC12" s="27"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27"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27"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27"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27"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27" t="s">
        <v>22</v>
      </c>
      <c r="IB12" s="10" t="s">
        <v>246</v>
      </c>
      <c r="IC12" s="6" t="str">
        <f t="shared" si="12"/>
        <v>RO_Data[4].STEP_DESC[</v>
      </c>
      <c r="ID12" s="23">
        <f t="shared" si="23"/>
        <v>7</v>
      </c>
      <c r="IE12" s="27" t="s">
        <v>22</v>
      </c>
    </row>
    <row r="13" spans="1:239" s="70" customFormat="1" x14ac:dyDescent="0.25">
      <c r="A13" s="61">
        <v>8</v>
      </c>
      <c r="B13" s="61" t="str">
        <f t="shared" si="0"/>
        <v>PUMPING DOWN FEED TANK</v>
      </c>
      <c r="C13" s="78"/>
      <c r="D13" s="6" t="str">
        <f t="shared" si="1"/>
        <v>RO_Data[4].ACK_DESC[</v>
      </c>
      <c r="E13" s="64">
        <f t="shared" si="13"/>
        <v>8</v>
      </c>
      <c r="F13" s="65" t="s">
        <v>22</v>
      </c>
      <c r="G13" s="162">
        <v>0</v>
      </c>
      <c r="H13" s="6" t="str">
        <f t="shared" si="2"/>
        <v>RO_Data[4].MIN[</v>
      </c>
      <c r="I13" s="64">
        <f t="shared" si="14"/>
        <v>8</v>
      </c>
      <c r="J13" s="65" t="s">
        <v>22</v>
      </c>
      <c r="K13" s="161">
        <v>1</v>
      </c>
      <c r="L13" s="6" t="str">
        <f t="shared" si="3"/>
        <v>RO_Data[4].SEC[</v>
      </c>
      <c r="M13" s="64">
        <f t="shared" si="15"/>
        <v>8</v>
      </c>
      <c r="N13" s="65" t="s">
        <v>22</v>
      </c>
      <c r="O13" s="166">
        <v>0</v>
      </c>
      <c r="P13" s="6" t="str">
        <f t="shared" si="4"/>
        <v>RO_Data[4].SETPOINT[</v>
      </c>
      <c r="Q13" s="64">
        <f t="shared" si="16"/>
        <v>8</v>
      </c>
      <c r="R13" s="65" t="s">
        <v>22</v>
      </c>
      <c r="S13" s="66" t="str">
        <f t="shared" si="5"/>
        <v>P</v>
      </c>
      <c r="T13" s="67"/>
      <c r="U13" s="58"/>
      <c r="V13" s="58"/>
      <c r="W13" s="58"/>
      <c r="X13" s="58"/>
      <c r="Y13" s="58"/>
      <c r="Z13" s="58"/>
      <c r="AA13" s="58"/>
      <c r="AB13" s="58"/>
      <c r="AC13" s="58"/>
      <c r="AD13" s="58"/>
      <c r="AE13" s="58"/>
      <c r="AF13" s="58">
        <v>1</v>
      </c>
      <c r="AG13" s="58"/>
      <c r="AH13" s="58"/>
      <c r="AI13" s="58"/>
      <c r="AJ13" s="58"/>
      <c r="AK13" s="58"/>
      <c r="AL13" s="58"/>
      <c r="AM13" s="58"/>
      <c r="AN13" s="58"/>
      <c r="AO13" s="58"/>
      <c r="AP13" s="58">
        <v>1</v>
      </c>
      <c r="AQ13" s="58"/>
      <c r="AR13" s="58"/>
      <c r="AS13" s="58"/>
      <c r="AT13" s="58"/>
      <c r="AU13" s="58"/>
      <c r="AV13" s="58"/>
      <c r="AW13" s="58"/>
      <c r="AX13" s="58"/>
      <c r="AY13" s="68"/>
      <c r="AZ13" s="61">
        <f t="array" ref="AZ13">Bin2DecRange($T13:$AY13)</f>
        <v>524800</v>
      </c>
      <c r="BA13" s="6" t="str">
        <f t="shared" si="6"/>
        <v>RO_Data[4].COND1[</v>
      </c>
      <c r="BB13" s="64">
        <f t="shared" si="17"/>
        <v>8</v>
      </c>
      <c r="BC13" s="65" t="s">
        <v>22</v>
      </c>
      <c r="BD13" s="67"/>
      <c r="BE13" s="58"/>
      <c r="BF13" s="58"/>
      <c r="BG13" s="58"/>
      <c r="BH13" s="58"/>
      <c r="BI13" s="58"/>
      <c r="BJ13" s="58"/>
      <c r="BK13" s="58"/>
      <c r="BL13" s="58"/>
      <c r="BM13" s="58">
        <v>1</v>
      </c>
      <c r="BN13" s="58"/>
      <c r="BO13" s="58"/>
      <c r="BP13" s="58"/>
      <c r="BQ13" s="58"/>
      <c r="BR13" s="58"/>
      <c r="BS13" s="58"/>
      <c r="BT13" s="58"/>
      <c r="BU13" s="58"/>
      <c r="BV13" s="58"/>
      <c r="BW13" s="58"/>
      <c r="BX13" s="58"/>
      <c r="BY13" s="58"/>
      <c r="BZ13" s="58"/>
      <c r="CA13" s="58"/>
      <c r="CB13" s="58"/>
      <c r="CC13" s="58"/>
      <c r="CD13" s="58"/>
      <c r="CE13" s="58"/>
      <c r="CF13" s="58"/>
      <c r="CG13" s="58"/>
      <c r="CH13" s="58"/>
      <c r="CI13" s="68"/>
      <c r="CJ13" s="61" cm="1">
        <f t="array" ref="CJ13">Bin2DecRange($BD13:$CI13)</f>
        <v>4194304</v>
      </c>
      <c r="CK13" s="6" t="str">
        <f t="shared" si="7"/>
        <v>RO_Data[4].COND2[</v>
      </c>
      <c r="CL13" s="64">
        <f t="shared" si="18"/>
        <v>8</v>
      </c>
      <c r="CM13" s="65" t="s">
        <v>22</v>
      </c>
      <c r="CN13" s="67"/>
      <c r="CO13" s="58"/>
      <c r="CP13" s="58"/>
      <c r="CQ13" s="58"/>
      <c r="CR13" s="58"/>
      <c r="CS13" s="58"/>
      <c r="CT13" s="58"/>
      <c r="CU13" s="58"/>
      <c r="CV13" s="58"/>
      <c r="CW13" s="58"/>
      <c r="CX13" s="58"/>
      <c r="CY13" s="58"/>
      <c r="CZ13" s="58"/>
      <c r="DA13" s="58"/>
      <c r="DB13" s="58"/>
      <c r="DC13" s="58"/>
      <c r="DD13" s="58">
        <v>1</v>
      </c>
      <c r="DE13" s="58"/>
      <c r="DF13" s="58"/>
      <c r="DG13" s="58"/>
      <c r="DH13" s="58"/>
      <c r="DI13" s="58"/>
      <c r="DJ13" s="58"/>
      <c r="DK13" s="58"/>
      <c r="DL13" s="58"/>
      <c r="DM13" s="58"/>
      <c r="DN13" s="58"/>
      <c r="DO13" s="58"/>
      <c r="DP13" s="58"/>
      <c r="DQ13" s="58"/>
      <c r="DR13" s="58"/>
      <c r="DS13" s="68"/>
      <c r="DT13" s="61" cm="1">
        <f t="array" ref="DT13">Bin2DecRange($CN13:$DS13)</f>
        <v>32768</v>
      </c>
      <c r="DU13" s="6" t="str">
        <f t="shared" si="8"/>
        <v>RO_Data[4].COND3[</v>
      </c>
      <c r="DV13" s="64">
        <f t="shared" si="19"/>
        <v>8</v>
      </c>
      <c r="DW13" s="65" t="s">
        <v>22</v>
      </c>
      <c r="DX13" s="69">
        <v>1</v>
      </c>
      <c r="DY13" s="58"/>
      <c r="DZ13" s="58"/>
      <c r="EA13" s="58"/>
      <c r="EB13" s="58">
        <v>1</v>
      </c>
      <c r="EC13" s="58"/>
      <c r="ED13" s="58">
        <v>1</v>
      </c>
      <c r="EE13" s="58">
        <v>1</v>
      </c>
      <c r="EF13" s="58"/>
      <c r="EG13" s="58"/>
      <c r="EH13" s="58">
        <v>1</v>
      </c>
      <c r="EI13" s="58">
        <v>1</v>
      </c>
      <c r="EJ13" s="58"/>
      <c r="EK13" s="58"/>
      <c r="EL13" s="58"/>
      <c r="EM13" s="58"/>
      <c r="EN13" s="58"/>
      <c r="EO13" s="58"/>
      <c r="EP13" s="58"/>
      <c r="EQ13" s="58"/>
      <c r="ER13" s="58"/>
      <c r="ES13" s="58"/>
      <c r="ET13" s="58"/>
      <c r="EU13" s="58"/>
      <c r="EV13" s="58"/>
      <c r="EW13" s="58"/>
      <c r="EX13" s="58"/>
      <c r="EY13" s="58"/>
      <c r="EZ13" s="58"/>
      <c r="FA13" s="58"/>
      <c r="FB13" s="58"/>
      <c r="FC13" s="68"/>
      <c r="FD13" s="61">
        <f t="array" ref="FD13">Bin2DecRange($DX13:$FC13)</f>
        <v>-1959788544</v>
      </c>
      <c r="FE13" s="6" t="str">
        <f t="shared" si="9"/>
        <v>RO_Data[4].ACT1[</v>
      </c>
      <c r="FF13" s="64">
        <f t="shared" si="20"/>
        <v>8</v>
      </c>
      <c r="FG13" s="65" t="s">
        <v>22</v>
      </c>
      <c r="FH13" s="69"/>
      <c r="FI13" s="58"/>
      <c r="FJ13" s="58"/>
      <c r="FK13" s="58"/>
      <c r="FL13" s="58"/>
      <c r="FM13" s="58"/>
      <c r="FN13" s="58"/>
      <c r="FO13" s="58"/>
      <c r="FP13" s="58"/>
      <c r="FQ13" s="58"/>
      <c r="FR13" s="58"/>
      <c r="FS13" s="58"/>
      <c r="FT13" s="58"/>
      <c r="FU13" s="58"/>
      <c r="FV13" s="58"/>
      <c r="FW13" s="58"/>
      <c r="FX13" s="58"/>
      <c r="FY13" s="58"/>
      <c r="FZ13" s="58"/>
      <c r="GA13" s="58"/>
      <c r="GB13" s="58"/>
      <c r="GC13" s="58"/>
      <c r="GD13" s="58"/>
      <c r="GE13" s="58">
        <v>1</v>
      </c>
      <c r="GF13" s="58">
        <v>1</v>
      </c>
      <c r="GG13" s="58">
        <v>1</v>
      </c>
      <c r="GH13" s="58">
        <v>1</v>
      </c>
      <c r="GI13" s="58">
        <v>1</v>
      </c>
      <c r="GJ13" s="58">
        <v>1</v>
      </c>
      <c r="GK13" s="58">
        <v>1</v>
      </c>
      <c r="GL13" s="58">
        <v>1</v>
      </c>
      <c r="GM13" s="68">
        <v>1</v>
      </c>
      <c r="GN13" s="61" cm="1">
        <f t="array" ref="GN13">Bin2DecRange($FH13:$GM13)</f>
        <v>511</v>
      </c>
      <c r="GO13" s="6" t="str">
        <f t="shared" si="10"/>
        <v>RO_Data[4].ACT5[</v>
      </c>
      <c r="GP13" s="64">
        <f t="shared" si="21"/>
        <v>8</v>
      </c>
      <c r="GQ13" s="65" t="s">
        <v>22</v>
      </c>
      <c r="GR13" s="69"/>
      <c r="GS13" s="58"/>
      <c r="GT13" s="58"/>
      <c r="GU13" s="58"/>
      <c r="GV13" s="58"/>
      <c r="GW13" s="58"/>
      <c r="GX13" s="58"/>
      <c r="GY13" s="58"/>
      <c r="GZ13" s="58"/>
      <c r="HA13" s="58"/>
      <c r="HB13" s="58"/>
      <c r="HC13" s="58"/>
      <c r="HD13" s="58"/>
      <c r="HE13" s="58"/>
      <c r="HF13" s="58"/>
      <c r="HG13" s="58"/>
      <c r="HH13" s="58"/>
      <c r="HI13" s="58"/>
      <c r="HJ13" s="58"/>
      <c r="HK13" s="58"/>
      <c r="HL13" s="58"/>
      <c r="HM13" s="58"/>
      <c r="HN13" s="58"/>
      <c r="HO13" s="58"/>
      <c r="HP13" s="58"/>
      <c r="HQ13" s="58"/>
      <c r="HR13" s="58"/>
      <c r="HS13" s="58"/>
      <c r="HT13" s="58"/>
      <c r="HU13" s="58"/>
      <c r="HV13" s="58"/>
      <c r="HW13" s="68"/>
      <c r="HX13" s="61" cm="1">
        <f t="array" ref="HX13">Bin2DecRange($GR13:$HW13)</f>
        <v>0</v>
      </c>
      <c r="HY13" s="6" t="str">
        <f t="shared" si="11"/>
        <v>RO_Data[4].ACT6[</v>
      </c>
      <c r="HZ13" s="64">
        <f t="shared" si="22"/>
        <v>8</v>
      </c>
      <c r="IA13" s="65" t="s">
        <v>22</v>
      </c>
      <c r="IB13" s="62" t="s">
        <v>230</v>
      </c>
      <c r="IC13" s="6" t="str">
        <f t="shared" si="12"/>
        <v>RO_Data[4].STEP_DESC[</v>
      </c>
      <c r="ID13" s="64">
        <f t="shared" si="23"/>
        <v>8</v>
      </c>
      <c r="IE13" s="65" t="s">
        <v>22</v>
      </c>
    </row>
    <row r="14" spans="1:239" s="70" customFormat="1" x14ac:dyDescent="0.25">
      <c r="A14" s="61">
        <v>9</v>
      </c>
      <c r="B14" s="61" t="str">
        <f t="shared" si="0"/>
        <v>DRAINING FEED TANK</v>
      </c>
      <c r="C14" s="78"/>
      <c r="D14" s="6" t="str">
        <f t="shared" si="1"/>
        <v>RO_Data[4].ACK_DESC[</v>
      </c>
      <c r="E14" s="64">
        <f t="shared" si="13"/>
        <v>9</v>
      </c>
      <c r="F14" s="65" t="s">
        <v>22</v>
      </c>
      <c r="G14" s="162">
        <v>0</v>
      </c>
      <c r="H14" s="6" t="str">
        <f t="shared" si="2"/>
        <v>RO_Data[4].MIN[</v>
      </c>
      <c r="I14" s="64">
        <f t="shared" si="14"/>
        <v>9</v>
      </c>
      <c r="J14" s="65" t="s">
        <v>22</v>
      </c>
      <c r="K14" s="161">
        <v>1</v>
      </c>
      <c r="L14" s="6" t="str">
        <f t="shared" si="3"/>
        <v>RO_Data[4].SEC[</v>
      </c>
      <c r="M14" s="64">
        <f t="shared" si="15"/>
        <v>9</v>
      </c>
      <c r="N14" s="65" t="s">
        <v>22</v>
      </c>
      <c r="O14" s="166">
        <v>0</v>
      </c>
      <c r="P14" s="6" t="str">
        <f t="shared" si="4"/>
        <v>RO_Data[4].SETPOINT[</v>
      </c>
      <c r="Q14" s="64">
        <f t="shared" si="16"/>
        <v>9</v>
      </c>
      <c r="R14" s="65" t="s">
        <v>22</v>
      </c>
      <c r="S14" s="66" t="str">
        <f t="shared" si="5"/>
        <v>P</v>
      </c>
      <c r="T14" s="67"/>
      <c r="U14" s="58"/>
      <c r="V14" s="58"/>
      <c r="W14" s="58"/>
      <c r="X14" s="58"/>
      <c r="Y14" s="58"/>
      <c r="Z14" s="58"/>
      <c r="AA14" s="58"/>
      <c r="AB14" s="58"/>
      <c r="AC14" s="58"/>
      <c r="AD14" s="58"/>
      <c r="AE14" s="58"/>
      <c r="AF14" s="58"/>
      <c r="AG14" s="58"/>
      <c r="AH14" s="58"/>
      <c r="AI14" s="58"/>
      <c r="AJ14" s="58"/>
      <c r="AK14" s="58"/>
      <c r="AL14" s="58"/>
      <c r="AM14" s="58"/>
      <c r="AN14" s="58"/>
      <c r="AO14" s="58"/>
      <c r="AP14" s="58">
        <v>1</v>
      </c>
      <c r="AQ14" s="58"/>
      <c r="AR14" s="58"/>
      <c r="AS14" s="58"/>
      <c r="AT14" s="58"/>
      <c r="AU14" s="58"/>
      <c r="AV14" s="58"/>
      <c r="AW14" s="58"/>
      <c r="AX14" s="58"/>
      <c r="AY14" s="68"/>
      <c r="AZ14" s="61">
        <f t="array" ref="AZ14">Bin2DecRange($T14:$AY14)</f>
        <v>512</v>
      </c>
      <c r="BA14" s="6" t="str">
        <f t="shared" si="6"/>
        <v>RO_Data[4].COND1[</v>
      </c>
      <c r="BB14" s="64">
        <f t="shared" si="17"/>
        <v>9</v>
      </c>
      <c r="BC14" s="65" t="s">
        <v>22</v>
      </c>
      <c r="BD14" s="67"/>
      <c r="BE14" s="58"/>
      <c r="BF14" s="58"/>
      <c r="BG14" s="58"/>
      <c r="BH14" s="58"/>
      <c r="BI14" s="58"/>
      <c r="BJ14" s="58">
        <v>1</v>
      </c>
      <c r="BK14" s="58"/>
      <c r="BL14" s="58"/>
      <c r="BM14" s="58"/>
      <c r="BN14" s="58"/>
      <c r="BO14" s="58"/>
      <c r="BP14" s="58"/>
      <c r="BQ14" s="58"/>
      <c r="BR14" s="58"/>
      <c r="BS14" s="58"/>
      <c r="BT14" s="58">
        <v>1</v>
      </c>
      <c r="BU14" s="58"/>
      <c r="BV14" s="58"/>
      <c r="BW14" s="58"/>
      <c r="BX14" s="58"/>
      <c r="BY14" s="58"/>
      <c r="BZ14" s="58"/>
      <c r="CA14" s="58"/>
      <c r="CB14" s="58"/>
      <c r="CC14" s="58"/>
      <c r="CD14" s="58"/>
      <c r="CE14" s="58"/>
      <c r="CF14" s="58"/>
      <c r="CG14" s="58"/>
      <c r="CH14" s="58"/>
      <c r="CI14" s="68"/>
      <c r="CJ14" s="61" cm="1">
        <f t="array" ref="CJ14">Bin2DecRange($BD14:$CI14)</f>
        <v>33587200</v>
      </c>
      <c r="CK14" s="6" t="str">
        <f t="shared" si="7"/>
        <v>RO_Data[4].COND2[</v>
      </c>
      <c r="CL14" s="64">
        <f t="shared" si="18"/>
        <v>9</v>
      </c>
      <c r="CM14" s="65" t="s">
        <v>22</v>
      </c>
      <c r="CN14" s="67"/>
      <c r="CO14" s="58"/>
      <c r="CP14" s="58"/>
      <c r="CQ14" s="58"/>
      <c r="CR14" s="58"/>
      <c r="CS14" s="58"/>
      <c r="CT14" s="58"/>
      <c r="CU14" s="58"/>
      <c r="CV14" s="58"/>
      <c r="CW14" s="58"/>
      <c r="CX14" s="58"/>
      <c r="CY14" s="58"/>
      <c r="CZ14" s="58"/>
      <c r="DA14" s="58"/>
      <c r="DB14" s="58"/>
      <c r="DC14" s="58"/>
      <c r="DD14" s="58"/>
      <c r="DE14" s="58"/>
      <c r="DF14" s="58"/>
      <c r="DG14" s="58"/>
      <c r="DH14" s="58"/>
      <c r="DI14" s="58"/>
      <c r="DJ14" s="58"/>
      <c r="DK14" s="58"/>
      <c r="DL14" s="58"/>
      <c r="DM14" s="58"/>
      <c r="DN14" s="58"/>
      <c r="DO14" s="58"/>
      <c r="DP14" s="58"/>
      <c r="DQ14" s="58"/>
      <c r="DR14" s="58"/>
      <c r="DS14" s="68"/>
      <c r="DT14" s="61" cm="1">
        <f t="array" ref="DT14">Bin2DecRange($CN14:$DS14)</f>
        <v>0</v>
      </c>
      <c r="DU14" s="6" t="str">
        <f t="shared" si="8"/>
        <v>RO_Data[4].COND3[</v>
      </c>
      <c r="DV14" s="64">
        <f t="shared" si="19"/>
        <v>9</v>
      </c>
      <c r="DW14" s="65" t="s">
        <v>22</v>
      </c>
      <c r="DX14" s="69">
        <v>1</v>
      </c>
      <c r="DY14" s="58"/>
      <c r="DZ14" s="58"/>
      <c r="EA14" s="58"/>
      <c r="EB14" s="58">
        <v>1</v>
      </c>
      <c r="EC14" s="58">
        <v>1</v>
      </c>
      <c r="ED14" s="58">
        <v>1</v>
      </c>
      <c r="EE14" s="58">
        <v>1</v>
      </c>
      <c r="EF14" s="58"/>
      <c r="EG14" s="58"/>
      <c r="EH14" s="58">
        <v>1</v>
      </c>
      <c r="EI14" s="58">
        <v>1</v>
      </c>
      <c r="EJ14" s="58"/>
      <c r="EK14" s="58"/>
      <c r="EL14" s="58"/>
      <c r="EM14" s="58"/>
      <c r="EN14" s="58"/>
      <c r="EO14" s="58"/>
      <c r="EP14" s="58"/>
      <c r="EQ14" s="58"/>
      <c r="ER14" s="58"/>
      <c r="ES14" s="58"/>
      <c r="ET14" s="58"/>
      <c r="EU14" s="58"/>
      <c r="EV14" s="58"/>
      <c r="EW14" s="58"/>
      <c r="EX14" s="58"/>
      <c r="EY14" s="58"/>
      <c r="EZ14" s="58"/>
      <c r="FA14" s="58"/>
      <c r="FB14" s="58"/>
      <c r="FC14" s="68"/>
      <c r="FD14" s="61">
        <f t="array" ref="FD14">Bin2DecRange($DX14:$FC14)</f>
        <v>-1892679680</v>
      </c>
      <c r="FE14" s="6" t="str">
        <f t="shared" si="9"/>
        <v>RO_Data[4].ACT1[</v>
      </c>
      <c r="FF14" s="64">
        <f t="shared" si="20"/>
        <v>9</v>
      </c>
      <c r="FG14" s="65" t="s">
        <v>22</v>
      </c>
      <c r="FH14" s="69"/>
      <c r="FI14" s="58"/>
      <c r="FJ14" s="58"/>
      <c r="FK14" s="58"/>
      <c r="FL14" s="58"/>
      <c r="FM14" s="58"/>
      <c r="FN14" s="58"/>
      <c r="FO14" s="58"/>
      <c r="FP14" s="58"/>
      <c r="FQ14" s="58"/>
      <c r="FR14" s="58"/>
      <c r="FS14" s="58"/>
      <c r="FT14" s="58"/>
      <c r="FU14" s="58"/>
      <c r="FV14" s="58"/>
      <c r="FW14" s="58"/>
      <c r="FX14" s="58"/>
      <c r="FY14" s="58"/>
      <c r="FZ14" s="58"/>
      <c r="GA14" s="58"/>
      <c r="GB14" s="58"/>
      <c r="GC14" s="58"/>
      <c r="GD14" s="58"/>
      <c r="GE14" s="58"/>
      <c r="GF14" s="58"/>
      <c r="GG14" s="58"/>
      <c r="GH14" s="58"/>
      <c r="GI14" s="58"/>
      <c r="GJ14" s="58"/>
      <c r="GK14" s="58"/>
      <c r="GL14" s="58"/>
      <c r="GM14" s="68"/>
      <c r="GN14" s="61" cm="1">
        <f t="array" ref="GN14">Bin2DecRange($FH14:$GM14)</f>
        <v>0</v>
      </c>
      <c r="GO14" s="6" t="str">
        <f t="shared" si="10"/>
        <v>RO_Data[4].ACT5[</v>
      </c>
      <c r="GP14" s="64">
        <f t="shared" si="21"/>
        <v>9</v>
      </c>
      <c r="GQ14" s="65" t="s">
        <v>22</v>
      </c>
      <c r="GR14" s="69"/>
      <c r="GS14" s="58"/>
      <c r="GT14" s="58"/>
      <c r="GU14" s="58"/>
      <c r="GV14" s="58"/>
      <c r="GW14" s="58"/>
      <c r="GX14" s="58"/>
      <c r="GY14" s="58"/>
      <c r="GZ14" s="58"/>
      <c r="HA14" s="58"/>
      <c r="HB14" s="58"/>
      <c r="HC14" s="58"/>
      <c r="HD14" s="58"/>
      <c r="HE14" s="58"/>
      <c r="HF14" s="58"/>
      <c r="HG14" s="58"/>
      <c r="HH14" s="58"/>
      <c r="HI14" s="58"/>
      <c r="HJ14" s="58"/>
      <c r="HK14" s="58"/>
      <c r="HL14" s="58"/>
      <c r="HM14" s="58"/>
      <c r="HN14" s="58"/>
      <c r="HO14" s="58"/>
      <c r="HP14" s="58"/>
      <c r="HQ14" s="58"/>
      <c r="HR14" s="58"/>
      <c r="HS14" s="58"/>
      <c r="HT14" s="58"/>
      <c r="HU14" s="58"/>
      <c r="HV14" s="58"/>
      <c r="HW14" s="68"/>
      <c r="HX14" s="61" cm="1">
        <f t="array" ref="HX14">Bin2DecRange($GR14:$HW14)</f>
        <v>0</v>
      </c>
      <c r="HY14" s="6" t="str">
        <f t="shared" si="11"/>
        <v>RO_Data[4].ACT6[</v>
      </c>
      <c r="HZ14" s="64">
        <f t="shared" si="22"/>
        <v>9</v>
      </c>
      <c r="IA14" s="65" t="s">
        <v>22</v>
      </c>
      <c r="IB14" s="62" t="s">
        <v>231</v>
      </c>
      <c r="IC14" s="6" t="str">
        <f t="shared" si="12"/>
        <v>RO_Data[4].STEP_DESC[</v>
      </c>
      <c r="ID14" s="64">
        <f t="shared" si="23"/>
        <v>9</v>
      </c>
      <c r="IE14" s="65" t="s">
        <v>22</v>
      </c>
    </row>
    <row r="15" spans="1:239" s="70" customFormat="1" x14ac:dyDescent="0.25">
      <c r="A15" s="61">
        <v>10</v>
      </c>
      <c r="B15" s="61" t="str">
        <f t="shared" si="0"/>
        <v>FILLING FEED TANK TO SET POINT LEVEL</v>
      </c>
      <c r="C15" s="78"/>
      <c r="D15" s="6" t="str">
        <f t="shared" si="1"/>
        <v>RO_Data[4].ACK_DESC[</v>
      </c>
      <c r="E15" s="64">
        <f t="shared" si="13"/>
        <v>10</v>
      </c>
      <c r="F15" s="65" t="s">
        <v>22</v>
      </c>
      <c r="G15" s="162">
        <v>0</v>
      </c>
      <c r="H15" s="6" t="str">
        <f t="shared" si="2"/>
        <v>RO_Data[4].MIN[</v>
      </c>
      <c r="I15" s="64">
        <f t="shared" si="14"/>
        <v>10</v>
      </c>
      <c r="J15" s="65" t="s">
        <v>22</v>
      </c>
      <c r="K15" s="161">
        <v>1</v>
      </c>
      <c r="L15" s="6" t="str">
        <f t="shared" si="3"/>
        <v>RO_Data[4].SEC[</v>
      </c>
      <c r="M15" s="64">
        <f t="shared" si="15"/>
        <v>10</v>
      </c>
      <c r="N15" s="65" t="s">
        <v>22</v>
      </c>
      <c r="O15" s="166">
        <v>0</v>
      </c>
      <c r="P15" s="6" t="str">
        <f t="shared" si="4"/>
        <v>RO_Data[4].SETPOINT[</v>
      </c>
      <c r="Q15" s="64">
        <f t="shared" si="16"/>
        <v>10</v>
      </c>
      <c r="R15" s="65" t="s">
        <v>22</v>
      </c>
      <c r="S15" s="66" t="str">
        <f t="shared" si="5"/>
        <v>P</v>
      </c>
      <c r="T15" s="67"/>
      <c r="U15" s="58"/>
      <c r="V15" s="58"/>
      <c r="W15" s="58">
        <v>1</v>
      </c>
      <c r="X15" s="58"/>
      <c r="Y15" s="58"/>
      <c r="Z15" s="58"/>
      <c r="AA15" s="58"/>
      <c r="AB15" s="58"/>
      <c r="AC15" s="58"/>
      <c r="AD15" s="58"/>
      <c r="AE15" s="58"/>
      <c r="AF15" s="58"/>
      <c r="AG15" s="58"/>
      <c r="AH15" s="58"/>
      <c r="AI15" s="58">
        <v>1</v>
      </c>
      <c r="AJ15" s="58"/>
      <c r="AK15" s="58"/>
      <c r="AL15" s="58"/>
      <c r="AM15" s="58"/>
      <c r="AN15" s="58"/>
      <c r="AO15" s="58"/>
      <c r="AP15" s="58">
        <v>1</v>
      </c>
      <c r="AQ15" s="58"/>
      <c r="AR15" s="58"/>
      <c r="AS15" s="58"/>
      <c r="AT15" s="58"/>
      <c r="AU15" s="58"/>
      <c r="AV15" s="58"/>
      <c r="AW15" s="58"/>
      <c r="AX15" s="58"/>
      <c r="AY15" s="68"/>
      <c r="AZ15" s="61">
        <f t="array" ref="AZ15">Bin2DecRange($T15:$AY15)</f>
        <v>268501504</v>
      </c>
      <c r="BA15" s="6" t="str">
        <f t="shared" si="6"/>
        <v>RO_Data[4].COND1[</v>
      </c>
      <c r="BB15" s="64">
        <f t="shared" si="17"/>
        <v>10</v>
      </c>
      <c r="BC15" s="65" t="s">
        <v>22</v>
      </c>
      <c r="BD15" s="67"/>
      <c r="BE15" s="58"/>
      <c r="BF15" s="58"/>
      <c r="BG15" s="58"/>
      <c r="BH15" s="58"/>
      <c r="BI15" s="58"/>
      <c r="BJ15" s="58"/>
      <c r="BK15" s="58"/>
      <c r="BL15" s="58"/>
      <c r="BM15" s="58"/>
      <c r="BN15" s="58"/>
      <c r="BO15" s="58"/>
      <c r="BP15" s="58"/>
      <c r="BQ15" s="58"/>
      <c r="BR15" s="58"/>
      <c r="BS15" s="58"/>
      <c r="BT15" s="58"/>
      <c r="BU15" s="58"/>
      <c r="BV15" s="58"/>
      <c r="BW15" s="58"/>
      <c r="BX15" s="58"/>
      <c r="BY15" s="58"/>
      <c r="BZ15" s="58"/>
      <c r="CA15" s="58"/>
      <c r="CB15" s="58"/>
      <c r="CC15" s="58"/>
      <c r="CD15" s="58"/>
      <c r="CE15" s="58"/>
      <c r="CF15" s="58"/>
      <c r="CG15" s="58"/>
      <c r="CH15" s="58"/>
      <c r="CI15" s="68"/>
      <c r="CJ15" s="61" cm="1">
        <f t="array" ref="CJ15">Bin2DecRange($BD15:$CI15)</f>
        <v>0</v>
      </c>
      <c r="CK15" s="6" t="str">
        <f t="shared" si="7"/>
        <v>RO_Data[4].COND2[</v>
      </c>
      <c r="CL15" s="64">
        <f t="shared" si="18"/>
        <v>10</v>
      </c>
      <c r="CM15" s="65" t="s">
        <v>22</v>
      </c>
      <c r="CN15" s="67"/>
      <c r="CO15" s="58"/>
      <c r="CP15" s="58"/>
      <c r="CQ15" s="58"/>
      <c r="CR15" s="58"/>
      <c r="CS15" s="58"/>
      <c r="CT15" s="58"/>
      <c r="CU15" s="58"/>
      <c r="CV15" s="58"/>
      <c r="CW15" s="58"/>
      <c r="CX15" s="58"/>
      <c r="CY15" s="58"/>
      <c r="CZ15" s="58"/>
      <c r="DA15" s="58"/>
      <c r="DB15" s="58"/>
      <c r="DC15" s="58"/>
      <c r="DD15" s="58"/>
      <c r="DE15" s="58"/>
      <c r="DF15" s="58"/>
      <c r="DG15" s="58"/>
      <c r="DH15" s="58"/>
      <c r="DI15" s="58"/>
      <c r="DJ15" s="58"/>
      <c r="DK15" s="58"/>
      <c r="DL15" s="58"/>
      <c r="DM15" s="58"/>
      <c r="DN15" s="58"/>
      <c r="DO15" s="58"/>
      <c r="DP15" s="58"/>
      <c r="DQ15" s="58"/>
      <c r="DR15" s="58"/>
      <c r="DS15" s="68"/>
      <c r="DT15" s="61" cm="1">
        <f t="array" ref="DT15">Bin2DecRange($CN15:$DS15)</f>
        <v>0</v>
      </c>
      <c r="DU15" s="6" t="str">
        <f t="shared" si="8"/>
        <v>RO_Data[4].COND3[</v>
      </c>
      <c r="DV15" s="64">
        <f t="shared" si="19"/>
        <v>10</v>
      </c>
      <c r="DW15" s="65" t="s">
        <v>22</v>
      </c>
      <c r="DX15" s="69">
        <v>1</v>
      </c>
      <c r="DY15" s="58"/>
      <c r="DZ15" s="58"/>
      <c r="EA15" s="58"/>
      <c r="EB15" s="58">
        <v>1</v>
      </c>
      <c r="EC15" s="58"/>
      <c r="ED15" s="58">
        <v>1</v>
      </c>
      <c r="EE15" s="58">
        <v>1</v>
      </c>
      <c r="EF15" s="58"/>
      <c r="EG15" s="58"/>
      <c r="EH15" s="58">
        <v>1</v>
      </c>
      <c r="EI15" s="58">
        <v>1</v>
      </c>
      <c r="EJ15" s="58"/>
      <c r="EK15" s="58"/>
      <c r="EL15" s="58"/>
      <c r="EM15" s="58">
        <v>1</v>
      </c>
      <c r="EN15" s="58">
        <v>1</v>
      </c>
      <c r="EO15" s="58"/>
      <c r="EP15" s="58"/>
      <c r="EQ15" s="58"/>
      <c r="ER15" s="58"/>
      <c r="ES15" s="58"/>
      <c r="ET15" s="58"/>
      <c r="EU15" s="58"/>
      <c r="EV15" s="58"/>
      <c r="EW15" s="58"/>
      <c r="EX15" s="58"/>
      <c r="EY15" s="58"/>
      <c r="EZ15" s="58"/>
      <c r="FA15" s="58"/>
      <c r="FB15" s="58"/>
      <c r="FC15" s="68"/>
      <c r="FD15" s="61">
        <f t="array" ref="FD15">Bin2DecRange($DX15:$FC15)</f>
        <v>-1959690240</v>
      </c>
      <c r="FE15" s="6" t="str">
        <f t="shared" si="9"/>
        <v>RO_Data[4].ACT1[</v>
      </c>
      <c r="FF15" s="64">
        <f t="shared" si="20"/>
        <v>10</v>
      </c>
      <c r="FG15" s="65" t="s">
        <v>22</v>
      </c>
      <c r="FH15" s="69"/>
      <c r="FI15" s="58"/>
      <c r="FJ15" s="58"/>
      <c r="FK15" s="58"/>
      <c r="FL15" s="58"/>
      <c r="FM15" s="58"/>
      <c r="FN15" s="58"/>
      <c r="FO15" s="58"/>
      <c r="FP15" s="58"/>
      <c r="FQ15" s="58"/>
      <c r="FR15" s="58"/>
      <c r="FS15" s="58"/>
      <c r="FT15" s="58"/>
      <c r="FU15" s="58"/>
      <c r="FV15" s="58"/>
      <c r="FW15" s="58"/>
      <c r="FX15" s="58"/>
      <c r="FY15" s="58"/>
      <c r="FZ15" s="58"/>
      <c r="GA15" s="58"/>
      <c r="GB15" s="58"/>
      <c r="GC15" s="58"/>
      <c r="GD15" s="58"/>
      <c r="GE15" s="58"/>
      <c r="GF15" s="58"/>
      <c r="GG15" s="58"/>
      <c r="GH15" s="58"/>
      <c r="GI15" s="58"/>
      <c r="GJ15" s="58"/>
      <c r="GK15" s="58"/>
      <c r="GL15" s="58"/>
      <c r="GM15" s="68"/>
      <c r="GN15" s="61" cm="1">
        <f t="array" ref="GN15">Bin2DecRange($FH15:$GM15)</f>
        <v>0</v>
      </c>
      <c r="GO15" s="6" t="str">
        <f t="shared" si="10"/>
        <v>RO_Data[4].ACT5[</v>
      </c>
      <c r="GP15" s="64">
        <f t="shared" si="21"/>
        <v>10</v>
      </c>
      <c r="GQ15" s="65" t="s">
        <v>22</v>
      </c>
      <c r="GR15" s="69"/>
      <c r="GS15" s="58"/>
      <c r="GT15" s="58"/>
      <c r="GU15" s="58"/>
      <c r="GV15" s="58"/>
      <c r="GW15" s="58"/>
      <c r="GX15" s="58"/>
      <c r="GY15" s="58"/>
      <c r="GZ15" s="58"/>
      <c r="HA15" s="58"/>
      <c r="HB15" s="58"/>
      <c r="HC15" s="58"/>
      <c r="HD15" s="58"/>
      <c r="HE15" s="58"/>
      <c r="HF15" s="58"/>
      <c r="HG15" s="58"/>
      <c r="HH15" s="58"/>
      <c r="HI15" s="58"/>
      <c r="HJ15" s="58"/>
      <c r="HK15" s="58"/>
      <c r="HL15" s="58"/>
      <c r="HM15" s="58"/>
      <c r="HN15" s="58"/>
      <c r="HO15" s="58"/>
      <c r="HP15" s="58"/>
      <c r="HQ15" s="58"/>
      <c r="HR15" s="58"/>
      <c r="HS15" s="58"/>
      <c r="HT15" s="58"/>
      <c r="HU15" s="58"/>
      <c r="HV15" s="58"/>
      <c r="HW15" s="68"/>
      <c r="HX15" s="61" cm="1">
        <f t="array" ref="HX15">Bin2DecRange($GR15:$HW15)</f>
        <v>0</v>
      </c>
      <c r="HY15" s="6" t="str">
        <f t="shared" si="11"/>
        <v>RO_Data[4].ACT6[</v>
      </c>
      <c r="HZ15" s="64">
        <f t="shared" si="22"/>
        <v>10</v>
      </c>
      <c r="IA15" s="65" t="s">
        <v>22</v>
      </c>
      <c r="IB15" s="62" t="s">
        <v>224</v>
      </c>
      <c r="IC15" s="6" t="str">
        <f t="shared" si="12"/>
        <v>RO_Data[4].STEP_DESC[</v>
      </c>
      <c r="ID15" s="64">
        <f t="shared" si="23"/>
        <v>10</v>
      </c>
      <c r="IE15" s="65" t="s">
        <v>22</v>
      </c>
    </row>
    <row r="16" spans="1:239" x14ac:dyDescent="0.25">
      <c r="A16" s="8">
        <v>11</v>
      </c>
      <c r="B16" s="8" t="str">
        <f t="shared" si="0"/>
        <v>STARTING PUMPS</v>
      </c>
      <c r="C16" s="77"/>
      <c r="D16" s="6" t="str">
        <f t="shared" si="1"/>
        <v>RO_Data[4].ACK_DESC[</v>
      </c>
      <c r="E16" s="23">
        <f t="shared" si="13"/>
        <v>11</v>
      </c>
      <c r="F16" s="27" t="s">
        <v>22</v>
      </c>
      <c r="G16" s="161">
        <v>0</v>
      </c>
      <c r="H16" s="6" t="str">
        <f t="shared" si="2"/>
        <v>RO_Data[4].MIN[</v>
      </c>
      <c r="I16" s="23">
        <f t="shared" si="14"/>
        <v>11</v>
      </c>
      <c r="J16" s="27" t="s">
        <v>22</v>
      </c>
      <c r="K16" s="161">
        <v>30</v>
      </c>
      <c r="L16" s="6" t="str">
        <f t="shared" si="3"/>
        <v>RO_Data[4].SEC[</v>
      </c>
      <c r="M16" s="23">
        <f t="shared" si="15"/>
        <v>11</v>
      </c>
      <c r="N16" s="27" t="s">
        <v>22</v>
      </c>
      <c r="O16" s="165">
        <v>0</v>
      </c>
      <c r="P16" s="6" t="str">
        <f t="shared" si="4"/>
        <v>RO_Data[4].SETPOINT[</v>
      </c>
      <c r="Q16" s="23">
        <f t="shared" si="16"/>
        <v>11</v>
      </c>
      <c r="R16" s="27" t="s">
        <v>22</v>
      </c>
      <c r="S16" s="9" t="str">
        <f t="shared" si="5"/>
        <v>P</v>
      </c>
      <c r="T16" s="18"/>
      <c r="U16" s="19"/>
      <c r="V16" s="19"/>
      <c r="W16" s="19">
        <v>1</v>
      </c>
      <c r="X16" s="19"/>
      <c r="Y16" s="58"/>
      <c r="Z16" s="58"/>
      <c r="AA16" s="58">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RO_Data[4].COND1[</v>
      </c>
      <c r="BB16" s="23">
        <f t="shared" si="17"/>
        <v>11</v>
      </c>
      <c r="BC16" s="27"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27"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27"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27"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27"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27" t="s">
        <v>22</v>
      </c>
      <c r="IB16" s="10" t="s">
        <v>225</v>
      </c>
      <c r="IC16" s="6" t="str">
        <f t="shared" si="12"/>
        <v>RO_Data[4].STEP_DESC[</v>
      </c>
      <c r="ID16" s="23">
        <f t="shared" si="23"/>
        <v>11</v>
      </c>
      <c r="IE16" s="27" t="s">
        <v>22</v>
      </c>
    </row>
    <row r="17" spans="1:239" x14ac:dyDescent="0.25">
      <c r="A17" s="8">
        <v>12</v>
      </c>
      <c r="B17" s="8" t="str">
        <f t="shared" si="0"/>
        <v>RINSING STAGES</v>
      </c>
      <c r="C17" s="77"/>
      <c r="D17" s="6" t="str">
        <f t="shared" si="1"/>
        <v>RO_Data[4].ACK_DESC[</v>
      </c>
      <c r="E17" s="23">
        <f t="shared" si="13"/>
        <v>12</v>
      </c>
      <c r="F17" s="27" t="s">
        <v>22</v>
      </c>
      <c r="G17" s="161">
        <v>0</v>
      </c>
      <c r="H17" s="6" t="str">
        <f t="shared" si="2"/>
        <v>RO_Data[4].MIN[</v>
      </c>
      <c r="I17" s="23">
        <f t="shared" si="14"/>
        <v>12</v>
      </c>
      <c r="J17" s="27" t="s">
        <v>22</v>
      </c>
      <c r="K17" s="161">
        <v>1</v>
      </c>
      <c r="L17" s="6" t="str">
        <f t="shared" si="3"/>
        <v>RO_Data[4].SEC[</v>
      </c>
      <c r="M17" s="23">
        <f t="shared" si="15"/>
        <v>12</v>
      </c>
      <c r="N17" s="27" t="s">
        <v>22</v>
      </c>
      <c r="O17" s="165">
        <v>0</v>
      </c>
      <c r="P17" s="6" t="str">
        <f t="shared" si="4"/>
        <v>RO_Data[4].SETPOINT[</v>
      </c>
      <c r="Q17" s="23">
        <f t="shared" si="16"/>
        <v>12</v>
      </c>
      <c r="R17" s="27" t="s">
        <v>22</v>
      </c>
      <c r="S17" s="9" t="str">
        <f t="shared" si="5"/>
        <v>P</v>
      </c>
      <c r="T17" s="18"/>
      <c r="U17" s="19"/>
      <c r="V17" s="19"/>
      <c r="W17" s="19">
        <v>1</v>
      </c>
      <c r="X17" s="19"/>
      <c r="Y17" s="58"/>
      <c r="Z17" s="58"/>
      <c r="AA17" s="58"/>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RO_Data[4].COND1[</v>
      </c>
      <c r="BB17" s="23">
        <f t="shared" si="17"/>
        <v>12</v>
      </c>
      <c r="BC17" s="27"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27"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27"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27"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27"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27" t="s">
        <v>22</v>
      </c>
      <c r="IB17" s="10" t="s">
        <v>226</v>
      </c>
      <c r="IC17" s="6" t="str">
        <f t="shared" si="12"/>
        <v>RO_Data[4].STEP_DESC[</v>
      </c>
      <c r="ID17" s="23">
        <f t="shared" si="23"/>
        <v>12</v>
      </c>
      <c r="IE17" s="27" t="s">
        <v>22</v>
      </c>
    </row>
    <row r="18" spans="1:239" x14ac:dyDescent="0.25">
      <c r="A18" s="8">
        <v>13</v>
      </c>
      <c r="B18" s="8" t="str">
        <f t="shared" si="0"/>
        <v>PUMPING DOWN FEED TANK</v>
      </c>
      <c r="C18" s="77"/>
      <c r="D18" s="6" t="str">
        <f t="shared" si="1"/>
        <v>RO_Data[4].ACK_DESC[</v>
      </c>
      <c r="E18" s="23">
        <f t="shared" si="13"/>
        <v>13</v>
      </c>
      <c r="F18" s="27" t="s">
        <v>22</v>
      </c>
      <c r="G18" s="161">
        <v>0</v>
      </c>
      <c r="H18" s="6" t="str">
        <f t="shared" si="2"/>
        <v>RO_Data[4].MIN[</v>
      </c>
      <c r="I18" s="23">
        <f t="shared" si="14"/>
        <v>13</v>
      </c>
      <c r="J18" s="27" t="s">
        <v>22</v>
      </c>
      <c r="K18" s="161">
        <v>1</v>
      </c>
      <c r="L18" s="6" t="str">
        <f t="shared" si="3"/>
        <v>RO_Data[4].SEC[</v>
      </c>
      <c r="M18" s="23">
        <f t="shared" si="15"/>
        <v>13</v>
      </c>
      <c r="N18" s="27" t="s">
        <v>22</v>
      </c>
      <c r="O18" s="165">
        <v>0</v>
      </c>
      <c r="P18" s="6" t="str">
        <f t="shared" si="4"/>
        <v>RO_Data[4].SETPOINT[</v>
      </c>
      <c r="Q18" s="23">
        <f t="shared" si="16"/>
        <v>13</v>
      </c>
      <c r="R18" s="27" t="s">
        <v>22</v>
      </c>
      <c r="S18" s="9" t="str">
        <f t="shared" si="5"/>
        <v>P</v>
      </c>
      <c r="T18" s="18"/>
      <c r="U18" s="19"/>
      <c r="V18" s="19"/>
      <c r="W18" s="19"/>
      <c r="X18" s="19"/>
      <c r="Y18" s="58"/>
      <c r="Z18" s="58"/>
      <c r="AA18" s="58"/>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RO_Data[4].COND1[</v>
      </c>
      <c r="BB18" s="23">
        <f t="shared" si="17"/>
        <v>13</v>
      </c>
      <c r="BC18" s="27"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27"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27"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27"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27"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27" t="s">
        <v>22</v>
      </c>
      <c r="IB18" s="10" t="s">
        <v>230</v>
      </c>
      <c r="IC18" s="6" t="str">
        <f t="shared" si="12"/>
        <v>RO_Data[4].STEP_DESC[</v>
      </c>
      <c r="ID18" s="23">
        <f t="shared" si="23"/>
        <v>13</v>
      </c>
      <c r="IE18" s="27" t="s">
        <v>22</v>
      </c>
    </row>
    <row r="19" spans="1:239" x14ac:dyDescent="0.25">
      <c r="A19" s="8">
        <v>14</v>
      </c>
      <c r="B19" s="8" t="str">
        <f t="shared" si="0"/>
        <v>DRAINING FEED BALANCE TANK</v>
      </c>
      <c r="C19" s="77"/>
      <c r="D19" s="6" t="str">
        <f t="shared" si="1"/>
        <v>RO_Data[4].ACK_DESC[</v>
      </c>
      <c r="E19" s="23">
        <f t="shared" si="13"/>
        <v>14</v>
      </c>
      <c r="F19" s="27" t="s">
        <v>22</v>
      </c>
      <c r="G19" s="161">
        <v>0</v>
      </c>
      <c r="H19" s="6" t="str">
        <f t="shared" si="2"/>
        <v>RO_Data[4].MIN[</v>
      </c>
      <c r="I19" s="23">
        <f t="shared" si="14"/>
        <v>14</v>
      </c>
      <c r="J19" s="27" t="s">
        <v>22</v>
      </c>
      <c r="K19" s="161">
        <v>1</v>
      </c>
      <c r="L19" s="6" t="str">
        <f t="shared" si="3"/>
        <v>RO_Data[4].SEC[</v>
      </c>
      <c r="M19" s="23">
        <f t="shared" si="15"/>
        <v>14</v>
      </c>
      <c r="N19" s="27" t="s">
        <v>22</v>
      </c>
      <c r="O19" s="165">
        <v>0</v>
      </c>
      <c r="P19" s="6" t="str">
        <f t="shared" si="4"/>
        <v>RO_Data[4].SETPOINT[</v>
      </c>
      <c r="Q19" s="23">
        <f t="shared" si="16"/>
        <v>14</v>
      </c>
      <c r="R19" s="27" t="s">
        <v>22</v>
      </c>
      <c r="S19" s="9" t="str">
        <f t="shared" si="5"/>
        <v>P</v>
      </c>
      <c r="T19" s="18"/>
      <c r="U19" s="19"/>
      <c r="V19" s="19"/>
      <c r="W19" s="19"/>
      <c r="X19" s="19"/>
      <c r="Y19" s="58"/>
      <c r="Z19" s="58"/>
      <c r="AA19" s="58"/>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RO_Data[4].COND1[</v>
      </c>
      <c r="BB19" s="23">
        <f t="shared" si="17"/>
        <v>14</v>
      </c>
      <c r="BC19" s="27"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27"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27"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27"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27"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27" t="s">
        <v>22</v>
      </c>
      <c r="IB19" s="10" t="s">
        <v>243</v>
      </c>
      <c r="IC19" s="6" t="str">
        <f t="shared" si="12"/>
        <v>RO_Data[4].STEP_DESC[</v>
      </c>
      <c r="ID19" s="23">
        <f t="shared" si="23"/>
        <v>14</v>
      </c>
      <c r="IE19" s="27" t="s">
        <v>22</v>
      </c>
    </row>
    <row r="20" spans="1:239" x14ac:dyDescent="0.25">
      <c r="A20" s="8">
        <v>15</v>
      </c>
      <c r="B20" s="8" t="str">
        <f t="shared" si="0"/>
        <v>CYCLE COMPLETE</v>
      </c>
      <c r="C20" s="77"/>
      <c r="D20" s="6" t="str">
        <f t="shared" si="1"/>
        <v>RO_Data[4].ACK_DESC[</v>
      </c>
      <c r="E20" s="23">
        <f t="shared" si="13"/>
        <v>15</v>
      </c>
      <c r="F20" s="27" t="s">
        <v>22</v>
      </c>
      <c r="G20" s="161">
        <v>0</v>
      </c>
      <c r="H20" s="6" t="str">
        <f t="shared" si="2"/>
        <v>RO_Data[4].MIN[</v>
      </c>
      <c r="I20" s="23">
        <f t="shared" si="14"/>
        <v>15</v>
      </c>
      <c r="J20" s="27" t="s">
        <v>22</v>
      </c>
      <c r="K20" s="161">
        <v>0</v>
      </c>
      <c r="L20" s="6" t="str">
        <f t="shared" si="3"/>
        <v>RO_Data[4].SEC[</v>
      </c>
      <c r="M20" s="23">
        <f t="shared" si="15"/>
        <v>15</v>
      </c>
      <c r="N20" s="27" t="s">
        <v>22</v>
      </c>
      <c r="O20" s="165">
        <v>0</v>
      </c>
      <c r="P20" s="6" t="str">
        <f t="shared" si="4"/>
        <v>RO_Data[4].SETPOINT[</v>
      </c>
      <c r="Q20" s="23">
        <f t="shared" si="16"/>
        <v>15</v>
      </c>
      <c r="R20" s="27" t="s">
        <v>22</v>
      </c>
      <c r="S20" s="9" t="str">
        <f t="shared" si="5"/>
        <v/>
      </c>
      <c r="T20" s="18"/>
      <c r="U20" s="19"/>
      <c r="V20" s="19"/>
      <c r="W20" s="19"/>
      <c r="X20" s="19"/>
      <c r="Y20" s="58"/>
      <c r="Z20" s="58"/>
      <c r="AA20" s="58"/>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RO_Data[4].COND1[</v>
      </c>
      <c r="BB20" s="23">
        <f t="shared" si="17"/>
        <v>15</v>
      </c>
      <c r="BC20" s="27"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27"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27"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27"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27"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27" t="s">
        <v>22</v>
      </c>
      <c r="IB20" s="10" t="s">
        <v>223</v>
      </c>
      <c r="IC20" s="6" t="str">
        <f t="shared" si="12"/>
        <v>RO_Data[4].STEP_DESC[</v>
      </c>
      <c r="ID20" s="23">
        <f t="shared" si="23"/>
        <v>15</v>
      </c>
      <c r="IE20" s="27" t="s">
        <v>22</v>
      </c>
    </row>
    <row r="21" spans="1:239" x14ac:dyDescent="0.25">
      <c r="A21" s="8">
        <v>16</v>
      </c>
      <c r="B21" s="8" t="str">
        <f t="shared" si="0"/>
        <v/>
      </c>
      <c r="C21" s="77"/>
      <c r="D21" s="6" t="str">
        <f t="shared" si="1"/>
        <v>RO_Data[4].ACK_DESC[</v>
      </c>
      <c r="E21" s="23">
        <f t="shared" si="13"/>
        <v>16</v>
      </c>
      <c r="F21" s="27" t="s">
        <v>22</v>
      </c>
      <c r="G21" s="161">
        <v>0</v>
      </c>
      <c r="H21" s="6" t="str">
        <f t="shared" si="2"/>
        <v>RO_Data[4].MIN[</v>
      </c>
      <c r="I21" s="23">
        <f t="shared" si="14"/>
        <v>16</v>
      </c>
      <c r="J21" s="27" t="s">
        <v>22</v>
      </c>
      <c r="K21" s="161">
        <v>0</v>
      </c>
      <c r="L21" s="6" t="str">
        <f t="shared" si="3"/>
        <v>RO_Data[4].SEC[</v>
      </c>
      <c r="M21" s="23">
        <f t="shared" si="15"/>
        <v>16</v>
      </c>
      <c r="N21" s="27" t="s">
        <v>22</v>
      </c>
      <c r="O21" s="165">
        <v>0</v>
      </c>
      <c r="P21" s="6" t="str">
        <f t="shared" si="4"/>
        <v>RO_Data[4].SETPOINT[</v>
      </c>
      <c r="Q21" s="23">
        <f t="shared" si="16"/>
        <v>16</v>
      </c>
      <c r="R21" s="27" t="s">
        <v>22</v>
      </c>
      <c r="S21" s="9" t="str">
        <f t="shared" si="5"/>
        <v/>
      </c>
      <c r="T21" s="18"/>
      <c r="U21" s="19"/>
      <c r="V21" s="19"/>
      <c r="W21" s="19"/>
      <c r="X21" s="19"/>
      <c r="Y21" s="58"/>
      <c r="Z21" s="58"/>
      <c r="AA21" s="58"/>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27"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27"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27"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27"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27"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27" t="s">
        <v>22</v>
      </c>
      <c r="IB21" s="10"/>
      <c r="IC21" s="6" t="str">
        <f t="shared" si="12"/>
        <v>RO_Data[4].STEP_DESC[</v>
      </c>
      <c r="ID21" s="23">
        <f t="shared" si="23"/>
        <v>16</v>
      </c>
      <c r="IE21" s="27" t="s">
        <v>22</v>
      </c>
    </row>
    <row r="22" spans="1:239" x14ac:dyDescent="0.25">
      <c r="A22" s="8">
        <v>17</v>
      </c>
      <c r="B22" s="8" t="str">
        <f t="shared" si="0"/>
        <v/>
      </c>
      <c r="C22" s="77"/>
      <c r="D22" s="6" t="str">
        <f t="shared" si="1"/>
        <v>RO_Data[4].ACK_DESC[</v>
      </c>
      <c r="E22" s="23">
        <f t="shared" si="13"/>
        <v>17</v>
      </c>
      <c r="F22" s="27" t="s">
        <v>22</v>
      </c>
      <c r="G22" s="161">
        <v>0</v>
      </c>
      <c r="H22" s="6" t="str">
        <f t="shared" si="2"/>
        <v>RO_Data[4].MIN[</v>
      </c>
      <c r="I22" s="23">
        <f t="shared" si="14"/>
        <v>17</v>
      </c>
      <c r="J22" s="27" t="s">
        <v>22</v>
      </c>
      <c r="K22" s="161">
        <v>0</v>
      </c>
      <c r="L22" s="6" t="str">
        <f t="shared" si="3"/>
        <v>RO_Data[4].SEC[</v>
      </c>
      <c r="M22" s="23">
        <f t="shared" si="15"/>
        <v>17</v>
      </c>
      <c r="N22" s="27" t="s">
        <v>22</v>
      </c>
      <c r="O22" s="165">
        <v>0</v>
      </c>
      <c r="P22" s="6" t="str">
        <f t="shared" si="4"/>
        <v>RO_Data[4].SETPOINT[</v>
      </c>
      <c r="Q22" s="23">
        <f t="shared" si="16"/>
        <v>17</v>
      </c>
      <c r="R22" s="27" t="s">
        <v>22</v>
      </c>
      <c r="S22" s="9" t="str">
        <f t="shared" si="5"/>
        <v/>
      </c>
      <c r="T22" s="18"/>
      <c r="U22" s="19"/>
      <c r="V22" s="19"/>
      <c r="W22" s="19"/>
      <c r="X22" s="19"/>
      <c r="Y22" s="58"/>
      <c r="Z22" s="58"/>
      <c r="AA22" s="58"/>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27"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27"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27"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27"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27"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27" t="s">
        <v>22</v>
      </c>
      <c r="IB22" s="10"/>
      <c r="IC22" s="6" t="str">
        <f t="shared" si="12"/>
        <v>RO_Data[4].STEP_DESC[</v>
      </c>
      <c r="ID22" s="23">
        <f t="shared" si="23"/>
        <v>17</v>
      </c>
      <c r="IE22" s="27" t="s">
        <v>22</v>
      </c>
    </row>
    <row r="23" spans="1:239" x14ac:dyDescent="0.25">
      <c r="A23" s="8">
        <v>18</v>
      </c>
      <c r="B23" s="8" t="str">
        <f t="shared" si="0"/>
        <v/>
      </c>
      <c r="C23" s="77"/>
      <c r="D23" s="6" t="str">
        <f t="shared" si="1"/>
        <v>RO_Data[4].ACK_DESC[</v>
      </c>
      <c r="E23" s="23">
        <f t="shared" si="13"/>
        <v>18</v>
      </c>
      <c r="F23" s="27" t="s">
        <v>22</v>
      </c>
      <c r="G23" s="161">
        <v>0</v>
      </c>
      <c r="H23" s="6" t="str">
        <f t="shared" si="2"/>
        <v>RO_Data[4].MIN[</v>
      </c>
      <c r="I23" s="23">
        <f t="shared" si="14"/>
        <v>18</v>
      </c>
      <c r="J23" s="27" t="s">
        <v>22</v>
      </c>
      <c r="K23" s="161">
        <v>0</v>
      </c>
      <c r="L23" s="6" t="str">
        <f t="shared" si="3"/>
        <v>RO_Data[4].SEC[</v>
      </c>
      <c r="M23" s="23">
        <f t="shared" si="15"/>
        <v>18</v>
      </c>
      <c r="N23" s="27" t="s">
        <v>22</v>
      </c>
      <c r="O23" s="165">
        <v>0</v>
      </c>
      <c r="P23" s="6" t="str">
        <f t="shared" si="4"/>
        <v>RO_Data[4].SETPOINT[</v>
      </c>
      <c r="Q23" s="23">
        <f t="shared" si="16"/>
        <v>18</v>
      </c>
      <c r="R23" s="27" t="s">
        <v>22</v>
      </c>
      <c r="S23" s="9" t="str">
        <f t="shared" si="5"/>
        <v/>
      </c>
      <c r="T23" s="18"/>
      <c r="U23" s="19"/>
      <c r="V23" s="19"/>
      <c r="W23" s="19"/>
      <c r="X23" s="19"/>
      <c r="Y23" s="58"/>
      <c r="Z23" s="58"/>
      <c r="AA23" s="58"/>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27"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27"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27"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27"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27"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27" t="s">
        <v>22</v>
      </c>
      <c r="IB23" s="10"/>
      <c r="IC23" s="6" t="str">
        <f t="shared" si="12"/>
        <v>RO_Data[4].STEP_DESC[</v>
      </c>
      <c r="ID23" s="23">
        <f t="shared" si="23"/>
        <v>18</v>
      </c>
      <c r="IE23" s="27" t="s">
        <v>22</v>
      </c>
    </row>
    <row r="24" spans="1:239" x14ac:dyDescent="0.25">
      <c r="A24" s="8">
        <v>19</v>
      </c>
      <c r="B24" s="8" t="str">
        <f t="shared" si="0"/>
        <v/>
      </c>
      <c r="C24" s="77"/>
      <c r="D24" s="6" t="str">
        <f t="shared" si="1"/>
        <v>RO_Data[4].ACK_DESC[</v>
      </c>
      <c r="E24" s="23">
        <f t="shared" si="13"/>
        <v>19</v>
      </c>
      <c r="F24" s="27" t="s">
        <v>22</v>
      </c>
      <c r="G24" s="161">
        <v>0</v>
      </c>
      <c r="H24" s="6" t="str">
        <f t="shared" si="2"/>
        <v>RO_Data[4].MIN[</v>
      </c>
      <c r="I24" s="23">
        <f t="shared" si="14"/>
        <v>19</v>
      </c>
      <c r="J24" s="27" t="s">
        <v>22</v>
      </c>
      <c r="K24" s="161">
        <v>0</v>
      </c>
      <c r="L24" s="6" t="str">
        <f t="shared" si="3"/>
        <v>RO_Data[4].SEC[</v>
      </c>
      <c r="M24" s="23">
        <f t="shared" si="15"/>
        <v>19</v>
      </c>
      <c r="N24" s="27" t="s">
        <v>22</v>
      </c>
      <c r="O24" s="165">
        <v>0</v>
      </c>
      <c r="P24" s="6" t="str">
        <f t="shared" si="4"/>
        <v>RO_Data[4].SETPOINT[</v>
      </c>
      <c r="Q24" s="23">
        <f t="shared" si="16"/>
        <v>19</v>
      </c>
      <c r="R24" s="27" t="s">
        <v>22</v>
      </c>
      <c r="S24" s="9" t="str">
        <f t="shared" si="5"/>
        <v/>
      </c>
      <c r="T24" s="18"/>
      <c r="U24" s="19"/>
      <c r="V24" s="19"/>
      <c r="W24" s="19"/>
      <c r="X24" s="19"/>
      <c r="Y24" s="58"/>
      <c r="Z24" s="58"/>
      <c r="AA24" s="58"/>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27"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27"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27"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27"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27"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27" t="s">
        <v>22</v>
      </c>
      <c r="IB24" s="10"/>
      <c r="IC24" s="6" t="str">
        <f t="shared" si="12"/>
        <v>RO_Data[4].STEP_DESC[</v>
      </c>
      <c r="ID24" s="23">
        <f t="shared" si="23"/>
        <v>19</v>
      </c>
      <c r="IE24" s="27" t="s">
        <v>22</v>
      </c>
    </row>
    <row r="25" spans="1:239" x14ac:dyDescent="0.25">
      <c r="A25" s="8">
        <v>20</v>
      </c>
      <c r="B25" s="8" t="str">
        <f t="shared" si="0"/>
        <v/>
      </c>
      <c r="C25" s="77"/>
      <c r="D25" s="6" t="str">
        <f t="shared" si="1"/>
        <v>RO_Data[4].ACK_DESC[</v>
      </c>
      <c r="E25" s="23">
        <f t="shared" si="13"/>
        <v>20</v>
      </c>
      <c r="F25" s="27" t="s">
        <v>22</v>
      </c>
      <c r="G25" s="161">
        <v>0</v>
      </c>
      <c r="H25" s="6" t="str">
        <f t="shared" si="2"/>
        <v>RO_Data[4].MIN[</v>
      </c>
      <c r="I25" s="23">
        <f t="shared" si="14"/>
        <v>20</v>
      </c>
      <c r="J25" s="27" t="s">
        <v>22</v>
      </c>
      <c r="K25" s="161">
        <v>0</v>
      </c>
      <c r="L25" s="6" t="str">
        <f t="shared" si="3"/>
        <v>RO_Data[4].SEC[</v>
      </c>
      <c r="M25" s="23">
        <f t="shared" si="15"/>
        <v>20</v>
      </c>
      <c r="N25" s="27" t="s">
        <v>22</v>
      </c>
      <c r="O25" s="165">
        <v>0</v>
      </c>
      <c r="P25" s="6" t="str">
        <f t="shared" si="4"/>
        <v>RO_Data[4].SETPOINT[</v>
      </c>
      <c r="Q25" s="23">
        <f t="shared" si="16"/>
        <v>20</v>
      </c>
      <c r="R25" s="27" t="s">
        <v>22</v>
      </c>
      <c r="S25" s="9" t="str">
        <f t="shared" si="5"/>
        <v/>
      </c>
      <c r="T25" s="18"/>
      <c r="U25" s="19"/>
      <c r="V25" s="19"/>
      <c r="W25" s="19"/>
      <c r="X25" s="19"/>
      <c r="Y25" s="58"/>
      <c r="Z25" s="58"/>
      <c r="AA25" s="58"/>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27"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27"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27"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27"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27"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27" t="s">
        <v>22</v>
      </c>
      <c r="IB25" s="10"/>
      <c r="IC25" s="6" t="str">
        <f t="shared" si="12"/>
        <v>RO_Data[4].STEP_DESC[</v>
      </c>
      <c r="ID25" s="23">
        <f t="shared" si="23"/>
        <v>20</v>
      </c>
      <c r="IE25" s="27" t="s">
        <v>22</v>
      </c>
    </row>
    <row r="26" spans="1:239" x14ac:dyDescent="0.25">
      <c r="A26" s="8">
        <v>21</v>
      </c>
      <c r="B26" s="8" t="str">
        <f t="shared" si="0"/>
        <v/>
      </c>
      <c r="C26" s="77"/>
      <c r="D26" s="6" t="str">
        <f t="shared" si="1"/>
        <v>RO_Data[4].ACK_DESC[</v>
      </c>
      <c r="E26" s="23">
        <f t="shared" si="13"/>
        <v>21</v>
      </c>
      <c r="F26" s="27" t="s">
        <v>22</v>
      </c>
      <c r="G26" s="161">
        <v>0</v>
      </c>
      <c r="H26" s="6" t="str">
        <f t="shared" si="2"/>
        <v>RO_Data[4].MIN[</v>
      </c>
      <c r="I26" s="23">
        <f t="shared" si="14"/>
        <v>21</v>
      </c>
      <c r="J26" s="27" t="s">
        <v>22</v>
      </c>
      <c r="K26" s="161">
        <v>0</v>
      </c>
      <c r="L26" s="6" t="str">
        <f t="shared" si="3"/>
        <v>RO_Data[4].SEC[</v>
      </c>
      <c r="M26" s="23">
        <f t="shared" si="15"/>
        <v>21</v>
      </c>
      <c r="N26" s="27" t="s">
        <v>22</v>
      </c>
      <c r="O26" s="165">
        <v>0</v>
      </c>
      <c r="P26" s="6" t="str">
        <f t="shared" si="4"/>
        <v>RO_Data[4].SETPOINT[</v>
      </c>
      <c r="Q26" s="23">
        <f t="shared" si="16"/>
        <v>21</v>
      </c>
      <c r="R26" s="27" t="s">
        <v>22</v>
      </c>
      <c r="S26" s="9" t="str">
        <f t="shared" si="5"/>
        <v/>
      </c>
      <c r="T26" s="18"/>
      <c r="U26" s="19"/>
      <c r="V26" s="19"/>
      <c r="W26" s="19"/>
      <c r="X26" s="19"/>
      <c r="Y26" s="58"/>
      <c r="Z26" s="58"/>
      <c r="AA26" s="58"/>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27"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27"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27"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27"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27"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27" t="s">
        <v>22</v>
      </c>
      <c r="IB26" s="10"/>
      <c r="IC26" s="6" t="str">
        <f t="shared" si="12"/>
        <v>RO_Data[4].STEP_DESC[</v>
      </c>
      <c r="ID26" s="23">
        <f t="shared" si="23"/>
        <v>21</v>
      </c>
      <c r="IE26" s="27" t="s">
        <v>22</v>
      </c>
    </row>
    <row r="27" spans="1:239" x14ac:dyDescent="0.25">
      <c r="A27" s="8">
        <v>22</v>
      </c>
      <c r="B27" s="8" t="str">
        <f t="shared" si="0"/>
        <v/>
      </c>
      <c r="C27" s="77"/>
      <c r="D27" s="6" t="str">
        <f t="shared" si="1"/>
        <v>RO_Data[4].ACK_DESC[</v>
      </c>
      <c r="E27" s="23">
        <f t="shared" si="13"/>
        <v>22</v>
      </c>
      <c r="F27" s="27" t="s">
        <v>22</v>
      </c>
      <c r="G27" s="161">
        <v>0</v>
      </c>
      <c r="H27" s="6" t="str">
        <f t="shared" si="2"/>
        <v>RO_Data[4].MIN[</v>
      </c>
      <c r="I27" s="23">
        <f t="shared" si="14"/>
        <v>22</v>
      </c>
      <c r="J27" s="27" t="s">
        <v>22</v>
      </c>
      <c r="K27" s="161">
        <v>0</v>
      </c>
      <c r="L27" s="6" t="str">
        <f t="shared" si="3"/>
        <v>RO_Data[4].SEC[</v>
      </c>
      <c r="M27" s="23">
        <f t="shared" si="15"/>
        <v>22</v>
      </c>
      <c r="N27" s="27" t="s">
        <v>22</v>
      </c>
      <c r="O27" s="165">
        <v>0</v>
      </c>
      <c r="P27" s="6" t="str">
        <f t="shared" si="4"/>
        <v>RO_Data[4].SETPOINT[</v>
      </c>
      <c r="Q27" s="23">
        <f t="shared" si="16"/>
        <v>22</v>
      </c>
      <c r="R27" s="27" t="s">
        <v>22</v>
      </c>
      <c r="S27" s="9" t="str">
        <f t="shared" si="5"/>
        <v/>
      </c>
      <c r="T27" s="18"/>
      <c r="U27" s="19"/>
      <c r="V27" s="19"/>
      <c r="W27" s="19"/>
      <c r="X27" s="19"/>
      <c r="Y27" s="58"/>
      <c r="Z27" s="58"/>
      <c r="AA27" s="58"/>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27"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27"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27"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27"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27"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27" t="s">
        <v>22</v>
      </c>
      <c r="IB27" s="10"/>
      <c r="IC27" s="6" t="str">
        <f t="shared" si="12"/>
        <v>RO_Data[4].STEP_DESC[</v>
      </c>
      <c r="ID27" s="23">
        <f t="shared" si="23"/>
        <v>22</v>
      </c>
      <c r="IE27" s="27" t="s">
        <v>22</v>
      </c>
    </row>
    <row r="28" spans="1:239" x14ac:dyDescent="0.25">
      <c r="A28" s="8">
        <v>23</v>
      </c>
      <c r="B28" s="8" t="str">
        <f t="shared" si="0"/>
        <v/>
      </c>
      <c r="C28" s="77"/>
      <c r="D28" s="6" t="str">
        <f t="shared" si="1"/>
        <v>RO_Data[4].ACK_DESC[</v>
      </c>
      <c r="E28" s="23">
        <f t="shared" si="13"/>
        <v>23</v>
      </c>
      <c r="F28" s="27" t="s">
        <v>22</v>
      </c>
      <c r="G28" s="161">
        <v>0</v>
      </c>
      <c r="H28" s="6" t="str">
        <f t="shared" si="2"/>
        <v>RO_Data[4].MIN[</v>
      </c>
      <c r="I28" s="23">
        <f t="shared" si="14"/>
        <v>23</v>
      </c>
      <c r="J28" s="27" t="s">
        <v>22</v>
      </c>
      <c r="K28" s="161">
        <v>0</v>
      </c>
      <c r="L28" s="6" t="str">
        <f t="shared" si="3"/>
        <v>RO_Data[4].SEC[</v>
      </c>
      <c r="M28" s="23">
        <f t="shared" si="15"/>
        <v>23</v>
      </c>
      <c r="N28" s="27" t="s">
        <v>22</v>
      </c>
      <c r="O28" s="165">
        <v>0</v>
      </c>
      <c r="P28" s="6" t="str">
        <f t="shared" si="4"/>
        <v>RO_Data[4].SETPOINT[</v>
      </c>
      <c r="Q28" s="23">
        <f t="shared" si="16"/>
        <v>23</v>
      </c>
      <c r="R28" s="27" t="s">
        <v>22</v>
      </c>
      <c r="S28" s="9" t="str">
        <f t="shared" si="5"/>
        <v/>
      </c>
      <c r="T28" s="18"/>
      <c r="U28" s="19"/>
      <c r="V28" s="19"/>
      <c r="W28" s="19"/>
      <c r="X28" s="19"/>
      <c r="Y28" s="58"/>
      <c r="Z28" s="58"/>
      <c r="AA28" s="58"/>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27"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27"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27"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27"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27"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27" t="s">
        <v>22</v>
      </c>
      <c r="IB28" s="10"/>
      <c r="IC28" s="6" t="str">
        <f t="shared" si="12"/>
        <v>RO_Data[4].STEP_DESC[</v>
      </c>
      <c r="ID28" s="23">
        <f t="shared" si="23"/>
        <v>23</v>
      </c>
      <c r="IE28" s="27" t="s">
        <v>22</v>
      </c>
    </row>
    <row r="29" spans="1:239" ht="15.75" customHeight="1" x14ac:dyDescent="0.25">
      <c r="A29" s="8">
        <v>24</v>
      </c>
      <c r="B29" s="8" t="str">
        <f t="shared" si="0"/>
        <v/>
      </c>
      <c r="C29" s="10"/>
      <c r="D29" s="6" t="str">
        <f t="shared" si="1"/>
        <v>RO_Data[4].ACK_DESC[</v>
      </c>
      <c r="E29" s="23">
        <f t="shared" si="13"/>
        <v>24</v>
      </c>
      <c r="F29" s="27" t="s">
        <v>22</v>
      </c>
      <c r="G29" s="165">
        <v>0</v>
      </c>
      <c r="H29" s="6" t="str">
        <f t="shared" si="2"/>
        <v>RO_Data[4].MIN[</v>
      </c>
      <c r="I29" s="23">
        <f t="shared" si="14"/>
        <v>24</v>
      </c>
      <c r="J29" s="27" t="s">
        <v>22</v>
      </c>
      <c r="K29" s="161">
        <v>0</v>
      </c>
      <c r="L29" s="6" t="str">
        <f t="shared" si="3"/>
        <v>RO_Data[4].SEC[</v>
      </c>
      <c r="M29" s="23">
        <f t="shared" si="15"/>
        <v>24</v>
      </c>
      <c r="N29" s="27" t="s">
        <v>22</v>
      </c>
      <c r="O29" s="165">
        <v>0</v>
      </c>
      <c r="P29" s="6" t="str">
        <f t="shared" si="4"/>
        <v>RO_Data[4].SETPOINT[</v>
      </c>
      <c r="Q29" s="23">
        <f t="shared" si="16"/>
        <v>24</v>
      </c>
      <c r="R29" s="27" t="s">
        <v>22</v>
      </c>
      <c r="S29" s="80" t="str">
        <f t="shared" si="5"/>
        <v/>
      </c>
      <c r="T29" s="19"/>
      <c r="U29" s="19"/>
      <c r="V29" s="19"/>
      <c r="W29" s="19"/>
      <c r="X29" s="19"/>
      <c r="Y29" s="58"/>
      <c r="Z29" s="58"/>
      <c r="AA29" s="58"/>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27"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27"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27"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27"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27"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27" t="s">
        <v>22</v>
      </c>
      <c r="IB29" s="10"/>
      <c r="IC29" s="6" t="str">
        <f t="shared" si="12"/>
        <v>RO_Data[4].STEP_DESC[</v>
      </c>
      <c r="ID29" s="23">
        <f t="shared" si="23"/>
        <v>24</v>
      </c>
      <c r="IE29" s="27" t="s">
        <v>22</v>
      </c>
    </row>
    <row r="30" spans="1:239" x14ac:dyDescent="0.25">
      <c r="A30" s="8">
        <v>25</v>
      </c>
      <c r="B30" s="8" t="str">
        <f t="shared" si="0"/>
        <v/>
      </c>
      <c r="C30" s="8"/>
      <c r="D30" s="6" t="str">
        <f t="shared" si="1"/>
        <v>RO_Data[4].ACK_DESC[</v>
      </c>
      <c r="E30" s="23">
        <v>25</v>
      </c>
      <c r="F30" s="27" t="s">
        <v>22</v>
      </c>
      <c r="G30" s="165">
        <v>0</v>
      </c>
      <c r="H30" s="6" t="str">
        <f t="shared" si="2"/>
        <v>RO_Data[4].MIN[</v>
      </c>
      <c r="I30" s="23">
        <v>25</v>
      </c>
      <c r="J30" s="27" t="s">
        <v>22</v>
      </c>
      <c r="K30" s="161">
        <v>0</v>
      </c>
      <c r="L30" s="6" t="str">
        <f t="shared" si="3"/>
        <v>RO_Data[4].SEC[</v>
      </c>
      <c r="M30" s="23">
        <v>25</v>
      </c>
      <c r="N30" s="27" t="s">
        <v>22</v>
      </c>
      <c r="O30" s="165">
        <v>0</v>
      </c>
      <c r="P30" s="6" t="str">
        <f t="shared" si="4"/>
        <v>RO_Data[4].SETPOINT[</v>
      </c>
      <c r="Q30" s="23">
        <v>25</v>
      </c>
      <c r="R30" s="27" t="s">
        <v>22</v>
      </c>
      <c r="S30" s="80" t="str">
        <f t="shared" si="5"/>
        <v/>
      </c>
      <c r="T30" s="16"/>
      <c r="U30" s="16"/>
      <c r="V30" s="16"/>
      <c r="W30" s="16"/>
      <c r="X30" s="16"/>
      <c r="Y30" s="57"/>
      <c r="Z30" s="57"/>
      <c r="AA30" s="57"/>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27" t="s">
        <v>22</v>
      </c>
      <c r="BD30" s="75"/>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27" t="s">
        <v>22</v>
      </c>
      <c r="CN30" s="75"/>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27" t="s">
        <v>22</v>
      </c>
      <c r="DX30" s="75"/>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27" t="s">
        <v>22</v>
      </c>
      <c r="FH30" s="75"/>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27" t="s">
        <v>22</v>
      </c>
      <c r="GR30" s="75"/>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27" t="s">
        <v>22</v>
      </c>
      <c r="IB30" s="8"/>
      <c r="IC30" s="6" t="str">
        <f t="shared" si="12"/>
        <v>RO_Data[4].STEP_DESC[</v>
      </c>
      <c r="ID30" s="23">
        <v>25</v>
      </c>
      <c r="IE30" s="27" t="s">
        <v>22</v>
      </c>
    </row>
    <row r="31" spans="1:239" x14ac:dyDescent="0.25">
      <c r="A31" s="8">
        <v>26</v>
      </c>
      <c r="B31" s="8" t="str">
        <f t="shared" si="0"/>
        <v/>
      </c>
      <c r="C31" s="8"/>
      <c r="D31" s="6" t="str">
        <f t="shared" si="1"/>
        <v>RO_Data[4].ACK_DESC[</v>
      </c>
      <c r="E31" s="23">
        <v>26</v>
      </c>
      <c r="F31" s="27" t="s">
        <v>22</v>
      </c>
      <c r="G31" s="165">
        <v>0</v>
      </c>
      <c r="H31" s="6" t="str">
        <f t="shared" si="2"/>
        <v>RO_Data[4].MIN[</v>
      </c>
      <c r="I31" s="23">
        <v>26</v>
      </c>
      <c r="J31" s="27" t="s">
        <v>22</v>
      </c>
      <c r="K31" s="161">
        <v>0</v>
      </c>
      <c r="L31" s="6" t="str">
        <f t="shared" si="3"/>
        <v>RO_Data[4].SEC[</v>
      </c>
      <c r="M31" s="23">
        <v>26</v>
      </c>
      <c r="N31" s="27" t="s">
        <v>22</v>
      </c>
      <c r="O31" s="165">
        <v>0</v>
      </c>
      <c r="P31" s="6" t="str">
        <f t="shared" si="4"/>
        <v>RO_Data[4].SETPOINT[</v>
      </c>
      <c r="Q31" s="23">
        <v>26</v>
      </c>
      <c r="R31" s="27" t="s">
        <v>22</v>
      </c>
      <c r="S31" s="80" t="str">
        <f t="shared" si="5"/>
        <v/>
      </c>
      <c r="T31" s="16"/>
      <c r="U31" s="16"/>
      <c r="V31" s="16"/>
      <c r="W31" s="16"/>
      <c r="X31" s="16"/>
      <c r="Y31" s="57"/>
      <c r="Z31" s="57"/>
      <c r="AA31" s="57"/>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27" t="s">
        <v>22</v>
      </c>
      <c r="BD31" s="75"/>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27" t="s">
        <v>22</v>
      </c>
      <c r="CN31" s="75"/>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27" t="s">
        <v>22</v>
      </c>
      <c r="DX31" s="75"/>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27" t="s">
        <v>22</v>
      </c>
      <c r="FH31" s="75"/>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27" t="s">
        <v>22</v>
      </c>
      <c r="GR31" s="75"/>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27" t="s">
        <v>22</v>
      </c>
      <c r="IB31" s="8"/>
      <c r="IC31" s="6" t="str">
        <f t="shared" si="12"/>
        <v>RO_Data[4].STEP_DESC[</v>
      </c>
      <c r="ID31" s="23">
        <v>26</v>
      </c>
      <c r="IE31" s="27" t="s">
        <v>22</v>
      </c>
    </row>
    <row r="32" spans="1:239" x14ac:dyDescent="0.25">
      <c r="A32" s="8">
        <v>27</v>
      </c>
      <c r="B32" s="8" t="str">
        <f t="shared" si="0"/>
        <v/>
      </c>
      <c r="C32" s="8"/>
      <c r="D32" s="6" t="str">
        <f t="shared" si="1"/>
        <v>RO_Data[4].ACK_DESC[</v>
      </c>
      <c r="E32" s="23">
        <v>27</v>
      </c>
      <c r="F32" s="27" t="s">
        <v>22</v>
      </c>
      <c r="G32" s="165">
        <v>0</v>
      </c>
      <c r="H32" s="6" t="str">
        <f t="shared" si="2"/>
        <v>RO_Data[4].MIN[</v>
      </c>
      <c r="I32" s="23">
        <v>27</v>
      </c>
      <c r="J32" s="27" t="s">
        <v>22</v>
      </c>
      <c r="K32" s="161">
        <v>0</v>
      </c>
      <c r="L32" s="6" t="str">
        <f t="shared" si="3"/>
        <v>RO_Data[4].SEC[</v>
      </c>
      <c r="M32" s="23">
        <v>27</v>
      </c>
      <c r="N32" s="27" t="s">
        <v>22</v>
      </c>
      <c r="O32" s="165">
        <v>0</v>
      </c>
      <c r="P32" s="6" t="str">
        <f t="shared" si="4"/>
        <v>RO_Data[4].SETPOINT[</v>
      </c>
      <c r="Q32" s="23">
        <v>27</v>
      </c>
      <c r="R32" s="27" t="s">
        <v>22</v>
      </c>
      <c r="S32" s="80" t="str">
        <f t="shared" si="5"/>
        <v/>
      </c>
      <c r="T32" s="16"/>
      <c r="U32" s="16"/>
      <c r="V32" s="16"/>
      <c r="W32" s="16"/>
      <c r="X32" s="16"/>
      <c r="Y32" s="57"/>
      <c r="Z32" s="57"/>
      <c r="AA32" s="57"/>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27" t="s">
        <v>22</v>
      </c>
      <c r="BD32" s="75"/>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27" t="s">
        <v>22</v>
      </c>
      <c r="CN32" s="75"/>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27" t="s">
        <v>22</v>
      </c>
      <c r="DX32" s="75"/>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27" t="s">
        <v>22</v>
      </c>
      <c r="FH32" s="75"/>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27" t="s">
        <v>22</v>
      </c>
      <c r="GR32" s="75"/>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27" t="s">
        <v>22</v>
      </c>
      <c r="IB32" s="8"/>
      <c r="IC32" s="6" t="str">
        <f t="shared" si="12"/>
        <v>RO_Data[4].STEP_DESC[</v>
      </c>
      <c r="ID32" s="23">
        <v>27</v>
      </c>
      <c r="IE32" s="27" t="s">
        <v>22</v>
      </c>
    </row>
    <row r="33" spans="1:239" x14ac:dyDescent="0.25">
      <c r="A33" s="8">
        <v>28</v>
      </c>
      <c r="B33" s="8" t="str">
        <f t="shared" si="0"/>
        <v/>
      </c>
      <c r="C33" s="8"/>
      <c r="D33" s="6" t="str">
        <f t="shared" si="1"/>
        <v>RO_Data[4].ACK_DESC[</v>
      </c>
      <c r="E33" s="23">
        <v>28</v>
      </c>
      <c r="F33" s="27" t="s">
        <v>22</v>
      </c>
      <c r="G33" s="165">
        <v>0</v>
      </c>
      <c r="H33" s="6" t="str">
        <f t="shared" si="2"/>
        <v>RO_Data[4].MIN[</v>
      </c>
      <c r="I33" s="23">
        <v>28</v>
      </c>
      <c r="J33" s="27" t="s">
        <v>22</v>
      </c>
      <c r="K33" s="161">
        <v>0</v>
      </c>
      <c r="L33" s="6" t="str">
        <f t="shared" si="3"/>
        <v>RO_Data[4].SEC[</v>
      </c>
      <c r="M33" s="23">
        <v>28</v>
      </c>
      <c r="N33" s="27" t="s">
        <v>22</v>
      </c>
      <c r="O33" s="165">
        <v>0</v>
      </c>
      <c r="P33" s="6" t="str">
        <f t="shared" si="4"/>
        <v>RO_Data[4].SETPOINT[</v>
      </c>
      <c r="Q33" s="23">
        <v>28</v>
      </c>
      <c r="R33" s="27" t="s">
        <v>22</v>
      </c>
      <c r="S33" s="80" t="str">
        <f t="shared" si="5"/>
        <v/>
      </c>
      <c r="T33" s="16"/>
      <c r="U33" s="16"/>
      <c r="V33" s="16"/>
      <c r="W33" s="16"/>
      <c r="X33" s="16"/>
      <c r="Y33" s="57"/>
      <c r="Z33" s="57"/>
      <c r="AA33" s="57"/>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27" t="s">
        <v>22</v>
      </c>
      <c r="BD33" s="75"/>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27" t="s">
        <v>22</v>
      </c>
      <c r="CN33" s="75"/>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27" t="s">
        <v>22</v>
      </c>
      <c r="DX33" s="75"/>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27" t="s">
        <v>22</v>
      </c>
      <c r="FH33" s="75"/>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27" t="s">
        <v>22</v>
      </c>
      <c r="GR33" s="75"/>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27" t="s">
        <v>22</v>
      </c>
      <c r="IB33" s="8"/>
      <c r="IC33" s="6" t="str">
        <f t="shared" si="12"/>
        <v>RO_Data[4].STEP_DESC[</v>
      </c>
      <c r="ID33" s="23">
        <v>28</v>
      </c>
      <c r="IE33" s="27" t="s">
        <v>22</v>
      </c>
    </row>
    <row r="34" spans="1:239" x14ac:dyDescent="0.25">
      <c r="A34" s="8">
        <v>29</v>
      </c>
      <c r="B34" s="8" t="str">
        <f t="shared" si="0"/>
        <v/>
      </c>
      <c r="C34" s="8"/>
      <c r="D34" s="6" t="str">
        <f t="shared" si="1"/>
        <v>RO_Data[4].ACK_DESC[</v>
      </c>
      <c r="E34" s="23">
        <v>29</v>
      </c>
      <c r="F34" s="27" t="s">
        <v>22</v>
      </c>
      <c r="G34" s="165">
        <v>0</v>
      </c>
      <c r="H34" s="6" t="str">
        <f t="shared" si="2"/>
        <v>RO_Data[4].MIN[</v>
      </c>
      <c r="I34" s="23">
        <v>29</v>
      </c>
      <c r="J34" s="27" t="s">
        <v>22</v>
      </c>
      <c r="K34" s="165">
        <v>0</v>
      </c>
      <c r="L34" s="6" t="str">
        <f t="shared" si="3"/>
        <v>RO_Data[4].SEC[</v>
      </c>
      <c r="M34" s="23">
        <v>29</v>
      </c>
      <c r="N34" s="27" t="s">
        <v>22</v>
      </c>
      <c r="O34" s="165">
        <v>0</v>
      </c>
      <c r="P34" s="6" t="str">
        <f t="shared" si="4"/>
        <v>RO_Data[4].SETPOINT[</v>
      </c>
      <c r="Q34" s="23">
        <v>29</v>
      </c>
      <c r="R34" s="27" t="s">
        <v>22</v>
      </c>
      <c r="S34" s="80" t="str">
        <f t="shared" si="5"/>
        <v/>
      </c>
      <c r="T34" s="16"/>
      <c r="U34" s="16"/>
      <c r="V34" s="16"/>
      <c r="W34" s="16"/>
      <c r="X34" s="16"/>
      <c r="Y34" s="57"/>
      <c r="Z34" s="57"/>
      <c r="AA34" s="57"/>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27" t="s">
        <v>22</v>
      </c>
      <c r="BD34" s="75"/>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27" t="s">
        <v>22</v>
      </c>
      <c r="CN34" s="75"/>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27" t="s">
        <v>22</v>
      </c>
      <c r="DX34" s="75"/>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27" t="s">
        <v>22</v>
      </c>
      <c r="FH34" s="75"/>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27" t="s">
        <v>22</v>
      </c>
      <c r="GR34" s="75"/>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27" t="s">
        <v>22</v>
      </c>
      <c r="IB34" s="8"/>
      <c r="IC34" s="6" t="str">
        <f t="shared" si="12"/>
        <v>RO_Data[4].STEP_DESC[</v>
      </c>
      <c r="ID34" s="23">
        <v>29</v>
      </c>
      <c r="IE34" s="27" t="s">
        <v>22</v>
      </c>
    </row>
    <row r="35" spans="1:239" ht="15.75" thickBot="1" x14ac:dyDescent="0.3">
      <c r="A35" s="53">
        <v>30</v>
      </c>
      <c r="B35" s="53" t="str">
        <f t="shared" si="0"/>
        <v/>
      </c>
      <c r="C35" s="53"/>
      <c r="D35" s="51" t="str">
        <f t="shared" si="1"/>
        <v>RO_Data[4].ACK_DESC[</v>
      </c>
      <c r="E35" s="52">
        <v>30</v>
      </c>
      <c r="F35" s="55" t="s">
        <v>22</v>
      </c>
      <c r="G35" s="167">
        <v>0</v>
      </c>
      <c r="H35" s="51" t="str">
        <f t="shared" si="2"/>
        <v>RO_Data[4].MIN[</v>
      </c>
      <c r="I35" s="52">
        <v>30</v>
      </c>
      <c r="J35" s="55" t="s">
        <v>22</v>
      </c>
      <c r="K35" s="167">
        <v>0</v>
      </c>
      <c r="L35" s="51" t="str">
        <f t="shared" si="3"/>
        <v>RO_Data[4].SEC[</v>
      </c>
      <c r="M35" s="52">
        <v>30</v>
      </c>
      <c r="N35" s="55" t="s">
        <v>22</v>
      </c>
      <c r="O35" s="167">
        <v>0</v>
      </c>
      <c r="P35" s="51" t="str">
        <f t="shared" si="4"/>
        <v>RO_Data[4].SETPOINT[</v>
      </c>
      <c r="Q35" s="52">
        <v>30</v>
      </c>
      <c r="R35" s="55" t="s">
        <v>22</v>
      </c>
      <c r="S35" s="81" t="str">
        <f t="shared" si="5"/>
        <v/>
      </c>
      <c r="T35" s="82"/>
      <c r="U35" s="82"/>
      <c r="V35" s="82"/>
      <c r="W35" s="82"/>
      <c r="X35" s="82"/>
      <c r="Y35" s="83"/>
      <c r="Z35" s="83"/>
      <c r="AA35" s="83"/>
      <c r="AB35" s="82"/>
      <c r="AC35" s="82"/>
      <c r="AD35" s="82"/>
      <c r="AE35" s="82"/>
      <c r="AF35" s="82"/>
      <c r="AG35" s="82"/>
      <c r="AH35" s="82"/>
      <c r="AI35" s="82"/>
      <c r="AJ35" s="82"/>
      <c r="AK35" s="82"/>
      <c r="AL35" s="82"/>
      <c r="AM35" s="82"/>
      <c r="AN35" s="82"/>
      <c r="AO35" s="82"/>
      <c r="AP35" s="82"/>
      <c r="AQ35" s="82"/>
      <c r="AR35" s="82"/>
      <c r="AS35" s="82"/>
      <c r="AT35" s="82"/>
      <c r="AU35" s="82"/>
      <c r="AV35" s="82"/>
      <c r="AW35" s="82"/>
      <c r="AX35" s="82"/>
      <c r="AY35" s="84"/>
      <c r="AZ35" s="53">
        <f t="array" ref="AZ35">Bin2DecRange($T35:$AY35)</f>
        <v>0</v>
      </c>
      <c r="BA35" s="51" t="str">
        <f t="shared" si="6"/>
        <v>RO_Data[4].COND1[</v>
      </c>
      <c r="BB35" s="52">
        <v>30</v>
      </c>
      <c r="BC35" s="55" t="s">
        <v>22</v>
      </c>
      <c r="BD35" s="85"/>
      <c r="BE35" s="82"/>
      <c r="BF35" s="82"/>
      <c r="BG35" s="82"/>
      <c r="BH35" s="82"/>
      <c r="BI35" s="82"/>
      <c r="BJ35" s="82"/>
      <c r="BK35" s="82"/>
      <c r="BL35" s="82"/>
      <c r="BM35" s="82"/>
      <c r="BN35" s="82"/>
      <c r="BO35" s="82"/>
      <c r="BP35" s="82"/>
      <c r="BQ35" s="82"/>
      <c r="BR35" s="82"/>
      <c r="BS35" s="82"/>
      <c r="BT35" s="82"/>
      <c r="BU35" s="82"/>
      <c r="BV35" s="82"/>
      <c r="BW35" s="82"/>
      <c r="BX35" s="82"/>
      <c r="BY35" s="82"/>
      <c r="BZ35" s="82"/>
      <c r="CA35" s="82"/>
      <c r="CB35" s="82"/>
      <c r="CC35" s="82"/>
      <c r="CD35" s="82"/>
      <c r="CE35" s="82"/>
      <c r="CF35" s="82"/>
      <c r="CG35" s="82"/>
      <c r="CH35" s="82"/>
      <c r="CI35" s="84"/>
      <c r="CJ35" s="53" cm="1">
        <f t="array" ref="CJ35">Bin2DecRange($BD35:$CI35)</f>
        <v>0</v>
      </c>
      <c r="CK35" s="51" t="str">
        <f t="shared" si="7"/>
        <v>RO_Data[4].COND2[</v>
      </c>
      <c r="CL35" s="52">
        <v>30</v>
      </c>
      <c r="CM35" s="55" t="s">
        <v>22</v>
      </c>
      <c r="CN35" s="85"/>
      <c r="CO35" s="82"/>
      <c r="CP35" s="82"/>
      <c r="CQ35" s="82"/>
      <c r="CR35" s="82"/>
      <c r="CS35" s="82"/>
      <c r="CT35" s="82"/>
      <c r="CU35" s="82"/>
      <c r="CV35" s="82"/>
      <c r="CW35" s="82"/>
      <c r="CX35" s="82"/>
      <c r="CY35" s="82"/>
      <c r="CZ35" s="82"/>
      <c r="DA35" s="82"/>
      <c r="DB35" s="82"/>
      <c r="DC35" s="82"/>
      <c r="DD35" s="82"/>
      <c r="DE35" s="82"/>
      <c r="DF35" s="82"/>
      <c r="DG35" s="82"/>
      <c r="DH35" s="82"/>
      <c r="DI35" s="82"/>
      <c r="DJ35" s="82"/>
      <c r="DK35" s="82"/>
      <c r="DL35" s="82"/>
      <c r="DM35" s="82"/>
      <c r="DN35" s="82"/>
      <c r="DO35" s="82"/>
      <c r="DP35" s="82"/>
      <c r="DQ35" s="82"/>
      <c r="DR35" s="82"/>
      <c r="DS35" s="84"/>
      <c r="DT35" s="53" cm="1">
        <f t="array" ref="DT35">Bin2DecRange($CN35:$DS35)</f>
        <v>0</v>
      </c>
      <c r="DU35" s="51" t="str">
        <f t="shared" si="8"/>
        <v>RO_Data[4].COND3[</v>
      </c>
      <c r="DV35" s="52">
        <v>30</v>
      </c>
      <c r="DW35" s="55" t="s">
        <v>22</v>
      </c>
      <c r="DX35" s="85"/>
      <c r="DY35" s="82"/>
      <c r="DZ35" s="82"/>
      <c r="EA35" s="82"/>
      <c r="EB35" s="82"/>
      <c r="EC35" s="82"/>
      <c r="ED35" s="82"/>
      <c r="EE35" s="82"/>
      <c r="EF35" s="82"/>
      <c r="EG35" s="82"/>
      <c r="EH35" s="82"/>
      <c r="EI35" s="82"/>
      <c r="EJ35" s="82"/>
      <c r="EK35" s="82"/>
      <c r="EL35" s="82"/>
      <c r="EM35" s="82"/>
      <c r="EN35" s="82"/>
      <c r="EO35" s="82"/>
      <c r="EP35" s="82"/>
      <c r="EQ35" s="82"/>
      <c r="ER35" s="82"/>
      <c r="ES35" s="82"/>
      <c r="ET35" s="82"/>
      <c r="EU35" s="82"/>
      <c r="EV35" s="82"/>
      <c r="EW35" s="82"/>
      <c r="EX35" s="82"/>
      <c r="EY35" s="82"/>
      <c r="EZ35" s="82"/>
      <c r="FA35" s="82"/>
      <c r="FB35" s="82"/>
      <c r="FC35" s="84"/>
      <c r="FD35" s="53">
        <f t="array" ref="FD35">Bin2DecRange($DX35:$FC35)</f>
        <v>0</v>
      </c>
      <c r="FE35" s="51" t="str">
        <f t="shared" si="9"/>
        <v>RO_Data[4].ACT1[</v>
      </c>
      <c r="FF35" s="52">
        <v>30</v>
      </c>
      <c r="FG35" s="55" t="s">
        <v>22</v>
      </c>
      <c r="FH35" s="85"/>
      <c r="FI35" s="82"/>
      <c r="FJ35" s="82"/>
      <c r="FK35" s="82"/>
      <c r="FL35" s="82"/>
      <c r="FM35" s="82"/>
      <c r="FN35" s="82"/>
      <c r="FO35" s="82"/>
      <c r="FP35" s="82"/>
      <c r="FQ35" s="82"/>
      <c r="FR35" s="82"/>
      <c r="FS35" s="82"/>
      <c r="FT35" s="82"/>
      <c r="FU35" s="82"/>
      <c r="FV35" s="82"/>
      <c r="FW35" s="82"/>
      <c r="FX35" s="82"/>
      <c r="FY35" s="82"/>
      <c r="FZ35" s="82"/>
      <c r="GA35" s="82"/>
      <c r="GB35" s="82"/>
      <c r="GC35" s="82"/>
      <c r="GD35" s="82"/>
      <c r="GE35" s="82"/>
      <c r="GF35" s="82"/>
      <c r="GG35" s="82"/>
      <c r="GH35" s="82"/>
      <c r="GI35" s="82"/>
      <c r="GJ35" s="82"/>
      <c r="GK35" s="82"/>
      <c r="GL35" s="82"/>
      <c r="GM35" s="84"/>
      <c r="GN35" s="53" cm="1">
        <f t="array" ref="GN35">Bin2DecRange($FH35:$GM35)</f>
        <v>0</v>
      </c>
      <c r="GO35" s="51" t="str">
        <f t="shared" si="10"/>
        <v>RO_Data[4].ACT5[</v>
      </c>
      <c r="GP35" s="52">
        <v>30</v>
      </c>
      <c r="GQ35" s="55" t="s">
        <v>22</v>
      </c>
      <c r="GR35" s="85"/>
      <c r="GS35" s="82"/>
      <c r="GT35" s="82"/>
      <c r="GU35" s="82"/>
      <c r="GV35" s="82"/>
      <c r="GW35" s="82"/>
      <c r="GX35" s="82"/>
      <c r="GY35" s="82"/>
      <c r="GZ35" s="82"/>
      <c r="HA35" s="82"/>
      <c r="HB35" s="82"/>
      <c r="HC35" s="82"/>
      <c r="HD35" s="82"/>
      <c r="HE35" s="82"/>
      <c r="HF35" s="82"/>
      <c r="HG35" s="82"/>
      <c r="HH35" s="82"/>
      <c r="HI35" s="82"/>
      <c r="HJ35" s="82"/>
      <c r="HK35" s="82"/>
      <c r="HL35" s="82"/>
      <c r="HM35" s="82"/>
      <c r="HN35" s="82"/>
      <c r="HO35" s="82"/>
      <c r="HP35" s="82"/>
      <c r="HQ35" s="82"/>
      <c r="HR35" s="82"/>
      <c r="HS35" s="82"/>
      <c r="HT35" s="82"/>
      <c r="HU35" s="82"/>
      <c r="HV35" s="82"/>
      <c r="HW35" s="84"/>
      <c r="HX35" s="53" cm="1">
        <f t="array" ref="HX35">Bin2DecRange($GR35:$HW35)</f>
        <v>0</v>
      </c>
      <c r="HY35" s="51" t="str">
        <f t="shared" si="11"/>
        <v>RO_Data[4].ACT6[</v>
      </c>
      <c r="HZ35" s="52">
        <v>30</v>
      </c>
      <c r="IA35" s="55" t="s">
        <v>22</v>
      </c>
      <c r="IB35" s="53"/>
      <c r="IC35" s="51" t="str">
        <f t="shared" si="12"/>
        <v>RO_Data[4].STEP_DESC[</v>
      </c>
      <c r="ID35" s="52">
        <v>30</v>
      </c>
      <c r="IE35" s="55"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B8621F5-8D70-4AC4-AE1A-22D3C394C813}">
          <x14:formula1>
            <xm:f>'Main Program'!$B$32:$B$37</xm:f>
          </x14:formula1>
          <xm:sqref>AZ3 C3 FD3 K3 G3 HX3 GN3 DT3 CJ3 IB3 O3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71CD-24A9-46CC-8FCA-B071D0520C9F}">
  <sheetPr codeName="Sheet7"/>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O5" activeCellId="2" sqref="G5:G24 K5:K24 O5:O24"/>
    </sheetView>
  </sheetViews>
  <sheetFormatPr defaultRowHeight="15" x14ac:dyDescent="0.25"/>
  <cols>
    <col min="1" max="1" width="6.7109375" style="72" bestFit="1" customWidth="1"/>
    <col min="2" max="2" width="45" style="72" bestFit="1" customWidth="1"/>
    <col min="3" max="3" width="20" style="72" customWidth="1"/>
    <col min="4" max="4" width="22.5703125" style="72" customWidth="1"/>
    <col min="5" max="5" width="4.42578125" style="25" bestFit="1" customWidth="1"/>
    <col min="6" max="6" width="1.85546875" style="72" customWidth="1"/>
    <col min="7" max="7" width="12.42578125" style="72" customWidth="1"/>
    <col min="8" max="8" width="17.140625" style="72" customWidth="1"/>
    <col min="9" max="9" width="4.42578125" style="25" bestFit="1" customWidth="1"/>
    <col min="10" max="10" width="1.7109375" style="72" customWidth="1"/>
    <col min="11" max="11" width="12.42578125" style="72" customWidth="1"/>
    <col min="12" max="12" width="16.42578125" style="72" customWidth="1"/>
    <col min="13" max="13" width="4.42578125" style="25" bestFit="1" customWidth="1"/>
    <col min="14" max="14" width="1.7109375" style="72" customWidth="1"/>
    <col min="15" max="15" width="12.5703125" style="72" customWidth="1"/>
    <col min="16" max="16" width="22.140625" style="72" customWidth="1"/>
    <col min="17" max="17" width="4.42578125" style="25" bestFit="1" customWidth="1"/>
    <col min="18" max="18" width="2" style="72" bestFit="1" customWidth="1"/>
    <col min="19" max="19" width="3.5703125" style="72" customWidth="1"/>
    <col min="20" max="24" width="3" style="25" customWidth="1"/>
    <col min="25" max="27" width="3" style="59" customWidth="1"/>
    <col min="28" max="51" width="3" style="25" customWidth="1"/>
    <col min="52" max="52" width="12.7109375" style="72" bestFit="1" customWidth="1"/>
    <col min="53" max="53" width="20.140625" style="72" bestFit="1" customWidth="1"/>
    <col min="54" max="54" width="4.42578125" style="25" bestFit="1" customWidth="1"/>
    <col min="55" max="55" width="1.7109375" style="72" bestFit="1" customWidth="1"/>
    <col min="56" max="87" width="3" style="25" customWidth="1"/>
    <col min="88" max="88" width="11.85546875" style="72" bestFit="1" customWidth="1"/>
    <col min="89" max="89" width="19.7109375" style="72" bestFit="1" customWidth="1"/>
    <col min="90" max="90" width="4.42578125" style="25" bestFit="1" customWidth="1"/>
    <col min="91" max="91" width="1.7109375" style="72" bestFit="1" customWidth="1"/>
    <col min="92" max="123" width="3" style="25" customWidth="1"/>
    <col min="124" max="124" width="11.85546875" style="72" bestFit="1" customWidth="1"/>
    <col min="125" max="125" width="19.7109375" style="72" bestFit="1" customWidth="1"/>
    <col min="126" max="126" width="4.42578125" style="25" bestFit="1" customWidth="1"/>
    <col min="127" max="127" width="1.7109375" style="72" bestFit="1" customWidth="1"/>
    <col min="128" max="142" width="3" style="25" customWidth="1"/>
    <col min="143" max="143" width="3.140625" style="25" bestFit="1" customWidth="1"/>
    <col min="144" max="159" width="3" style="25" customWidth="1"/>
    <col min="160" max="160" width="11.5703125" style="72" bestFit="1" customWidth="1"/>
    <col min="161" max="161" width="17.85546875" style="72" bestFit="1" customWidth="1"/>
    <col min="162" max="162" width="4.42578125" style="25" bestFit="1" customWidth="1"/>
    <col min="163" max="163" width="1.85546875" style="72" bestFit="1" customWidth="1"/>
    <col min="164" max="178" width="3" style="25" customWidth="1"/>
    <col min="179" max="179" width="3.140625" style="25" bestFit="1" customWidth="1"/>
    <col min="180" max="195" width="3" style="25" customWidth="1"/>
    <col min="196" max="196" width="10.7109375" style="72" bestFit="1" customWidth="1"/>
    <col min="197" max="197" width="17.85546875" style="72" bestFit="1" customWidth="1"/>
    <col min="198" max="198" width="4.42578125" style="25" bestFit="1" customWidth="1"/>
    <col min="199" max="199" width="1.85546875" style="72" bestFit="1" customWidth="1"/>
    <col min="200" max="214" width="3" style="25" customWidth="1"/>
    <col min="215" max="215" width="3.140625" style="25" bestFit="1" customWidth="1"/>
    <col min="216" max="231" width="3" style="25" customWidth="1"/>
    <col min="232" max="232" width="10.7109375" style="72" bestFit="1" customWidth="1"/>
    <col min="233" max="233" width="17.85546875" style="72" bestFit="1" customWidth="1"/>
    <col min="234" max="234" width="4.42578125" style="25" bestFit="1" customWidth="1"/>
    <col min="235" max="235" width="1.85546875" style="72" bestFit="1" customWidth="1"/>
    <col min="236" max="236" width="33" style="72" customWidth="1"/>
    <col min="237" max="237" width="23.140625" style="72" bestFit="1" customWidth="1"/>
    <col min="238" max="238" width="4.42578125" style="25" bestFit="1" customWidth="1"/>
    <col min="239" max="239" width="1.85546875" style="72" bestFit="1" customWidth="1"/>
    <col min="240" max="16384" width="9.140625" style="72"/>
  </cols>
  <sheetData>
    <row r="1" spans="1:239" ht="15.75" customHeight="1" thickBot="1" x14ac:dyDescent="0.3">
      <c r="A1" s="216" t="s">
        <v>134</v>
      </c>
      <c r="B1" s="196"/>
      <c r="C1" s="196" t="s">
        <v>123</v>
      </c>
      <c r="D1" s="214"/>
      <c r="E1" s="214"/>
      <c r="F1" s="215"/>
      <c r="G1" s="196" t="s">
        <v>124</v>
      </c>
      <c r="H1" s="214"/>
      <c r="I1" s="214"/>
      <c r="J1" s="215"/>
      <c r="K1" s="196" t="s">
        <v>125</v>
      </c>
      <c r="L1" s="214"/>
      <c r="M1" s="214"/>
      <c r="N1" s="215"/>
      <c r="O1" s="196" t="s">
        <v>126</v>
      </c>
      <c r="P1" s="214"/>
      <c r="Q1" s="214"/>
      <c r="R1" s="215"/>
      <c r="S1" s="76"/>
      <c r="T1" s="217" t="s">
        <v>127</v>
      </c>
      <c r="U1" s="217"/>
      <c r="V1" s="217"/>
      <c r="W1" s="217"/>
      <c r="X1" s="217"/>
      <c r="Y1" s="217"/>
      <c r="Z1" s="217"/>
      <c r="AA1" s="217"/>
      <c r="AB1" s="217"/>
      <c r="AC1" s="217"/>
      <c r="AD1" s="217"/>
      <c r="AE1" s="217"/>
      <c r="AF1" s="217"/>
      <c r="AG1" s="217"/>
      <c r="AH1" s="217"/>
      <c r="AI1" s="217"/>
      <c r="AJ1" s="217"/>
      <c r="AK1" s="217"/>
      <c r="AL1" s="217"/>
      <c r="AM1" s="217"/>
      <c r="AN1" s="217"/>
      <c r="AO1" s="217"/>
      <c r="AP1" s="217"/>
      <c r="AQ1" s="217"/>
      <c r="AR1" s="217"/>
      <c r="AS1" s="217"/>
      <c r="AT1" s="217"/>
      <c r="AU1" s="217"/>
      <c r="AV1" s="217"/>
      <c r="AW1" s="217"/>
      <c r="AX1" s="217"/>
      <c r="AY1" s="217"/>
      <c r="AZ1" s="217"/>
      <c r="BA1" s="217"/>
      <c r="BB1" s="217"/>
      <c r="BC1" s="217"/>
      <c r="BD1" s="217" t="s">
        <v>128</v>
      </c>
      <c r="BE1" s="217"/>
      <c r="BF1" s="217"/>
      <c r="BG1" s="217"/>
      <c r="BH1" s="217"/>
      <c r="BI1" s="217"/>
      <c r="BJ1" s="217"/>
      <c r="BK1" s="217"/>
      <c r="BL1" s="217"/>
      <c r="BM1" s="217"/>
      <c r="BN1" s="217"/>
      <c r="BO1" s="217"/>
      <c r="BP1" s="217"/>
      <c r="BQ1" s="217"/>
      <c r="BR1" s="217"/>
      <c r="BS1" s="217"/>
      <c r="BT1" s="217"/>
      <c r="BU1" s="217"/>
      <c r="BV1" s="217"/>
      <c r="BW1" s="217"/>
      <c r="BX1" s="217"/>
      <c r="BY1" s="217"/>
      <c r="BZ1" s="217"/>
      <c r="CA1" s="217"/>
      <c r="CB1" s="217"/>
      <c r="CC1" s="217"/>
      <c r="CD1" s="217"/>
      <c r="CE1" s="217"/>
      <c r="CF1" s="217"/>
      <c r="CG1" s="217"/>
      <c r="CH1" s="217"/>
      <c r="CI1" s="217"/>
      <c r="CJ1" s="217"/>
      <c r="CK1" s="217"/>
      <c r="CL1" s="217"/>
      <c r="CM1" s="217"/>
      <c r="CN1" s="217" t="s">
        <v>129</v>
      </c>
      <c r="CO1" s="217"/>
      <c r="CP1" s="217"/>
      <c r="CQ1" s="217"/>
      <c r="CR1" s="217"/>
      <c r="CS1" s="217"/>
      <c r="CT1" s="217"/>
      <c r="CU1" s="217"/>
      <c r="CV1" s="217"/>
      <c r="CW1" s="217"/>
      <c r="CX1" s="217"/>
      <c r="CY1" s="217"/>
      <c r="CZ1" s="217"/>
      <c r="DA1" s="217"/>
      <c r="DB1" s="217"/>
      <c r="DC1" s="217"/>
      <c r="DD1" s="217"/>
      <c r="DE1" s="217"/>
      <c r="DF1" s="217"/>
      <c r="DG1" s="217"/>
      <c r="DH1" s="217"/>
      <c r="DI1" s="217"/>
      <c r="DJ1" s="217"/>
      <c r="DK1" s="217"/>
      <c r="DL1" s="217"/>
      <c r="DM1" s="217"/>
      <c r="DN1" s="217"/>
      <c r="DO1" s="217"/>
      <c r="DP1" s="217"/>
      <c r="DQ1" s="217"/>
      <c r="DR1" s="217"/>
      <c r="DS1" s="217"/>
      <c r="DT1" s="217"/>
      <c r="DU1" s="217"/>
      <c r="DV1" s="217"/>
      <c r="DW1" s="217"/>
      <c r="DX1" s="196" t="s">
        <v>130</v>
      </c>
      <c r="DY1" s="196"/>
      <c r="DZ1" s="196"/>
      <c r="EA1" s="196"/>
      <c r="EB1" s="196"/>
      <c r="EC1" s="196"/>
      <c r="ED1" s="196"/>
      <c r="EE1" s="196"/>
      <c r="EF1" s="196"/>
      <c r="EG1" s="196"/>
      <c r="EH1" s="196"/>
      <c r="EI1" s="196"/>
      <c r="EJ1" s="196"/>
      <c r="EK1" s="196"/>
      <c r="EL1" s="196"/>
      <c r="EM1" s="196"/>
      <c r="EN1" s="196"/>
      <c r="EO1" s="196"/>
      <c r="EP1" s="196"/>
      <c r="EQ1" s="196"/>
      <c r="ER1" s="196"/>
      <c r="ES1" s="196"/>
      <c r="ET1" s="196"/>
      <c r="EU1" s="196"/>
      <c r="EV1" s="196"/>
      <c r="EW1" s="196"/>
      <c r="EX1" s="196"/>
      <c r="EY1" s="196"/>
      <c r="EZ1" s="196"/>
      <c r="FA1" s="196"/>
      <c r="FB1" s="196"/>
      <c r="FC1" s="196"/>
      <c r="FD1" s="196"/>
      <c r="FE1" s="196"/>
      <c r="FF1" s="196"/>
      <c r="FG1" s="196"/>
      <c r="FH1" s="196" t="s">
        <v>131</v>
      </c>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t="s">
        <v>132</v>
      </c>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t="s">
        <v>133</v>
      </c>
      <c r="IC1" s="214"/>
      <c r="ID1" s="214"/>
      <c r="IE1" s="215"/>
    </row>
    <row r="2" spans="1:239" ht="312.75" thickBot="1" x14ac:dyDescent="0.3">
      <c r="A2" s="1"/>
      <c r="B2" s="2" t="s">
        <v>51</v>
      </c>
      <c r="C2" s="4" t="s">
        <v>109</v>
      </c>
      <c r="D2" s="209"/>
      <c r="E2" s="207"/>
      <c r="F2" s="227"/>
      <c r="G2" s="42" t="s">
        <v>107</v>
      </c>
      <c r="H2" s="218"/>
      <c r="I2" s="181"/>
      <c r="J2" s="226"/>
      <c r="K2" s="42" t="s">
        <v>110</v>
      </c>
      <c r="L2" s="218"/>
      <c r="M2" s="181"/>
      <c r="N2" s="226"/>
      <c r="O2" s="4" t="s">
        <v>106</v>
      </c>
      <c r="P2" s="219"/>
      <c r="Q2" s="181"/>
      <c r="R2" s="181"/>
      <c r="S2" s="60" t="s">
        <v>135</v>
      </c>
      <c r="T2" s="13" t="s">
        <v>24</v>
      </c>
      <c r="U2" s="14" t="s">
        <v>25</v>
      </c>
      <c r="V2" s="14"/>
      <c r="W2" s="14" t="s">
        <v>26</v>
      </c>
      <c r="X2" s="14" t="s">
        <v>27</v>
      </c>
      <c r="Y2" s="56" t="s">
        <v>136</v>
      </c>
      <c r="Z2" s="56" t="s">
        <v>137</v>
      </c>
      <c r="AA2" s="56" t="s">
        <v>138</v>
      </c>
      <c r="AB2" s="14" t="s">
        <v>28</v>
      </c>
      <c r="AC2" s="14" t="s">
        <v>29</v>
      </c>
      <c r="AD2" s="14" t="s">
        <v>30</v>
      </c>
      <c r="AE2" s="71" t="s">
        <v>31</v>
      </c>
      <c r="AF2" s="71" t="s">
        <v>139</v>
      </c>
      <c r="AG2" s="71" t="s">
        <v>32</v>
      </c>
      <c r="AH2" s="71" t="s">
        <v>33</v>
      </c>
      <c r="AI2" s="71" t="s">
        <v>34</v>
      </c>
      <c r="AJ2" s="71" t="s">
        <v>35</v>
      </c>
      <c r="AK2" s="71" t="s">
        <v>36</v>
      </c>
      <c r="AL2" s="71" t="s">
        <v>37</v>
      </c>
      <c r="AM2" s="71" t="s">
        <v>38</v>
      </c>
      <c r="AN2" s="71" t="s">
        <v>39</v>
      </c>
      <c r="AO2" s="71" t="s">
        <v>40</v>
      </c>
      <c r="AP2" s="71" t="s">
        <v>41</v>
      </c>
      <c r="AQ2" s="71" t="s">
        <v>42</v>
      </c>
      <c r="AR2" s="71" t="s">
        <v>43</v>
      </c>
      <c r="AS2" s="71" t="s">
        <v>44</v>
      </c>
      <c r="AT2" s="71" t="s">
        <v>45</v>
      </c>
      <c r="AU2" s="71" t="s">
        <v>46</v>
      </c>
      <c r="AV2" s="71" t="s">
        <v>47</v>
      </c>
      <c r="AW2" s="14" t="s">
        <v>48</v>
      </c>
      <c r="AX2" s="14" t="s">
        <v>49</v>
      </c>
      <c r="AY2" s="15" t="s">
        <v>50</v>
      </c>
      <c r="AZ2" s="2"/>
      <c r="BA2" s="205"/>
      <c r="BB2" s="197"/>
      <c r="BC2" s="198"/>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205"/>
      <c r="CL2" s="197"/>
      <c r="CM2" s="198"/>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205"/>
      <c r="DV2" s="197"/>
      <c r="DW2" s="198"/>
      <c r="DX2" s="48" t="s">
        <v>149</v>
      </c>
      <c r="DY2" s="44" t="s">
        <v>150</v>
      </c>
      <c r="DZ2" s="44" t="s">
        <v>151</v>
      </c>
      <c r="EA2" s="44" t="s">
        <v>152</v>
      </c>
      <c r="EB2" s="44" t="s">
        <v>153</v>
      </c>
      <c r="EC2" s="44" t="s">
        <v>154</v>
      </c>
      <c r="ED2" s="44" t="s">
        <v>155</v>
      </c>
      <c r="EE2" s="44" t="s">
        <v>156</v>
      </c>
      <c r="EF2" s="44" t="s">
        <v>157</v>
      </c>
      <c r="EG2" s="44" t="s">
        <v>158</v>
      </c>
      <c r="EH2" s="44" t="s">
        <v>159</v>
      </c>
      <c r="EI2" s="44" t="s">
        <v>160</v>
      </c>
      <c r="EJ2" s="44" t="s">
        <v>161</v>
      </c>
      <c r="EK2" s="44"/>
      <c r="EL2" s="44"/>
      <c r="EM2" s="44" t="s">
        <v>162</v>
      </c>
      <c r="EN2" s="44" t="s">
        <v>163</v>
      </c>
      <c r="EO2" s="44" t="s">
        <v>164</v>
      </c>
      <c r="EP2" s="44" t="s">
        <v>165</v>
      </c>
      <c r="EQ2" s="44" t="s">
        <v>166</v>
      </c>
      <c r="ER2" s="44"/>
      <c r="ES2" s="44"/>
      <c r="ET2" s="44" t="s">
        <v>167</v>
      </c>
      <c r="EU2" s="44"/>
      <c r="EV2" s="44"/>
      <c r="EW2" s="44"/>
      <c r="EX2" s="44"/>
      <c r="EY2" s="44" t="s">
        <v>168</v>
      </c>
      <c r="EZ2" s="44" t="s">
        <v>169</v>
      </c>
      <c r="FA2" s="44" t="s">
        <v>170</v>
      </c>
      <c r="FB2" s="44" t="s">
        <v>171</v>
      </c>
      <c r="FC2" s="45" t="s">
        <v>172</v>
      </c>
      <c r="FD2" s="2"/>
      <c r="FE2" s="206"/>
      <c r="FF2" s="207"/>
      <c r="FG2" s="207"/>
      <c r="FH2" s="50" t="s">
        <v>173</v>
      </c>
      <c r="FI2" s="44" t="s">
        <v>174</v>
      </c>
      <c r="FJ2" s="44" t="s">
        <v>175</v>
      </c>
      <c r="FK2" s="44" t="s">
        <v>176</v>
      </c>
      <c r="FL2" s="44" t="s">
        <v>177</v>
      </c>
      <c r="FM2" s="44"/>
      <c r="FN2" s="44"/>
      <c r="FO2" s="44"/>
      <c r="FP2" s="44"/>
      <c r="FQ2" s="44"/>
      <c r="FR2" s="44"/>
      <c r="FS2" s="44"/>
      <c r="FT2" s="44"/>
      <c r="FU2" s="44"/>
      <c r="FV2" s="44"/>
      <c r="FW2" s="44"/>
      <c r="FX2" s="44"/>
      <c r="FY2" s="44"/>
      <c r="FZ2" s="44"/>
      <c r="GA2" s="44"/>
      <c r="GB2" s="44"/>
      <c r="GC2" s="44"/>
      <c r="GD2" s="44"/>
      <c r="GE2" s="44" t="s">
        <v>178</v>
      </c>
      <c r="GF2" s="44" t="s">
        <v>179</v>
      </c>
      <c r="GG2" s="44" t="s">
        <v>180</v>
      </c>
      <c r="GH2" s="44" t="s">
        <v>181</v>
      </c>
      <c r="GI2" s="44" t="s">
        <v>182</v>
      </c>
      <c r="GJ2" s="44" t="s">
        <v>183</v>
      </c>
      <c r="GK2" s="44" t="s">
        <v>184</v>
      </c>
      <c r="GL2" s="44" t="s">
        <v>185</v>
      </c>
      <c r="GM2" s="45" t="s">
        <v>186</v>
      </c>
      <c r="GN2" s="2"/>
      <c r="GO2" s="206"/>
      <c r="GP2" s="207"/>
      <c r="GQ2" s="207"/>
      <c r="GR2" s="50"/>
      <c r="GS2" s="44" t="s">
        <v>187</v>
      </c>
      <c r="GT2" s="44" t="s">
        <v>188</v>
      </c>
      <c r="GU2" s="44" t="s">
        <v>189</v>
      </c>
      <c r="GV2" s="44" t="s">
        <v>190</v>
      </c>
      <c r="GW2" s="44" t="s">
        <v>191</v>
      </c>
      <c r="GX2" s="44" t="s">
        <v>192</v>
      </c>
      <c r="GY2" s="44" t="s">
        <v>193</v>
      </c>
      <c r="GZ2" s="44"/>
      <c r="HA2" s="44"/>
      <c r="HB2" s="44"/>
      <c r="HC2" s="44"/>
      <c r="HD2" s="44"/>
      <c r="HE2" s="44"/>
      <c r="HF2" s="44"/>
      <c r="HG2" s="44"/>
      <c r="HH2" s="44"/>
      <c r="HI2" s="44"/>
      <c r="HJ2" s="44" t="s">
        <v>194</v>
      </c>
      <c r="HK2" s="44" t="s">
        <v>195</v>
      </c>
      <c r="HL2" s="44" t="s">
        <v>196</v>
      </c>
      <c r="HM2" s="44" t="s">
        <v>197</v>
      </c>
      <c r="HN2" s="44" t="s">
        <v>198</v>
      </c>
      <c r="HO2" s="44" t="s">
        <v>199</v>
      </c>
      <c r="HP2" s="44"/>
      <c r="HQ2" s="44"/>
      <c r="HR2" s="44" t="s">
        <v>200</v>
      </c>
      <c r="HS2" s="44" t="s">
        <v>201</v>
      </c>
      <c r="HT2" s="44" t="s">
        <v>202</v>
      </c>
      <c r="HU2" s="44" t="s">
        <v>203</v>
      </c>
      <c r="HV2" s="44" t="s">
        <v>204</v>
      </c>
      <c r="HW2" s="45" t="s">
        <v>205</v>
      </c>
      <c r="HX2" s="2"/>
      <c r="HY2" s="206"/>
      <c r="HZ2" s="207"/>
      <c r="IA2" s="207"/>
      <c r="IB2" s="4" t="s">
        <v>18</v>
      </c>
      <c r="IC2" s="209"/>
      <c r="ID2" s="207"/>
      <c r="IE2" s="227"/>
    </row>
    <row r="3" spans="1:239" ht="15.75" customHeight="1" thickBot="1" x14ac:dyDescent="0.3">
      <c r="A3" s="73" t="s">
        <v>19</v>
      </c>
      <c r="B3" s="79"/>
      <c r="C3" s="73" t="s">
        <v>17</v>
      </c>
      <c r="D3" s="228" t="s">
        <v>20</v>
      </c>
      <c r="E3" s="197"/>
      <c r="F3" s="198"/>
      <c r="G3" s="73" t="s">
        <v>15</v>
      </c>
      <c r="H3" s="200" t="s">
        <v>20</v>
      </c>
      <c r="I3" s="197"/>
      <c r="J3" s="198"/>
      <c r="K3" s="160" t="s">
        <v>15</v>
      </c>
      <c r="L3" s="200" t="s">
        <v>20</v>
      </c>
      <c r="M3" s="197"/>
      <c r="N3" s="198"/>
      <c r="O3" s="160" t="s">
        <v>15</v>
      </c>
      <c r="P3" s="228" t="s">
        <v>20</v>
      </c>
      <c r="Q3" s="197"/>
      <c r="R3" s="198"/>
      <c r="S3" s="24"/>
      <c r="T3" s="199"/>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8"/>
      <c r="AZ3" s="73" t="s">
        <v>423</v>
      </c>
      <c r="BA3" s="200" t="s">
        <v>20</v>
      </c>
      <c r="BB3" s="197"/>
      <c r="BC3" s="198"/>
      <c r="BD3" s="199"/>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8"/>
      <c r="CJ3" s="73" t="s">
        <v>423</v>
      </c>
      <c r="CK3" s="200" t="s">
        <v>20</v>
      </c>
      <c r="CL3" s="197"/>
      <c r="CM3" s="198"/>
      <c r="CN3" s="199"/>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8"/>
      <c r="DT3" s="73" t="s">
        <v>423</v>
      </c>
      <c r="DU3" s="200" t="s">
        <v>20</v>
      </c>
      <c r="DV3" s="197"/>
      <c r="DW3" s="198"/>
      <c r="DX3" s="225"/>
      <c r="DY3" s="203"/>
      <c r="DZ3" s="203"/>
      <c r="EA3" s="203"/>
      <c r="EB3" s="203"/>
      <c r="EC3" s="203"/>
      <c r="ED3" s="203"/>
      <c r="EE3" s="203"/>
      <c r="EF3" s="203"/>
      <c r="EG3" s="203"/>
      <c r="EH3" s="203"/>
      <c r="EI3" s="203"/>
      <c r="EJ3" s="203"/>
      <c r="EK3" s="203"/>
      <c r="EL3" s="203"/>
      <c r="EM3" s="203"/>
      <c r="EN3" s="203"/>
      <c r="EO3" s="203"/>
      <c r="EP3" s="203"/>
      <c r="EQ3" s="203"/>
      <c r="ER3" s="203"/>
      <c r="ES3" s="203"/>
      <c r="ET3" s="203"/>
      <c r="EU3" s="203"/>
      <c r="EV3" s="203"/>
      <c r="EW3" s="203"/>
      <c r="EX3" s="203"/>
      <c r="EY3" s="203"/>
      <c r="EZ3" s="203"/>
      <c r="FA3" s="203"/>
      <c r="FB3" s="203"/>
      <c r="FC3" s="204"/>
      <c r="FD3" s="74" t="s">
        <v>423</v>
      </c>
      <c r="FE3" s="200" t="s">
        <v>20</v>
      </c>
      <c r="FF3" s="197"/>
      <c r="FG3" s="198"/>
      <c r="FH3" s="225"/>
      <c r="FI3" s="203"/>
      <c r="FJ3" s="203"/>
      <c r="FK3" s="203"/>
      <c r="FL3" s="203"/>
      <c r="FM3" s="203"/>
      <c r="FN3" s="203"/>
      <c r="FO3" s="203"/>
      <c r="FP3" s="203"/>
      <c r="FQ3" s="203"/>
      <c r="FR3" s="203"/>
      <c r="FS3" s="203"/>
      <c r="FT3" s="203"/>
      <c r="FU3" s="203"/>
      <c r="FV3" s="203"/>
      <c r="FW3" s="203"/>
      <c r="FX3" s="203"/>
      <c r="FY3" s="203"/>
      <c r="FZ3" s="203"/>
      <c r="GA3" s="203"/>
      <c r="GB3" s="203"/>
      <c r="GC3" s="203"/>
      <c r="GD3" s="203"/>
      <c r="GE3" s="203"/>
      <c r="GF3" s="203"/>
      <c r="GG3" s="203"/>
      <c r="GH3" s="203"/>
      <c r="GI3" s="203"/>
      <c r="GJ3" s="203"/>
      <c r="GK3" s="203"/>
      <c r="GL3" s="203"/>
      <c r="GM3" s="204"/>
      <c r="GN3" s="74" t="s">
        <v>423</v>
      </c>
      <c r="GO3" s="200" t="s">
        <v>20</v>
      </c>
      <c r="GP3" s="197"/>
      <c r="GQ3" s="198"/>
      <c r="GR3" s="225"/>
      <c r="GS3" s="203"/>
      <c r="GT3" s="203"/>
      <c r="GU3" s="203"/>
      <c r="GV3" s="203"/>
      <c r="GW3" s="203"/>
      <c r="GX3" s="203"/>
      <c r="GY3" s="203"/>
      <c r="GZ3" s="203"/>
      <c r="HA3" s="203"/>
      <c r="HB3" s="203"/>
      <c r="HC3" s="203"/>
      <c r="HD3" s="203"/>
      <c r="HE3" s="203"/>
      <c r="HF3" s="203"/>
      <c r="HG3" s="203"/>
      <c r="HH3" s="203"/>
      <c r="HI3" s="203"/>
      <c r="HJ3" s="203"/>
      <c r="HK3" s="203"/>
      <c r="HL3" s="203"/>
      <c r="HM3" s="203"/>
      <c r="HN3" s="203"/>
      <c r="HO3" s="203"/>
      <c r="HP3" s="203"/>
      <c r="HQ3" s="203"/>
      <c r="HR3" s="203"/>
      <c r="HS3" s="203"/>
      <c r="HT3" s="203"/>
      <c r="HU3" s="203"/>
      <c r="HV3" s="203"/>
      <c r="HW3" s="204"/>
      <c r="HX3" s="74" t="s">
        <v>423</v>
      </c>
      <c r="HY3" s="200" t="s">
        <v>20</v>
      </c>
      <c r="HZ3" s="197"/>
      <c r="IA3" s="198"/>
      <c r="IB3" s="73" t="s">
        <v>17</v>
      </c>
      <c r="IC3" s="228" t="s">
        <v>20</v>
      </c>
      <c r="ID3" s="197"/>
      <c r="IE3" s="198"/>
    </row>
    <row r="4" spans="1:239" x14ac:dyDescent="0.25">
      <c r="A4" s="8" t="s">
        <v>21</v>
      </c>
      <c r="B4" s="8" t="s">
        <v>18</v>
      </c>
      <c r="C4" s="27"/>
      <c r="D4" s="210"/>
      <c r="E4" s="211"/>
      <c r="F4" s="213"/>
      <c r="G4" s="7"/>
      <c r="H4" s="210"/>
      <c r="I4" s="211"/>
      <c r="J4" s="213"/>
      <c r="K4" s="7"/>
      <c r="L4" s="210"/>
      <c r="M4" s="211"/>
      <c r="N4" s="213"/>
      <c r="O4" s="5"/>
      <c r="P4" s="210"/>
      <c r="Q4" s="211"/>
      <c r="R4" s="213"/>
      <c r="S4" s="3"/>
      <c r="T4" s="75">
        <v>31</v>
      </c>
      <c r="U4" s="16">
        <v>30</v>
      </c>
      <c r="V4" s="16">
        <v>29</v>
      </c>
      <c r="W4" s="16">
        <v>28</v>
      </c>
      <c r="X4" s="16">
        <v>27</v>
      </c>
      <c r="Y4" s="57">
        <v>26</v>
      </c>
      <c r="Z4" s="57">
        <v>25</v>
      </c>
      <c r="AA4" s="57">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210"/>
      <c r="BB4" s="211"/>
      <c r="BC4" s="213"/>
      <c r="BD4" s="75">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210"/>
      <c r="CL4" s="211"/>
      <c r="CM4" s="213"/>
      <c r="CN4" s="75">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210"/>
      <c r="DV4" s="211"/>
      <c r="DW4" s="213"/>
      <c r="DX4" s="49">
        <v>31</v>
      </c>
      <c r="DY4" s="46">
        <v>30</v>
      </c>
      <c r="DZ4" s="46">
        <v>29</v>
      </c>
      <c r="EA4" s="46">
        <v>28</v>
      </c>
      <c r="EB4" s="46">
        <v>27</v>
      </c>
      <c r="EC4" s="46">
        <v>26</v>
      </c>
      <c r="ED4" s="46">
        <v>25</v>
      </c>
      <c r="EE4" s="46">
        <v>24</v>
      </c>
      <c r="EF4" s="46">
        <v>23</v>
      </c>
      <c r="EG4" s="46">
        <v>22</v>
      </c>
      <c r="EH4" s="46">
        <v>21</v>
      </c>
      <c r="EI4" s="46">
        <v>20</v>
      </c>
      <c r="EJ4" s="46">
        <v>19</v>
      </c>
      <c r="EK4" s="46">
        <v>18</v>
      </c>
      <c r="EL4" s="46">
        <v>17</v>
      </c>
      <c r="EM4" s="46">
        <v>16</v>
      </c>
      <c r="EN4" s="46">
        <v>15</v>
      </c>
      <c r="EO4" s="46">
        <v>14</v>
      </c>
      <c r="EP4" s="46">
        <v>13</v>
      </c>
      <c r="EQ4" s="46">
        <v>12</v>
      </c>
      <c r="ER4" s="46">
        <v>11</v>
      </c>
      <c r="ES4" s="46">
        <v>10</v>
      </c>
      <c r="ET4" s="46">
        <v>9</v>
      </c>
      <c r="EU4" s="46">
        <v>8</v>
      </c>
      <c r="EV4" s="46">
        <v>7</v>
      </c>
      <c r="EW4" s="46">
        <v>6</v>
      </c>
      <c r="EX4" s="46">
        <v>5</v>
      </c>
      <c r="EY4" s="46">
        <v>4</v>
      </c>
      <c r="EZ4" s="46">
        <v>3</v>
      </c>
      <c r="FA4" s="46">
        <v>2</v>
      </c>
      <c r="FB4" s="46">
        <v>1</v>
      </c>
      <c r="FC4" s="47">
        <v>0</v>
      </c>
      <c r="FD4" s="8"/>
      <c r="FE4" s="210"/>
      <c r="FF4" s="211"/>
      <c r="FG4" s="213"/>
      <c r="FH4" s="49">
        <v>31</v>
      </c>
      <c r="FI4" s="46">
        <v>30</v>
      </c>
      <c r="FJ4" s="46">
        <v>29</v>
      </c>
      <c r="FK4" s="46">
        <v>28</v>
      </c>
      <c r="FL4" s="46">
        <v>27</v>
      </c>
      <c r="FM4" s="46">
        <v>26</v>
      </c>
      <c r="FN4" s="46">
        <v>25</v>
      </c>
      <c r="FO4" s="46">
        <v>24</v>
      </c>
      <c r="FP4" s="46">
        <v>23</v>
      </c>
      <c r="FQ4" s="46">
        <v>22</v>
      </c>
      <c r="FR4" s="46">
        <v>21</v>
      </c>
      <c r="FS4" s="46">
        <v>20</v>
      </c>
      <c r="FT4" s="46">
        <v>19</v>
      </c>
      <c r="FU4" s="46">
        <v>18</v>
      </c>
      <c r="FV4" s="46">
        <v>17</v>
      </c>
      <c r="FW4" s="46">
        <v>16</v>
      </c>
      <c r="FX4" s="46">
        <v>15</v>
      </c>
      <c r="FY4" s="46">
        <v>14</v>
      </c>
      <c r="FZ4" s="46">
        <v>13</v>
      </c>
      <c r="GA4" s="46">
        <v>12</v>
      </c>
      <c r="GB4" s="46">
        <v>11</v>
      </c>
      <c r="GC4" s="46">
        <v>10</v>
      </c>
      <c r="GD4" s="46">
        <v>9</v>
      </c>
      <c r="GE4" s="46">
        <v>8</v>
      </c>
      <c r="GF4" s="46">
        <v>7</v>
      </c>
      <c r="GG4" s="46">
        <v>6</v>
      </c>
      <c r="GH4" s="46">
        <v>5</v>
      </c>
      <c r="GI4" s="46">
        <v>4</v>
      </c>
      <c r="GJ4" s="46">
        <v>3</v>
      </c>
      <c r="GK4" s="46">
        <v>2</v>
      </c>
      <c r="GL4" s="46">
        <v>1</v>
      </c>
      <c r="GM4" s="47">
        <v>0</v>
      </c>
      <c r="GN4" s="8"/>
      <c r="GO4" s="210"/>
      <c r="GP4" s="211"/>
      <c r="GQ4" s="213"/>
      <c r="GR4" s="49">
        <v>31</v>
      </c>
      <c r="GS4" s="46">
        <v>30</v>
      </c>
      <c r="GT4" s="46">
        <v>29</v>
      </c>
      <c r="GU4" s="46">
        <v>28</v>
      </c>
      <c r="GV4" s="46">
        <v>27</v>
      </c>
      <c r="GW4" s="46">
        <v>26</v>
      </c>
      <c r="GX4" s="46">
        <v>25</v>
      </c>
      <c r="GY4" s="46">
        <v>24</v>
      </c>
      <c r="GZ4" s="46">
        <v>23</v>
      </c>
      <c r="HA4" s="46">
        <v>22</v>
      </c>
      <c r="HB4" s="46">
        <v>21</v>
      </c>
      <c r="HC4" s="46">
        <v>20</v>
      </c>
      <c r="HD4" s="46">
        <v>19</v>
      </c>
      <c r="HE4" s="46">
        <v>18</v>
      </c>
      <c r="HF4" s="46">
        <v>17</v>
      </c>
      <c r="HG4" s="46">
        <v>16</v>
      </c>
      <c r="HH4" s="46">
        <v>15</v>
      </c>
      <c r="HI4" s="46">
        <v>14</v>
      </c>
      <c r="HJ4" s="46">
        <v>13</v>
      </c>
      <c r="HK4" s="46">
        <v>12</v>
      </c>
      <c r="HL4" s="46">
        <v>11</v>
      </c>
      <c r="HM4" s="46">
        <v>10</v>
      </c>
      <c r="HN4" s="46">
        <v>9</v>
      </c>
      <c r="HO4" s="46">
        <v>8</v>
      </c>
      <c r="HP4" s="46">
        <v>7</v>
      </c>
      <c r="HQ4" s="46">
        <v>6</v>
      </c>
      <c r="HR4" s="46">
        <v>5</v>
      </c>
      <c r="HS4" s="46">
        <v>4</v>
      </c>
      <c r="HT4" s="46">
        <v>3</v>
      </c>
      <c r="HU4" s="46">
        <v>2</v>
      </c>
      <c r="HV4" s="46">
        <v>1</v>
      </c>
      <c r="HW4" s="47">
        <v>0</v>
      </c>
      <c r="HX4" s="8"/>
      <c r="HY4" s="210"/>
      <c r="HZ4" s="211"/>
      <c r="IA4" s="213"/>
      <c r="IB4" s="8"/>
      <c r="IC4" s="210"/>
      <c r="ID4" s="211"/>
      <c r="IE4" s="213"/>
    </row>
    <row r="5" spans="1:239" x14ac:dyDescent="0.25">
      <c r="A5" s="8">
        <v>0</v>
      </c>
      <c r="B5" s="8" t="str">
        <f t="shared" ref="B5:B24" si="0">IF($IB5&lt;&gt;"", $IB5, "")</f>
        <v>HOME</v>
      </c>
      <c r="C5" s="77"/>
      <c r="D5" s="22" t="s">
        <v>393</v>
      </c>
      <c r="E5" s="23">
        <v>0</v>
      </c>
      <c r="F5" s="27" t="s">
        <v>22</v>
      </c>
      <c r="G5" s="161">
        <v>0</v>
      </c>
      <c r="H5" s="22" t="s">
        <v>394</v>
      </c>
      <c r="I5" s="23">
        <v>0</v>
      </c>
      <c r="J5" s="27" t="s">
        <v>22</v>
      </c>
      <c r="K5" s="161">
        <v>0</v>
      </c>
      <c r="L5" s="22" t="s">
        <v>395</v>
      </c>
      <c r="M5" s="23">
        <v>0</v>
      </c>
      <c r="N5" s="27" t="s">
        <v>22</v>
      </c>
      <c r="O5" s="165">
        <v>0</v>
      </c>
      <c r="P5" s="22" t="s">
        <v>396</v>
      </c>
      <c r="Q5" s="23">
        <v>0</v>
      </c>
      <c r="R5" s="27" t="s">
        <v>22</v>
      </c>
      <c r="S5" s="9" t="str">
        <f>IF(AP5=1, "P", "")</f>
        <v/>
      </c>
      <c r="T5" s="18"/>
      <c r="U5" s="19"/>
      <c r="V5" s="19"/>
      <c r="W5" s="19"/>
      <c r="X5" s="19"/>
      <c r="Y5" s="58"/>
      <c r="Z5" s="58"/>
      <c r="AA5" s="58"/>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397</v>
      </c>
      <c r="BB5" s="23">
        <v>0</v>
      </c>
      <c r="BC5" s="27"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398</v>
      </c>
      <c r="CL5" s="23">
        <v>0</v>
      </c>
      <c r="CM5" s="27"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399</v>
      </c>
      <c r="DV5" s="23">
        <v>0</v>
      </c>
      <c r="DW5" s="27"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400</v>
      </c>
      <c r="FF5" s="23">
        <v>0</v>
      </c>
      <c r="FG5" s="27"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401</v>
      </c>
      <c r="GP5" s="23">
        <v>0</v>
      </c>
      <c r="GQ5" s="27"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402</v>
      </c>
      <c r="HZ5" s="23">
        <v>0</v>
      </c>
      <c r="IA5" s="27" t="s">
        <v>22</v>
      </c>
      <c r="IB5" s="10" t="s">
        <v>206</v>
      </c>
      <c r="IC5" s="22" t="s">
        <v>403</v>
      </c>
      <c r="ID5" s="23">
        <v>0</v>
      </c>
      <c r="IE5" s="27" t="s">
        <v>22</v>
      </c>
    </row>
    <row r="6" spans="1:239" x14ac:dyDescent="0.25">
      <c r="A6" s="8">
        <v>1</v>
      </c>
      <c r="B6" s="8" t="str">
        <f t="shared" si="0"/>
        <v>FILLING FEED TANK TO SET POINT LEVEL</v>
      </c>
      <c r="C6" s="77"/>
      <c r="D6" s="6" t="str">
        <f t="shared" ref="D6:D24" si="1">D$5</f>
        <v>RO_Data[5].ACK_DESC[</v>
      </c>
      <c r="E6" s="23">
        <f>E5+1</f>
        <v>1</v>
      </c>
      <c r="F6" s="27" t="s">
        <v>22</v>
      </c>
      <c r="G6" s="161">
        <v>0</v>
      </c>
      <c r="H6" s="6" t="str">
        <f t="shared" ref="H6:H24" si="2">H$5</f>
        <v>RO_Data[5].MIN[</v>
      </c>
      <c r="I6" s="23">
        <f>I5+1</f>
        <v>1</v>
      </c>
      <c r="J6" s="27" t="s">
        <v>22</v>
      </c>
      <c r="K6" s="161">
        <v>1</v>
      </c>
      <c r="L6" s="6" t="str">
        <f t="shared" ref="L6:L24" si="3">L$5</f>
        <v>RO_Data[5].SEC[</v>
      </c>
      <c r="M6" s="23">
        <f>M5+1</f>
        <v>1</v>
      </c>
      <c r="N6" s="27" t="s">
        <v>22</v>
      </c>
      <c r="O6" s="165">
        <v>0</v>
      </c>
      <c r="P6" s="6" t="str">
        <f t="shared" ref="P6:P24" si="4">P$5</f>
        <v>RO_Data[5].SETPOINT[</v>
      </c>
      <c r="Q6" s="23">
        <f>Q5+1</f>
        <v>1</v>
      </c>
      <c r="R6" s="27" t="s">
        <v>22</v>
      </c>
      <c r="S6" s="9" t="str">
        <f t="shared" ref="S6:S24" si="5">IF(AP6=1, "P", "")</f>
        <v>P</v>
      </c>
      <c r="T6" s="18"/>
      <c r="U6" s="19"/>
      <c r="V6" s="19"/>
      <c r="W6" s="19">
        <v>1</v>
      </c>
      <c r="X6" s="19"/>
      <c r="Y6" s="58"/>
      <c r="Z6" s="58"/>
      <c r="AA6" s="58"/>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268501504</v>
      </c>
      <c r="BA6" s="6" t="str">
        <f t="shared" ref="BA6:BA24" si="6">BA$5</f>
        <v>RO_Data[5].COND1[</v>
      </c>
      <c r="BB6" s="23">
        <f>BB5+1</f>
        <v>1</v>
      </c>
      <c r="BC6" s="27"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RO_Data[5].COND2[</v>
      </c>
      <c r="CL6" s="23">
        <f>CL5+1</f>
        <v>1</v>
      </c>
      <c r="CM6" s="27"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RO_Data[5].COND3[</v>
      </c>
      <c r="DV6" s="23">
        <f>DV5+1</f>
        <v>1</v>
      </c>
      <c r="DW6" s="27"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RO_Data[5].ACT1[</v>
      </c>
      <c r="FF6" s="23">
        <f>FF5+1</f>
        <v>1</v>
      </c>
      <c r="FG6" s="27"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RO_Data[5].ACT5[</v>
      </c>
      <c r="GP6" s="23">
        <f>GP5+1</f>
        <v>1</v>
      </c>
      <c r="GQ6" s="27"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RO_Data[5].ACT6[</v>
      </c>
      <c r="HZ6" s="23">
        <f>HZ5+1</f>
        <v>1</v>
      </c>
      <c r="IA6" s="27" t="s">
        <v>22</v>
      </c>
      <c r="IB6" s="10" t="s">
        <v>224</v>
      </c>
      <c r="IC6" s="6" t="str">
        <f t="shared" ref="IC6:IC24" si="12">IC$5</f>
        <v>RO_Data[5].STEP_DESC[</v>
      </c>
      <c r="ID6" s="23">
        <f>ID5+1</f>
        <v>1</v>
      </c>
      <c r="IE6" s="27" t="s">
        <v>22</v>
      </c>
    </row>
    <row r="7" spans="1:239" x14ac:dyDescent="0.25">
      <c r="A7" s="8">
        <v>2</v>
      </c>
      <c r="B7" s="8" t="str">
        <f t="shared" si="0"/>
        <v>STARTING PUMPS</v>
      </c>
      <c r="C7" s="77"/>
      <c r="D7" s="6" t="str">
        <f t="shared" si="1"/>
        <v>RO_Data[5].ACK_DESC[</v>
      </c>
      <c r="E7" s="23">
        <f t="shared" ref="E7:E24" si="13">E6+1</f>
        <v>2</v>
      </c>
      <c r="F7" s="27" t="s">
        <v>22</v>
      </c>
      <c r="G7" s="161">
        <v>0</v>
      </c>
      <c r="H7" s="6" t="str">
        <f t="shared" si="2"/>
        <v>RO_Data[5].MIN[</v>
      </c>
      <c r="I7" s="23">
        <f t="shared" ref="I7:I24" si="14">I6+1</f>
        <v>2</v>
      </c>
      <c r="J7" s="27" t="s">
        <v>22</v>
      </c>
      <c r="K7" s="161">
        <v>30</v>
      </c>
      <c r="L7" s="6" t="str">
        <f t="shared" si="3"/>
        <v>RO_Data[5].SEC[</v>
      </c>
      <c r="M7" s="23">
        <f t="shared" ref="M7:M24" si="15">M6+1</f>
        <v>2</v>
      </c>
      <c r="N7" s="27" t="s">
        <v>22</v>
      </c>
      <c r="O7" s="165">
        <v>0</v>
      </c>
      <c r="P7" s="6" t="str">
        <f t="shared" si="4"/>
        <v>RO_Data[5].SETPOINT[</v>
      </c>
      <c r="Q7" s="23">
        <f t="shared" ref="Q7:Q24" si="16">Q6+1</f>
        <v>2</v>
      </c>
      <c r="R7" s="27" t="s">
        <v>22</v>
      </c>
      <c r="S7" s="9" t="str">
        <f t="shared" si="5"/>
        <v>P</v>
      </c>
      <c r="T7" s="18"/>
      <c r="U7" s="19"/>
      <c r="V7" s="19"/>
      <c r="W7" s="19">
        <v>1</v>
      </c>
      <c r="X7" s="19"/>
      <c r="Y7" s="58"/>
      <c r="Z7" s="58"/>
      <c r="AA7" s="58">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285213184</v>
      </c>
      <c r="BA7" s="6" t="str">
        <f t="shared" si="6"/>
        <v>RO_Data[5].COND1[</v>
      </c>
      <c r="BB7" s="23">
        <f t="shared" ref="BB7:BB24" si="17">BB6+1</f>
        <v>2</v>
      </c>
      <c r="BC7" s="27"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RO_Data[5].COND2[</v>
      </c>
      <c r="CL7" s="23">
        <f t="shared" ref="CL7:CL24" si="18">CL6+1</f>
        <v>2</v>
      </c>
      <c r="CM7" s="27"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4" si="19">DV6+1</f>
        <v>2</v>
      </c>
      <c r="DW7" s="27"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RO_Data[5].ACT1[</v>
      </c>
      <c r="FF7" s="23">
        <f t="shared" ref="FF7:FF24" si="20">FF6+1</f>
        <v>2</v>
      </c>
      <c r="FG7" s="27"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4" si="21">GP6+1</f>
        <v>2</v>
      </c>
      <c r="GQ7" s="27"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4" si="22">HZ6+1</f>
        <v>2</v>
      </c>
      <c r="IA7" s="27" t="s">
        <v>22</v>
      </c>
      <c r="IB7" s="62" t="s">
        <v>225</v>
      </c>
      <c r="IC7" s="6" t="str">
        <f t="shared" si="12"/>
        <v>RO_Data[5].STEP_DESC[</v>
      </c>
      <c r="ID7" s="23">
        <f t="shared" ref="ID7:ID24" si="23">ID6+1</f>
        <v>2</v>
      </c>
      <c r="IE7" s="27" t="s">
        <v>22</v>
      </c>
    </row>
    <row r="8" spans="1:239" x14ac:dyDescent="0.25">
      <c r="A8" s="8">
        <v>3</v>
      </c>
      <c r="B8" s="8" t="str">
        <f t="shared" si="0"/>
        <v>RINSING STAGES</v>
      </c>
      <c r="C8" s="77"/>
      <c r="D8" s="6" t="str">
        <f t="shared" si="1"/>
        <v>RO_Data[5].ACK_DESC[</v>
      </c>
      <c r="E8" s="23">
        <f t="shared" si="13"/>
        <v>3</v>
      </c>
      <c r="F8" s="27" t="s">
        <v>22</v>
      </c>
      <c r="G8" s="161">
        <v>0</v>
      </c>
      <c r="H8" s="6" t="str">
        <f t="shared" si="2"/>
        <v>RO_Data[5].MIN[</v>
      </c>
      <c r="I8" s="23">
        <f t="shared" si="14"/>
        <v>3</v>
      </c>
      <c r="J8" s="27" t="s">
        <v>22</v>
      </c>
      <c r="K8" s="161">
        <v>1</v>
      </c>
      <c r="L8" s="6" t="str">
        <f t="shared" si="3"/>
        <v>RO_Data[5].SEC[</v>
      </c>
      <c r="M8" s="23">
        <f t="shared" si="15"/>
        <v>3</v>
      </c>
      <c r="N8" s="27" t="s">
        <v>22</v>
      </c>
      <c r="O8" s="165">
        <v>0</v>
      </c>
      <c r="P8" s="6" t="str">
        <f t="shared" si="4"/>
        <v>RO_Data[5].SETPOINT[</v>
      </c>
      <c r="Q8" s="23">
        <f t="shared" si="16"/>
        <v>3</v>
      </c>
      <c r="R8" s="27" t="s">
        <v>22</v>
      </c>
      <c r="S8" s="9" t="str">
        <f t="shared" si="5"/>
        <v>P</v>
      </c>
      <c r="T8" s="18"/>
      <c r="U8" s="19"/>
      <c r="V8" s="19"/>
      <c r="W8" s="19">
        <v>1</v>
      </c>
      <c r="X8" s="19"/>
      <c r="Y8" s="58"/>
      <c r="Z8" s="58"/>
      <c r="AA8" s="58"/>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268440064</v>
      </c>
      <c r="BA8" s="6" t="str">
        <f t="shared" si="6"/>
        <v>RO_Data[5].COND1[</v>
      </c>
      <c r="BB8" s="23">
        <f t="shared" si="17"/>
        <v>3</v>
      </c>
      <c r="BC8" s="27"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RO_Data[5].COND2[</v>
      </c>
      <c r="CL8" s="23">
        <f t="shared" si="18"/>
        <v>3</v>
      </c>
      <c r="CM8" s="27"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RO_Data[5].COND3[</v>
      </c>
      <c r="DV8" s="23">
        <f t="shared" si="19"/>
        <v>3</v>
      </c>
      <c r="DW8" s="27"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RO_Data[5].ACT1[</v>
      </c>
      <c r="FF8" s="23">
        <f t="shared" si="20"/>
        <v>3</v>
      </c>
      <c r="FG8" s="27"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27"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RO_Data[5].ACT6[</v>
      </c>
      <c r="HZ8" s="23">
        <f t="shared" si="22"/>
        <v>3</v>
      </c>
      <c r="IA8" s="27" t="s">
        <v>22</v>
      </c>
      <c r="IB8" s="62" t="s">
        <v>226</v>
      </c>
      <c r="IC8" s="6" t="str">
        <f t="shared" si="12"/>
        <v>RO_Data[5].STEP_DESC[</v>
      </c>
      <c r="ID8" s="23">
        <f t="shared" si="23"/>
        <v>3</v>
      </c>
      <c r="IE8" s="27" t="s">
        <v>22</v>
      </c>
    </row>
    <row r="9" spans="1:239" x14ac:dyDescent="0.25">
      <c r="A9" s="8">
        <v>4</v>
      </c>
      <c r="B9" s="8" t="str">
        <f t="shared" si="0"/>
        <v>PUMPING DOWN FEED TANK</v>
      </c>
      <c r="C9" s="77"/>
      <c r="D9" s="6" t="str">
        <f t="shared" si="1"/>
        <v>RO_Data[5].ACK_DESC[</v>
      </c>
      <c r="E9" s="23">
        <f t="shared" si="13"/>
        <v>4</v>
      </c>
      <c r="F9" s="27" t="s">
        <v>22</v>
      </c>
      <c r="G9" s="161">
        <v>0</v>
      </c>
      <c r="H9" s="6" t="str">
        <f t="shared" si="2"/>
        <v>RO_Data[5].MIN[</v>
      </c>
      <c r="I9" s="23">
        <f t="shared" si="14"/>
        <v>4</v>
      </c>
      <c r="J9" s="27" t="s">
        <v>22</v>
      </c>
      <c r="K9" s="161">
        <v>1</v>
      </c>
      <c r="L9" s="6" t="str">
        <f t="shared" si="3"/>
        <v>RO_Data[5].SEC[</v>
      </c>
      <c r="M9" s="23">
        <f t="shared" si="15"/>
        <v>4</v>
      </c>
      <c r="N9" s="27" t="s">
        <v>22</v>
      </c>
      <c r="O9" s="165">
        <v>0</v>
      </c>
      <c r="P9" s="6" t="str">
        <f t="shared" si="4"/>
        <v>RO_Data[5].SETPOINT[</v>
      </c>
      <c r="Q9" s="23">
        <f t="shared" si="16"/>
        <v>4</v>
      </c>
      <c r="R9" s="27" t="s">
        <v>22</v>
      </c>
      <c r="S9" s="9" t="str">
        <f t="shared" si="5"/>
        <v>P</v>
      </c>
      <c r="T9" s="18"/>
      <c r="U9" s="19"/>
      <c r="V9" s="19"/>
      <c r="W9" s="19"/>
      <c r="X9" s="19"/>
      <c r="Y9" s="58"/>
      <c r="Z9" s="58"/>
      <c r="AA9" s="58"/>
      <c r="AB9" s="19"/>
      <c r="AC9" s="19"/>
      <c r="AD9" s="19"/>
      <c r="AE9" s="19"/>
      <c r="AF9" s="19">
        <v>1</v>
      </c>
      <c r="AG9" s="19"/>
      <c r="AH9" s="19"/>
      <c r="AI9" s="19"/>
      <c r="AJ9" s="19"/>
      <c r="AK9" s="19"/>
      <c r="AL9" s="19"/>
      <c r="AM9" s="19"/>
      <c r="AN9" s="19"/>
      <c r="AO9" s="19"/>
      <c r="AP9" s="19">
        <v>1</v>
      </c>
      <c r="AQ9" s="19"/>
      <c r="AR9" s="19"/>
      <c r="AS9" s="19"/>
      <c r="AT9" s="19"/>
      <c r="AU9" s="19"/>
      <c r="AV9" s="19"/>
      <c r="AW9" s="19"/>
      <c r="AX9" s="19"/>
      <c r="AY9" s="20"/>
      <c r="AZ9" s="8">
        <f t="array" ref="AZ9">Bin2DecRange($T9:$AY9)</f>
        <v>524800</v>
      </c>
      <c r="BA9" s="6" t="str">
        <f t="shared" si="6"/>
        <v>RO_Data[5].COND1[</v>
      </c>
      <c r="BB9" s="23">
        <f t="shared" si="17"/>
        <v>4</v>
      </c>
      <c r="BC9" s="27"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RO_Data[5].COND2[</v>
      </c>
      <c r="CL9" s="23">
        <f t="shared" si="18"/>
        <v>4</v>
      </c>
      <c r="CM9" s="27"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RO_Data[5].COND3[</v>
      </c>
      <c r="DV9" s="23">
        <f t="shared" si="19"/>
        <v>4</v>
      </c>
      <c r="DW9" s="27"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RO_Data[5].ACT1[</v>
      </c>
      <c r="FF9" s="23">
        <f t="shared" si="20"/>
        <v>4</v>
      </c>
      <c r="FG9" s="27"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27"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RO_Data[5].ACT6[</v>
      </c>
      <c r="HZ9" s="23">
        <f t="shared" si="22"/>
        <v>4</v>
      </c>
      <c r="IA9" s="27" t="s">
        <v>22</v>
      </c>
      <c r="IB9" s="62" t="s">
        <v>230</v>
      </c>
      <c r="IC9" s="6" t="str">
        <f t="shared" si="12"/>
        <v>RO_Data[5].STEP_DESC[</v>
      </c>
      <c r="ID9" s="23">
        <f t="shared" si="23"/>
        <v>4</v>
      </c>
      <c r="IE9" s="27" t="s">
        <v>22</v>
      </c>
    </row>
    <row r="10" spans="1:239" x14ac:dyDescent="0.25">
      <c r="A10" s="8">
        <v>5</v>
      </c>
      <c r="B10" s="8" t="str">
        <f t="shared" si="0"/>
        <v>DRAINING FEED TANK</v>
      </c>
      <c r="C10" s="77"/>
      <c r="D10" s="6" t="str">
        <f t="shared" si="1"/>
        <v>RO_Data[5].ACK_DESC[</v>
      </c>
      <c r="E10" s="23">
        <f t="shared" si="13"/>
        <v>5</v>
      </c>
      <c r="F10" s="27" t="s">
        <v>22</v>
      </c>
      <c r="G10" s="161">
        <v>0</v>
      </c>
      <c r="H10" s="6" t="str">
        <f t="shared" si="2"/>
        <v>RO_Data[5].MIN[</v>
      </c>
      <c r="I10" s="23">
        <f t="shared" si="14"/>
        <v>5</v>
      </c>
      <c r="J10" s="27" t="s">
        <v>22</v>
      </c>
      <c r="K10" s="161">
        <v>1</v>
      </c>
      <c r="L10" s="6" t="str">
        <f t="shared" si="3"/>
        <v>RO_Data[5].SEC[</v>
      </c>
      <c r="M10" s="23">
        <f t="shared" si="15"/>
        <v>5</v>
      </c>
      <c r="N10" s="27" t="s">
        <v>22</v>
      </c>
      <c r="O10" s="165">
        <v>0</v>
      </c>
      <c r="P10" s="6" t="str">
        <f t="shared" si="4"/>
        <v>RO_Data[5].SETPOINT[</v>
      </c>
      <c r="Q10" s="23">
        <f t="shared" si="16"/>
        <v>5</v>
      </c>
      <c r="R10" s="27" t="s">
        <v>22</v>
      </c>
      <c r="S10" s="9" t="str">
        <f t="shared" si="5"/>
        <v>P</v>
      </c>
      <c r="T10" s="18"/>
      <c r="U10" s="19"/>
      <c r="V10" s="19"/>
      <c r="W10" s="19"/>
      <c r="X10" s="19"/>
      <c r="Y10" s="58"/>
      <c r="Z10" s="58"/>
      <c r="AA10" s="58"/>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RO_Data[5].COND1[</v>
      </c>
      <c r="BB10" s="23">
        <f t="shared" si="17"/>
        <v>5</v>
      </c>
      <c r="BC10" s="27"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RO_Data[5].COND2[</v>
      </c>
      <c r="CL10" s="23">
        <f t="shared" si="18"/>
        <v>5</v>
      </c>
      <c r="CM10" s="27"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27"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RO_Data[5].ACT1[</v>
      </c>
      <c r="FF10" s="23">
        <f t="shared" si="20"/>
        <v>5</v>
      </c>
      <c r="FG10" s="27"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RO_Data[5].ACT5[</v>
      </c>
      <c r="GP10" s="23">
        <f t="shared" si="21"/>
        <v>5</v>
      </c>
      <c r="GQ10" s="27"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RO_Data[5].ACT6[</v>
      </c>
      <c r="HZ10" s="23">
        <f t="shared" si="22"/>
        <v>5</v>
      </c>
      <c r="IA10" s="27" t="s">
        <v>22</v>
      </c>
      <c r="IB10" s="10" t="s">
        <v>231</v>
      </c>
      <c r="IC10" s="6" t="str">
        <f t="shared" si="12"/>
        <v>RO_Data[5].STEP_DESC[</v>
      </c>
      <c r="ID10" s="23">
        <f t="shared" si="23"/>
        <v>5</v>
      </c>
      <c r="IE10" s="27" t="s">
        <v>22</v>
      </c>
    </row>
    <row r="11" spans="1:239" x14ac:dyDescent="0.25">
      <c r="A11" s="8">
        <v>6</v>
      </c>
      <c r="B11" s="8" t="str">
        <f t="shared" si="0"/>
        <v>CYCLE COMPLETE</v>
      </c>
      <c r="C11" s="77"/>
      <c r="D11" s="6" t="str">
        <f t="shared" si="1"/>
        <v>RO_Data[5].ACK_DESC[</v>
      </c>
      <c r="E11" s="23">
        <f t="shared" si="13"/>
        <v>6</v>
      </c>
      <c r="F11" s="27" t="s">
        <v>22</v>
      </c>
      <c r="G11" s="161">
        <v>0</v>
      </c>
      <c r="H11" s="6" t="str">
        <f t="shared" si="2"/>
        <v>RO_Data[5].MIN[</v>
      </c>
      <c r="I11" s="23">
        <f t="shared" si="14"/>
        <v>6</v>
      </c>
      <c r="J11" s="27" t="s">
        <v>22</v>
      </c>
      <c r="K11" s="161">
        <v>0</v>
      </c>
      <c r="L11" s="6" t="str">
        <f t="shared" si="3"/>
        <v>RO_Data[5].SEC[</v>
      </c>
      <c r="M11" s="23">
        <f t="shared" si="15"/>
        <v>6</v>
      </c>
      <c r="N11" s="27" t="s">
        <v>22</v>
      </c>
      <c r="O11" s="165">
        <v>0</v>
      </c>
      <c r="P11" s="6" t="str">
        <f t="shared" si="4"/>
        <v>RO_Data[5].SETPOINT[</v>
      </c>
      <c r="Q11" s="23">
        <f t="shared" si="16"/>
        <v>6</v>
      </c>
      <c r="R11" s="27" t="s">
        <v>22</v>
      </c>
      <c r="S11" s="9" t="str">
        <f t="shared" si="5"/>
        <v/>
      </c>
      <c r="T11" s="18"/>
      <c r="U11" s="19"/>
      <c r="V11" s="19"/>
      <c r="W11" s="19"/>
      <c r="X11" s="19"/>
      <c r="Y11" s="58"/>
      <c r="Z11" s="58"/>
      <c r="AA11" s="58"/>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v>1</v>
      </c>
      <c r="AZ11" s="8">
        <f t="array" ref="AZ11">Bin2DecRange($T11:$AY11)</f>
        <v>1</v>
      </c>
      <c r="BA11" s="6" t="str">
        <f t="shared" si="6"/>
        <v>RO_Data[5].COND1[</v>
      </c>
      <c r="BB11" s="23">
        <f t="shared" si="17"/>
        <v>6</v>
      </c>
      <c r="BC11" s="27"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27"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27"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RO_Data[5].ACT1[</v>
      </c>
      <c r="FF11" s="23">
        <f t="shared" si="20"/>
        <v>6</v>
      </c>
      <c r="FG11" s="27"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27"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27" t="s">
        <v>22</v>
      </c>
      <c r="IB11" s="10" t="s">
        <v>223</v>
      </c>
      <c r="IC11" s="6" t="str">
        <f t="shared" si="12"/>
        <v>RO_Data[5].STEP_DESC[</v>
      </c>
      <c r="ID11" s="23">
        <f t="shared" si="23"/>
        <v>6</v>
      </c>
      <c r="IE11" s="27" t="s">
        <v>22</v>
      </c>
    </row>
    <row r="12" spans="1:239" x14ac:dyDescent="0.25">
      <c r="A12" s="8">
        <v>7</v>
      </c>
      <c r="B12" s="8" t="str">
        <f t="shared" si="0"/>
        <v/>
      </c>
      <c r="C12" s="77"/>
      <c r="D12" s="6" t="str">
        <f t="shared" si="1"/>
        <v>RO_Data[5].ACK_DESC[</v>
      </c>
      <c r="E12" s="23">
        <f t="shared" si="13"/>
        <v>7</v>
      </c>
      <c r="F12" s="27" t="s">
        <v>22</v>
      </c>
      <c r="G12" s="161">
        <v>0</v>
      </c>
      <c r="H12" s="6" t="str">
        <f t="shared" si="2"/>
        <v>RO_Data[5].MIN[</v>
      </c>
      <c r="I12" s="23">
        <f t="shared" si="14"/>
        <v>7</v>
      </c>
      <c r="J12" s="27" t="s">
        <v>22</v>
      </c>
      <c r="K12" s="161">
        <v>0</v>
      </c>
      <c r="L12" s="6" t="str">
        <f t="shared" si="3"/>
        <v>RO_Data[5].SEC[</v>
      </c>
      <c r="M12" s="23">
        <f t="shared" si="15"/>
        <v>7</v>
      </c>
      <c r="N12" s="27" t="s">
        <v>22</v>
      </c>
      <c r="O12" s="165">
        <v>0</v>
      </c>
      <c r="P12" s="6" t="str">
        <f t="shared" si="4"/>
        <v>RO_Data[5].SETPOINT[</v>
      </c>
      <c r="Q12" s="23">
        <f t="shared" si="16"/>
        <v>7</v>
      </c>
      <c r="R12" s="27" t="s">
        <v>22</v>
      </c>
      <c r="S12" s="9" t="str">
        <f t="shared" si="5"/>
        <v/>
      </c>
      <c r="T12" s="18"/>
      <c r="U12" s="19"/>
      <c r="V12" s="19"/>
      <c r="W12" s="19"/>
      <c r="X12" s="19"/>
      <c r="Y12" s="58"/>
      <c r="Z12" s="58"/>
      <c r="AA12" s="58"/>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RO_Data[5].COND1[</v>
      </c>
      <c r="BB12" s="23">
        <f t="shared" si="17"/>
        <v>7</v>
      </c>
      <c r="BC12" s="27"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27"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27"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RO_Data[5].ACT1[</v>
      </c>
      <c r="FF12" s="23">
        <f t="shared" si="20"/>
        <v>7</v>
      </c>
      <c r="FG12" s="27"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27"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27" t="s">
        <v>22</v>
      </c>
      <c r="IB12" s="10"/>
      <c r="IC12" s="6" t="str">
        <f t="shared" si="12"/>
        <v>RO_Data[5].STEP_DESC[</v>
      </c>
      <c r="ID12" s="23">
        <f t="shared" si="23"/>
        <v>7</v>
      </c>
      <c r="IE12" s="27" t="s">
        <v>22</v>
      </c>
    </row>
    <row r="13" spans="1:239" s="70" customFormat="1" x14ac:dyDescent="0.25">
      <c r="A13" s="61">
        <v>8</v>
      </c>
      <c r="B13" s="61" t="str">
        <f t="shared" si="0"/>
        <v/>
      </c>
      <c r="C13" s="78"/>
      <c r="D13" s="63" t="str">
        <f t="shared" si="1"/>
        <v>RO_Data[5].ACK_DESC[</v>
      </c>
      <c r="E13" s="64">
        <f t="shared" si="13"/>
        <v>8</v>
      </c>
      <c r="F13" s="65" t="s">
        <v>22</v>
      </c>
      <c r="G13" s="162">
        <v>0</v>
      </c>
      <c r="H13" s="63" t="str">
        <f t="shared" si="2"/>
        <v>RO_Data[5].MIN[</v>
      </c>
      <c r="I13" s="64">
        <f t="shared" si="14"/>
        <v>8</v>
      </c>
      <c r="J13" s="65" t="s">
        <v>22</v>
      </c>
      <c r="K13" s="161">
        <v>0</v>
      </c>
      <c r="L13" s="63" t="str">
        <f t="shared" si="3"/>
        <v>RO_Data[5].SEC[</v>
      </c>
      <c r="M13" s="64">
        <f t="shared" si="15"/>
        <v>8</v>
      </c>
      <c r="N13" s="65" t="s">
        <v>22</v>
      </c>
      <c r="O13" s="166">
        <v>0</v>
      </c>
      <c r="P13" s="63" t="str">
        <f t="shared" si="4"/>
        <v>RO_Data[5].SETPOINT[</v>
      </c>
      <c r="Q13" s="64">
        <f t="shared" si="16"/>
        <v>8</v>
      </c>
      <c r="R13" s="65" t="s">
        <v>22</v>
      </c>
      <c r="S13" s="66" t="str">
        <f t="shared" si="5"/>
        <v/>
      </c>
      <c r="T13" s="67"/>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68"/>
      <c r="AZ13" s="61">
        <f t="array" ref="AZ13">Bin2DecRange($T13:$AY13)</f>
        <v>0</v>
      </c>
      <c r="BA13" s="63" t="str">
        <f t="shared" si="6"/>
        <v>RO_Data[5].COND1[</v>
      </c>
      <c r="BB13" s="64">
        <f t="shared" si="17"/>
        <v>8</v>
      </c>
      <c r="BC13" s="65" t="s">
        <v>22</v>
      </c>
      <c r="BD13" s="67"/>
      <c r="BE13" s="58"/>
      <c r="BF13" s="58"/>
      <c r="BG13" s="58"/>
      <c r="BH13" s="58"/>
      <c r="BI13" s="58"/>
      <c r="BJ13" s="58"/>
      <c r="BK13" s="58"/>
      <c r="BL13" s="58"/>
      <c r="BM13" s="58"/>
      <c r="BN13" s="58"/>
      <c r="BO13" s="58"/>
      <c r="BP13" s="58"/>
      <c r="BQ13" s="58"/>
      <c r="BR13" s="58"/>
      <c r="BS13" s="58"/>
      <c r="BT13" s="58"/>
      <c r="BU13" s="58"/>
      <c r="BV13" s="58"/>
      <c r="BW13" s="58"/>
      <c r="BX13" s="58"/>
      <c r="BY13" s="58"/>
      <c r="BZ13" s="58"/>
      <c r="CA13" s="58"/>
      <c r="CB13" s="58"/>
      <c r="CC13" s="58"/>
      <c r="CD13" s="58"/>
      <c r="CE13" s="58"/>
      <c r="CF13" s="58"/>
      <c r="CG13" s="58"/>
      <c r="CH13" s="58"/>
      <c r="CI13" s="68"/>
      <c r="CJ13" s="61" cm="1">
        <f t="array" ref="CJ13">Bin2DecRange($BD13:$CI13)</f>
        <v>0</v>
      </c>
      <c r="CK13" s="63" t="str">
        <f t="shared" si="7"/>
        <v>RO_Data[5].COND2[</v>
      </c>
      <c r="CL13" s="64">
        <f t="shared" si="18"/>
        <v>8</v>
      </c>
      <c r="CM13" s="65" t="s">
        <v>22</v>
      </c>
      <c r="CN13" s="67"/>
      <c r="CO13" s="58"/>
      <c r="CP13" s="58"/>
      <c r="CQ13" s="58"/>
      <c r="CR13" s="58"/>
      <c r="CS13" s="58"/>
      <c r="CT13" s="58"/>
      <c r="CU13" s="58"/>
      <c r="CV13" s="58"/>
      <c r="CW13" s="58"/>
      <c r="CX13" s="58"/>
      <c r="CY13" s="58"/>
      <c r="CZ13" s="58"/>
      <c r="DA13" s="58"/>
      <c r="DB13" s="58"/>
      <c r="DC13" s="58"/>
      <c r="DD13" s="58"/>
      <c r="DE13" s="58"/>
      <c r="DF13" s="58"/>
      <c r="DG13" s="58"/>
      <c r="DH13" s="58"/>
      <c r="DI13" s="58"/>
      <c r="DJ13" s="58"/>
      <c r="DK13" s="58"/>
      <c r="DL13" s="58"/>
      <c r="DM13" s="58"/>
      <c r="DN13" s="58"/>
      <c r="DO13" s="58"/>
      <c r="DP13" s="58"/>
      <c r="DQ13" s="58"/>
      <c r="DR13" s="58"/>
      <c r="DS13" s="68"/>
      <c r="DT13" s="61" cm="1">
        <f t="array" ref="DT13">Bin2DecRange($CN13:$DS13)</f>
        <v>0</v>
      </c>
      <c r="DU13" s="63" t="str">
        <f t="shared" si="8"/>
        <v>RO_Data[5].COND3[</v>
      </c>
      <c r="DV13" s="64">
        <f t="shared" si="19"/>
        <v>8</v>
      </c>
      <c r="DW13" s="65" t="s">
        <v>22</v>
      </c>
      <c r="DX13" s="69"/>
      <c r="DY13" s="58"/>
      <c r="DZ13" s="58"/>
      <c r="EA13" s="58"/>
      <c r="EB13" s="58"/>
      <c r="EC13" s="58"/>
      <c r="ED13" s="58"/>
      <c r="EE13" s="58"/>
      <c r="EF13" s="58"/>
      <c r="EG13" s="58"/>
      <c r="EH13" s="58"/>
      <c r="EI13" s="58"/>
      <c r="EJ13" s="58"/>
      <c r="EK13" s="58"/>
      <c r="EL13" s="58"/>
      <c r="EM13" s="58"/>
      <c r="EN13" s="58"/>
      <c r="EO13" s="58"/>
      <c r="EP13" s="58"/>
      <c r="EQ13" s="58"/>
      <c r="ER13" s="58"/>
      <c r="ES13" s="58"/>
      <c r="ET13" s="58"/>
      <c r="EU13" s="58"/>
      <c r="EV13" s="58"/>
      <c r="EW13" s="58"/>
      <c r="EX13" s="58"/>
      <c r="EY13" s="58"/>
      <c r="EZ13" s="58"/>
      <c r="FA13" s="58"/>
      <c r="FB13" s="58"/>
      <c r="FC13" s="68"/>
      <c r="FD13" s="61">
        <f t="array" ref="FD13">Bin2DecRange($DX13:$FC13)</f>
        <v>0</v>
      </c>
      <c r="FE13" s="63" t="str">
        <f t="shared" si="9"/>
        <v>RO_Data[5].ACT1[</v>
      </c>
      <c r="FF13" s="64">
        <f t="shared" si="20"/>
        <v>8</v>
      </c>
      <c r="FG13" s="65" t="s">
        <v>22</v>
      </c>
      <c r="FH13" s="69"/>
      <c r="FI13" s="58"/>
      <c r="FJ13" s="58"/>
      <c r="FK13" s="58"/>
      <c r="FL13" s="58"/>
      <c r="FM13" s="58"/>
      <c r="FN13" s="58"/>
      <c r="FO13" s="58"/>
      <c r="FP13" s="58"/>
      <c r="FQ13" s="58"/>
      <c r="FR13" s="58"/>
      <c r="FS13" s="58"/>
      <c r="FT13" s="58"/>
      <c r="FU13" s="58"/>
      <c r="FV13" s="58"/>
      <c r="FW13" s="58"/>
      <c r="FX13" s="58"/>
      <c r="FY13" s="58"/>
      <c r="FZ13" s="58"/>
      <c r="GA13" s="58"/>
      <c r="GB13" s="58"/>
      <c r="GC13" s="58"/>
      <c r="GD13" s="58"/>
      <c r="GE13" s="58"/>
      <c r="GF13" s="58"/>
      <c r="GG13" s="58"/>
      <c r="GH13" s="58"/>
      <c r="GI13" s="58"/>
      <c r="GJ13" s="58"/>
      <c r="GK13" s="58"/>
      <c r="GL13" s="58"/>
      <c r="GM13" s="68"/>
      <c r="GN13" s="61" cm="1">
        <f t="array" ref="GN13">Bin2DecRange($FH13:$GM13)</f>
        <v>0</v>
      </c>
      <c r="GO13" s="63" t="str">
        <f t="shared" si="10"/>
        <v>RO_Data[5].ACT5[</v>
      </c>
      <c r="GP13" s="64">
        <f t="shared" si="21"/>
        <v>8</v>
      </c>
      <c r="GQ13" s="65" t="s">
        <v>22</v>
      </c>
      <c r="GR13" s="69"/>
      <c r="GS13" s="58"/>
      <c r="GT13" s="58"/>
      <c r="GU13" s="58"/>
      <c r="GV13" s="58"/>
      <c r="GW13" s="58"/>
      <c r="GX13" s="58"/>
      <c r="GY13" s="58"/>
      <c r="GZ13" s="58"/>
      <c r="HA13" s="58"/>
      <c r="HB13" s="58"/>
      <c r="HC13" s="58"/>
      <c r="HD13" s="58"/>
      <c r="HE13" s="58"/>
      <c r="HF13" s="58"/>
      <c r="HG13" s="58"/>
      <c r="HH13" s="58"/>
      <c r="HI13" s="58"/>
      <c r="HJ13" s="58"/>
      <c r="HK13" s="58"/>
      <c r="HL13" s="58"/>
      <c r="HM13" s="58"/>
      <c r="HN13" s="58"/>
      <c r="HO13" s="58"/>
      <c r="HP13" s="58"/>
      <c r="HQ13" s="58"/>
      <c r="HR13" s="58"/>
      <c r="HS13" s="58"/>
      <c r="HT13" s="58"/>
      <c r="HU13" s="58"/>
      <c r="HV13" s="58"/>
      <c r="HW13" s="68"/>
      <c r="HX13" s="61" cm="1">
        <f t="array" ref="HX13">Bin2DecRange($GR13:$HW13)</f>
        <v>0</v>
      </c>
      <c r="HY13" s="63" t="str">
        <f t="shared" si="11"/>
        <v>RO_Data[5].ACT6[</v>
      </c>
      <c r="HZ13" s="64">
        <f t="shared" si="22"/>
        <v>8</v>
      </c>
      <c r="IA13" s="65" t="s">
        <v>22</v>
      </c>
      <c r="IB13" s="62"/>
      <c r="IC13" s="63" t="str">
        <f t="shared" si="12"/>
        <v>RO_Data[5].STEP_DESC[</v>
      </c>
      <c r="ID13" s="64">
        <f t="shared" si="23"/>
        <v>8</v>
      </c>
      <c r="IE13" s="65" t="s">
        <v>22</v>
      </c>
    </row>
    <row r="14" spans="1:239" s="70" customFormat="1" x14ac:dyDescent="0.25">
      <c r="A14" s="61">
        <v>9</v>
      </c>
      <c r="B14" s="61" t="str">
        <f t="shared" si="0"/>
        <v/>
      </c>
      <c r="C14" s="78"/>
      <c r="D14" s="63" t="str">
        <f t="shared" si="1"/>
        <v>RO_Data[5].ACK_DESC[</v>
      </c>
      <c r="E14" s="64">
        <f t="shared" si="13"/>
        <v>9</v>
      </c>
      <c r="F14" s="65" t="s">
        <v>22</v>
      </c>
      <c r="G14" s="162">
        <v>0</v>
      </c>
      <c r="H14" s="63" t="str">
        <f t="shared" si="2"/>
        <v>RO_Data[5].MIN[</v>
      </c>
      <c r="I14" s="64">
        <f t="shared" si="14"/>
        <v>9</v>
      </c>
      <c r="J14" s="65" t="s">
        <v>22</v>
      </c>
      <c r="K14" s="161">
        <v>0</v>
      </c>
      <c r="L14" s="63" t="str">
        <f t="shared" si="3"/>
        <v>RO_Data[5].SEC[</v>
      </c>
      <c r="M14" s="64">
        <f t="shared" si="15"/>
        <v>9</v>
      </c>
      <c r="N14" s="65" t="s">
        <v>22</v>
      </c>
      <c r="O14" s="166">
        <v>0</v>
      </c>
      <c r="P14" s="63" t="str">
        <f t="shared" si="4"/>
        <v>RO_Data[5].SETPOINT[</v>
      </c>
      <c r="Q14" s="64">
        <f t="shared" si="16"/>
        <v>9</v>
      </c>
      <c r="R14" s="65" t="s">
        <v>22</v>
      </c>
      <c r="S14" s="66" t="str">
        <f t="shared" si="5"/>
        <v/>
      </c>
      <c r="T14" s="67"/>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68"/>
      <c r="AZ14" s="61">
        <f t="array" ref="AZ14">Bin2DecRange($T14:$AY14)</f>
        <v>0</v>
      </c>
      <c r="BA14" s="63" t="str">
        <f t="shared" si="6"/>
        <v>RO_Data[5].COND1[</v>
      </c>
      <c r="BB14" s="64">
        <f t="shared" si="17"/>
        <v>9</v>
      </c>
      <c r="BC14" s="65" t="s">
        <v>22</v>
      </c>
      <c r="BD14" s="67"/>
      <c r="BE14" s="58"/>
      <c r="BF14" s="58"/>
      <c r="BG14" s="58"/>
      <c r="BH14" s="58"/>
      <c r="BI14" s="58"/>
      <c r="BJ14" s="58"/>
      <c r="BK14" s="58"/>
      <c r="BL14" s="58"/>
      <c r="BM14" s="58"/>
      <c r="BN14" s="58"/>
      <c r="BO14" s="58"/>
      <c r="BP14" s="58"/>
      <c r="BQ14" s="58"/>
      <c r="BR14" s="58"/>
      <c r="BS14" s="58"/>
      <c r="BT14" s="58"/>
      <c r="BU14" s="58"/>
      <c r="BV14" s="58"/>
      <c r="BW14" s="58"/>
      <c r="BX14" s="58"/>
      <c r="BY14" s="58"/>
      <c r="BZ14" s="58"/>
      <c r="CA14" s="58"/>
      <c r="CB14" s="58"/>
      <c r="CC14" s="58"/>
      <c r="CD14" s="58"/>
      <c r="CE14" s="58"/>
      <c r="CF14" s="58"/>
      <c r="CG14" s="58"/>
      <c r="CH14" s="58"/>
      <c r="CI14" s="68"/>
      <c r="CJ14" s="61" cm="1">
        <f t="array" ref="CJ14">Bin2DecRange($BD14:$CI14)</f>
        <v>0</v>
      </c>
      <c r="CK14" s="63" t="str">
        <f t="shared" si="7"/>
        <v>RO_Data[5].COND2[</v>
      </c>
      <c r="CL14" s="64">
        <f t="shared" si="18"/>
        <v>9</v>
      </c>
      <c r="CM14" s="65" t="s">
        <v>22</v>
      </c>
      <c r="CN14" s="67"/>
      <c r="CO14" s="58"/>
      <c r="CP14" s="58"/>
      <c r="CQ14" s="58"/>
      <c r="CR14" s="58"/>
      <c r="CS14" s="58"/>
      <c r="CT14" s="58"/>
      <c r="CU14" s="58"/>
      <c r="CV14" s="58"/>
      <c r="CW14" s="58"/>
      <c r="CX14" s="58"/>
      <c r="CY14" s="58"/>
      <c r="CZ14" s="58"/>
      <c r="DA14" s="58"/>
      <c r="DB14" s="58"/>
      <c r="DC14" s="58"/>
      <c r="DD14" s="58"/>
      <c r="DE14" s="58"/>
      <c r="DF14" s="58"/>
      <c r="DG14" s="58"/>
      <c r="DH14" s="58"/>
      <c r="DI14" s="58"/>
      <c r="DJ14" s="58"/>
      <c r="DK14" s="58"/>
      <c r="DL14" s="58"/>
      <c r="DM14" s="58"/>
      <c r="DN14" s="58"/>
      <c r="DO14" s="58"/>
      <c r="DP14" s="58"/>
      <c r="DQ14" s="58"/>
      <c r="DR14" s="58"/>
      <c r="DS14" s="68"/>
      <c r="DT14" s="61" cm="1">
        <f t="array" ref="DT14">Bin2DecRange($CN14:$DS14)</f>
        <v>0</v>
      </c>
      <c r="DU14" s="63" t="str">
        <f t="shared" si="8"/>
        <v>RO_Data[5].COND3[</v>
      </c>
      <c r="DV14" s="64">
        <f t="shared" si="19"/>
        <v>9</v>
      </c>
      <c r="DW14" s="65" t="s">
        <v>22</v>
      </c>
      <c r="DX14" s="69"/>
      <c r="DY14" s="58"/>
      <c r="DZ14" s="58"/>
      <c r="EA14" s="58"/>
      <c r="EB14" s="58"/>
      <c r="EC14" s="58"/>
      <c r="ED14" s="58"/>
      <c r="EE14" s="58"/>
      <c r="EF14" s="58"/>
      <c r="EG14" s="58"/>
      <c r="EH14" s="58"/>
      <c r="EI14" s="58"/>
      <c r="EJ14" s="58"/>
      <c r="EK14" s="58"/>
      <c r="EL14" s="58"/>
      <c r="EM14" s="58"/>
      <c r="EN14" s="58"/>
      <c r="EO14" s="58"/>
      <c r="EP14" s="58"/>
      <c r="EQ14" s="58"/>
      <c r="ER14" s="58"/>
      <c r="ES14" s="58"/>
      <c r="ET14" s="58"/>
      <c r="EU14" s="58"/>
      <c r="EV14" s="58"/>
      <c r="EW14" s="58"/>
      <c r="EX14" s="58"/>
      <c r="EY14" s="58"/>
      <c r="EZ14" s="58"/>
      <c r="FA14" s="58"/>
      <c r="FB14" s="58"/>
      <c r="FC14" s="68"/>
      <c r="FD14" s="61">
        <f t="array" ref="FD14">Bin2DecRange($DX14:$FC14)</f>
        <v>0</v>
      </c>
      <c r="FE14" s="63" t="str">
        <f t="shared" si="9"/>
        <v>RO_Data[5].ACT1[</v>
      </c>
      <c r="FF14" s="64">
        <f t="shared" si="20"/>
        <v>9</v>
      </c>
      <c r="FG14" s="65" t="s">
        <v>22</v>
      </c>
      <c r="FH14" s="69"/>
      <c r="FI14" s="58"/>
      <c r="FJ14" s="58"/>
      <c r="FK14" s="58"/>
      <c r="FL14" s="58"/>
      <c r="FM14" s="58"/>
      <c r="FN14" s="58"/>
      <c r="FO14" s="58"/>
      <c r="FP14" s="58"/>
      <c r="FQ14" s="58"/>
      <c r="FR14" s="58"/>
      <c r="FS14" s="58"/>
      <c r="FT14" s="58"/>
      <c r="FU14" s="58"/>
      <c r="FV14" s="58"/>
      <c r="FW14" s="58"/>
      <c r="FX14" s="58"/>
      <c r="FY14" s="58"/>
      <c r="FZ14" s="58"/>
      <c r="GA14" s="58"/>
      <c r="GB14" s="58"/>
      <c r="GC14" s="58"/>
      <c r="GD14" s="58"/>
      <c r="GE14" s="58"/>
      <c r="GF14" s="58"/>
      <c r="GG14" s="58"/>
      <c r="GH14" s="58"/>
      <c r="GI14" s="58"/>
      <c r="GJ14" s="58"/>
      <c r="GK14" s="58"/>
      <c r="GL14" s="58"/>
      <c r="GM14" s="68"/>
      <c r="GN14" s="61" cm="1">
        <f t="array" ref="GN14">Bin2DecRange($FH14:$GM14)</f>
        <v>0</v>
      </c>
      <c r="GO14" s="63" t="str">
        <f t="shared" si="10"/>
        <v>RO_Data[5].ACT5[</v>
      </c>
      <c r="GP14" s="64">
        <f t="shared" si="21"/>
        <v>9</v>
      </c>
      <c r="GQ14" s="65" t="s">
        <v>22</v>
      </c>
      <c r="GR14" s="69"/>
      <c r="GS14" s="58"/>
      <c r="GT14" s="58"/>
      <c r="GU14" s="58"/>
      <c r="GV14" s="58"/>
      <c r="GW14" s="58"/>
      <c r="GX14" s="58"/>
      <c r="GY14" s="58"/>
      <c r="GZ14" s="58"/>
      <c r="HA14" s="58"/>
      <c r="HB14" s="58"/>
      <c r="HC14" s="58"/>
      <c r="HD14" s="58"/>
      <c r="HE14" s="58"/>
      <c r="HF14" s="58"/>
      <c r="HG14" s="58"/>
      <c r="HH14" s="58"/>
      <c r="HI14" s="58"/>
      <c r="HJ14" s="58"/>
      <c r="HK14" s="58"/>
      <c r="HL14" s="58"/>
      <c r="HM14" s="58"/>
      <c r="HN14" s="58"/>
      <c r="HO14" s="58"/>
      <c r="HP14" s="58"/>
      <c r="HQ14" s="58"/>
      <c r="HR14" s="58"/>
      <c r="HS14" s="58"/>
      <c r="HT14" s="58"/>
      <c r="HU14" s="58"/>
      <c r="HV14" s="58"/>
      <c r="HW14" s="68"/>
      <c r="HX14" s="61" cm="1">
        <f t="array" ref="HX14">Bin2DecRange($GR14:$HW14)</f>
        <v>0</v>
      </c>
      <c r="HY14" s="63" t="str">
        <f t="shared" si="11"/>
        <v>RO_Data[5].ACT6[</v>
      </c>
      <c r="HZ14" s="64">
        <f t="shared" si="22"/>
        <v>9</v>
      </c>
      <c r="IA14" s="65" t="s">
        <v>22</v>
      </c>
      <c r="IB14" s="62"/>
      <c r="IC14" s="63" t="str">
        <f t="shared" si="12"/>
        <v>RO_Data[5].STEP_DESC[</v>
      </c>
      <c r="ID14" s="64">
        <f t="shared" si="23"/>
        <v>9</v>
      </c>
      <c r="IE14" s="65" t="s">
        <v>22</v>
      </c>
    </row>
    <row r="15" spans="1:239" s="70" customFormat="1" x14ac:dyDescent="0.25">
      <c r="A15" s="61">
        <v>10</v>
      </c>
      <c r="B15" s="61" t="str">
        <f t="shared" si="0"/>
        <v/>
      </c>
      <c r="C15" s="78"/>
      <c r="D15" s="63" t="str">
        <f t="shared" si="1"/>
        <v>RO_Data[5].ACK_DESC[</v>
      </c>
      <c r="E15" s="64">
        <f t="shared" si="13"/>
        <v>10</v>
      </c>
      <c r="F15" s="65" t="s">
        <v>22</v>
      </c>
      <c r="G15" s="162">
        <v>0</v>
      </c>
      <c r="H15" s="63" t="str">
        <f t="shared" si="2"/>
        <v>RO_Data[5].MIN[</v>
      </c>
      <c r="I15" s="64">
        <f t="shared" si="14"/>
        <v>10</v>
      </c>
      <c r="J15" s="65" t="s">
        <v>22</v>
      </c>
      <c r="K15" s="161">
        <v>0</v>
      </c>
      <c r="L15" s="63" t="str">
        <f t="shared" si="3"/>
        <v>RO_Data[5].SEC[</v>
      </c>
      <c r="M15" s="64">
        <f t="shared" si="15"/>
        <v>10</v>
      </c>
      <c r="N15" s="65" t="s">
        <v>22</v>
      </c>
      <c r="O15" s="166">
        <v>0</v>
      </c>
      <c r="P15" s="63" t="str">
        <f t="shared" si="4"/>
        <v>RO_Data[5].SETPOINT[</v>
      </c>
      <c r="Q15" s="64">
        <f t="shared" si="16"/>
        <v>10</v>
      </c>
      <c r="R15" s="65" t="s">
        <v>22</v>
      </c>
      <c r="S15" s="66" t="str">
        <f t="shared" si="5"/>
        <v/>
      </c>
      <c r="T15" s="67"/>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68"/>
      <c r="AZ15" s="61">
        <f t="array" ref="AZ15">Bin2DecRange($T15:$AY15)</f>
        <v>0</v>
      </c>
      <c r="BA15" s="63" t="str">
        <f t="shared" si="6"/>
        <v>RO_Data[5].COND1[</v>
      </c>
      <c r="BB15" s="64">
        <f t="shared" si="17"/>
        <v>10</v>
      </c>
      <c r="BC15" s="65" t="s">
        <v>22</v>
      </c>
      <c r="BD15" s="67"/>
      <c r="BE15" s="58"/>
      <c r="BF15" s="58"/>
      <c r="BG15" s="58"/>
      <c r="BH15" s="58"/>
      <c r="BI15" s="58"/>
      <c r="BJ15" s="58"/>
      <c r="BK15" s="58"/>
      <c r="BL15" s="58"/>
      <c r="BM15" s="58"/>
      <c r="BN15" s="58"/>
      <c r="BO15" s="58"/>
      <c r="BP15" s="58"/>
      <c r="BQ15" s="58"/>
      <c r="BR15" s="58"/>
      <c r="BS15" s="58"/>
      <c r="BT15" s="58"/>
      <c r="BU15" s="58"/>
      <c r="BV15" s="58"/>
      <c r="BW15" s="58"/>
      <c r="BX15" s="58"/>
      <c r="BY15" s="58"/>
      <c r="BZ15" s="58"/>
      <c r="CA15" s="58"/>
      <c r="CB15" s="58"/>
      <c r="CC15" s="58"/>
      <c r="CD15" s="58"/>
      <c r="CE15" s="58"/>
      <c r="CF15" s="58"/>
      <c r="CG15" s="58"/>
      <c r="CH15" s="58"/>
      <c r="CI15" s="68"/>
      <c r="CJ15" s="61" cm="1">
        <f t="array" ref="CJ15">Bin2DecRange($BD15:$CI15)</f>
        <v>0</v>
      </c>
      <c r="CK15" s="63" t="str">
        <f t="shared" si="7"/>
        <v>RO_Data[5].COND2[</v>
      </c>
      <c r="CL15" s="64">
        <f t="shared" si="18"/>
        <v>10</v>
      </c>
      <c r="CM15" s="65" t="s">
        <v>22</v>
      </c>
      <c r="CN15" s="67"/>
      <c r="CO15" s="58"/>
      <c r="CP15" s="58"/>
      <c r="CQ15" s="58"/>
      <c r="CR15" s="58"/>
      <c r="CS15" s="58"/>
      <c r="CT15" s="58"/>
      <c r="CU15" s="58"/>
      <c r="CV15" s="58"/>
      <c r="CW15" s="58"/>
      <c r="CX15" s="58"/>
      <c r="CY15" s="58"/>
      <c r="CZ15" s="58"/>
      <c r="DA15" s="58"/>
      <c r="DB15" s="58"/>
      <c r="DC15" s="58"/>
      <c r="DD15" s="58"/>
      <c r="DE15" s="58"/>
      <c r="DF15" s="58"/>
      <c r="DG15" s="58"/>
      <c r="DH15" s="58"/>
      <c r="DI15" s="58"/>
      <c r="DJ15" s="58"/>
      <c r="DK15" s="58"/>
      <c r="DL15" s="58"/>
      <c r="DM15" s="58"/>
      <c r="DN15" s="58"/>
      <c r="DO15" s="58"/>
      <c r="DP15" s="58"/>
      <c r="DQ15" s="58"/>
      <c r="DR15" s="58"/>
      <c r="DS15" s="68"/>
      <c r="DT15" s="61" cm="1">
        <f t="array" ref="DT15">Bin2DecRange($CN15:$DS15)</f>
        <v>0</v>
      </c>
      <c r="DU15" s="63" t="str">
        <f t="shared" si="8"/>
        <v>RO_Data[5].COND3[</v>
      </c>
      <c r="DV15" s="64">
        <f t="shared" si="19"/>
        <v>10</v>
      </c>
      <c r="DW15" s="65" t="s">
        <v>22</v>
      </c>
      <c r="DX15" s="69"/>
      <c r="DY15" s="58"/>
      <c r="DZ15" s="58"/>
      <c r="EA15" s="58"/>
      <c r="EB15" s="58"/>
      <c r="EC15" s="58"/>
      <c r="ED15" s="58"/>
      <c r="EE15" s="58"/>
      <c r="EF15" s="58"/>
      <c r="EG15" s="58"/>
      <c r="EH15" s="58"/>
      <c r="EI15" s="58"/>
      <c r="EJ15" s="58"/>
      <c r="EK15" s="58"/>
      <c r="EL15" s="58"/>
      <c r="EM15" s="58"/>
      <c r="EN15" s="58"/>
      <c r="EO15" s="58"/>
      <c r="EP15" s="58"/>
      <c r="EQ15" s="58"/>
      <c r="ER15" s="58"/>
      <c r="ES15" s="58"/>
      <c r="ET15" s="58"/>
      <c r="EU15" s="58"/>
      <c r="EV15" s="58"/>
      <c r="EW15" s="58"/>
      <c r="EX15" s="58"/>
      <c r="EY15" s="58"/>
      <c r="EZ15" s="58"/>
      <c r="FA15" s="58"/>
      <c r="FB15" s="58"/>
      <c r="FC15" s="68"/>
      <c r="FD15" s="61">
        <f t="array" ref="FD15">Bin2DecRange($DX15:$FC15)</f>
        <v>0</v>
      </c>
      <c r="FE15" s="63" t="str">
        <f t="shared" si="9"/>
        <v>RO_Data[5].ACT1[</v>
      </c>
      <c r="FF15" s="64">
        <f t="shared" si="20"/>
        <v>10</v>
      </c>
      <c r="FG15" s="65" t="s">
        <v>22</v>
      </c>
      <c r="FH15" s="69"/>
      <c r="FI15" s="58"/>
      <c r="FJ15" s="58"/>
      <c r="FK15" s="58"/>
      <c r="FL15" s="58"/>
      <c r="FM15" s="58"/>
      <c r="FN15" s="58"/>
      <c r="FO15" s="58"/>
      <c r="FP15" s="58"/>
      <c r="FQ15" s="58"/>
      <c r="FR15" s="58"/>
      <c r="FS15" s="58"/>
      <c r="FT15" s="58"/>
      <c r="FU15" s="58"/>
      <c r="FV15" s="58"/>
      <c r="FW15" s="58"/>
      <c r="FX15" s="58"/>
      <c r="FY15" s="58"/>
      <c r="FZ15" s="58"/>
      <c r="GA15" s="58"/>
      <c r="GB15" s="58"/>
      <c r="GC15" s="58"/>
      <c r="GD15" s="58"/>
      <c r="GE15" s="58"/>
      <c r="GF15" s="58"/>
      <c r="GG15" s="58"/>
      <c r="GH15" s="58"/>
      <c r="GI15" s="58"/>
      <c r="GJ15" s="58"/>
      <c r="GK15" s="58"/>
      <c r="GL15" s="58"/>
      <c r="GM15" s="68"/>
      <c r="GN15" s="61" cm="1">
        <f t="array" ref="GN15">Bin2DecRange($FH15:$GM15)</f>
        <v>0</v>
      </c>
      <c r="GO15" s="63" t="str">
        <f t="shared" si="10"/>
        <v>RO_Data[5].ACT5[</v>
      </c>
      <c r="GP15" s="64">
        <f t="shared" si="21"/>
        <v>10</v>
      </c>
      <c r="GQ15" s="65" t="s">
        <v>22</v>
      </c>
      <c r="GR15" s="69"/>
      <c r="GS15" s="58"/>
      <c r="GT15" s="58"/>
      <c r="GU15" s="58"/>
      <c r="GV15" s="58"/>
      <c r="GW15" s="58"/>
      <c r="GX15" s="58"/>
      <c r="GY15" s="58"/>
      <c r="GZ15" s="58"/>
      <c r="HA15" s="58"/>
      <c r="HB15" s="58"/>
      <c r="HC15" s="58"/>
      <c r="HD15" s="58"/>
      <c r="HE15" s="58"/>
      <c r="HF15" s="58"/>
      <c r="HG15" s="58"/>
      <c r="HH15" s="58"/>
      <c r="HI15" s="58"/>
      <c r="HJ15" s="58"/>
      <c r="HK15" s="58"/>
      <c r="HL15" s="58"/>
      <c r="HM15" s="58"/>
      <c r="HN15" s="58"/>
      <c r="HO15" s="58"/>
      <c r="HP15" s="58"/>
      <c r="HQ15" s="58"/>
      <c r="HR15" s="58"/>
      <c r="HS15" s="58"/>
      <c r="HT15" s="58"/>
      <c r="HU15" s="58"/>
      <c r="HV15" s="58"/>
      <c r="HW15" s="68"/>
      <c r="HX15" s="61" cm="1">
        <f t="array" ref="HX15">Bin2DecRange($GR15:$HW15)</f>
        <v>0</v>
      </c>
      <c r="HY15" s="63" t="str">
        <f t="shared" si="11"/>
        <v>RO_Data[5].ACT6[</v>
      </c>
      <c r="HZ15" s="64">
        <f t="shared" si="22"/>
        <v>10</v>
      </c>
      <c r="IA15" s="65" t="s">
        <v>22</v>
      </c>
      <c r="IB15" s="62"/>
      <c r="IC15" s="63" t="str">
        <f t="shared" si="12"/>
        <v>RO_Data[5].STEP_DESC[</v>
      </c>
      <c r="ID15" s="64">
        <f t="shared" si="23"/>
        <v>10</v>
      </c>
      <c r="IE15" s="65" t="s">
        <v>22</v>
      </c>
    </row>
    <row r="16" spans="1:239" x14ac:dyDescent="0.25">
      <c r="A16" s="8">
        <v>11</v>
      </c>
      <c r="B16" s="8" t="str">
        <f t="shared" si="0"/>
        <v/>
      </c>
      <c r="C16" s="77"/>
      <c r="D16" s="6" t="str">
        <f t="shared" si="1"/>
        <v>RO_Data[5].ACK_DESC[</v>
      </c>
      <c r="E16" s="23">
        <f t="shared" si="13"/>
        <v>11</v>
      </c>
      <c r="F16" s="27" t="s">
        <v>22</v>
      </c>
      <c r="G16" s="161">
        <v>0</v>
      </c>
      <c r="H16" s="6" t="str">
        <f t="shared" si="2"/>
        <v>RO_Data[5].MIN[</v>
      </c>
      <c r="I16" s="23">
        <f t="shared" si="14"/>
        <v>11</v>
      </c>
      <c r="J16" s="27" t="s">
        <v>22</v>
      </c>
      <c r="K16" s="161">
        <v>0</v>
      </c>
      <c r="L16" s="6" t="str">
        <f t="shared" si="3"/>
        <v>RO_Data[5].SEC[</v>
      </c>
      <c r="M16" s="23">
        <f t="shared" si="15"/>
        <v>11</v>
      </c>
      <c r="N16" s="27" t="s">
        <v>22</v>
      </c>
      <c r="O16" s="165">
        <v>0</v>
      </c>
      <c r="P16" s="6" t="str">
        <f t="shared" si="4"/>
        <v>RO_Data[5].SETPOINT[</v>
      </c>
      <c r="Q16" s="23">
        <f t="shared" si="16"/>
        <v>11</v>
      </c>
      <c r="R16" s="27" t="s">
        <v>22</v>
      </c>
      <c r="S16" s="9" t="str">
        <f t="shared" si="5"/>
        <v/>
      </c>
      <c r="T16" s="18"/>
      <c r="U16" s="19"/>
      <c r="V16" s="19"/>
      <c r="W16" s="19"/>
      <c r="X16" s="19"/>
      <c r="Y16" s="58"/>
      <c r="Z16" s="58"/>
      <c r="AA16" s="58"/>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RO_Data[5].COND1[</v>
      </c>
      <c r="BB16" s="23">
        <f t="shared" si="17"/>
        <v>11</v>
      </c>
      <c r="BC16" s="27"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RO_Data[5].COND2[</v>
      </c>
      <c r="CL16" s="23">
        <f t="shared" si="18"/>
        <v>11</v>
      </c>
      <c r="CM16" s="27"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27"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RO_Data[5].ACT1[</v>
      </c>
      <c r="FF16" s="23">
        <f t="shared" si="20"/>
        <v>11</v>
      </c>
      <c r="FG16" s="27"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RO_Data[5].ACT5[</v>
      </c>
      <c r="GP16" s="23">
        <f t="shared" si="21"/>
        <v>11</v>
      </c>
      <c r="GQ16" s="27"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27" t="s">
        <v>22</v>
      </c>
      <c r="IB16" s="10"/>
      <c r="IC16" s="6" t="str">
        <f t="shared" si="12"/>
        <v>RO_Data[5].STEP_DESC[</v>
      </c>
      <c r="ID16" s="23">
        <f t="shared" si="23"/>
        <v>11</v>
      </c>
      <c r="IE16" s="27" t="s">
        <v>22</v>
      </c>
    </row>
    <row r="17" spans="1:239" x14ac:dyDescent="0.25">
      <c r="A17" s="8">
        <v>12</v>
      </c>
      <c r="B17" s="8" t="str">
        <f t="shared" si="0"/>
        <v/>
      </c>
      <c r="C17" s="77"/>
      <c r="D17" s="6" t="str">
        <f t="shared" si="1"/>
        <v>RO_Data[5].ACK_DESC[</v>
      </c>
      <c r="E17" s="23">
        <f t="shared" si="13"/>
        <v>12</v>
      </c>
      <c r="F17" s="27" t="s">
        <v>22</v>
      </c>
      <c r="G17" s="161">
        <v>0</v>
      </c>
      <c r="H17" s="6" t="str">
        <f t="shared" si="2"/>
        <v>RO_Data[5].MIN[</v>
      </c>
      <c r="I17" s="23">
        <f t="shared" si="14"/>
        <v>12</v>
      </c>
      <c r="J17" s="27" t="s">
        <v>22</v>
      </c>
      <c r="K17" s="161">
        <v>0</v>
      </c>
      <c r="L17" s="6" t="str">
        <f t="shared" si="3"/>
        <v>RO_Data[5].SEC[</v>
      </c>
      <c r="M17" s="23">
        <f t="shared" si="15"/>
        <v>12</v>
      </c>
      <c r="N17" s="27" t="s">
        <v>22</v>
      </c>
      <c r="O17" s="165">
        <v>0</v>
      </c>
      <c r="P17" s="6" t="str">
        <f t="shared" si="4"/>
        <v>RO_Data[5].SETPOINT[</v>
      </c>
      <c r="Q17" s="23">
        <f t="shared" si="16"/>
        <v>12</v>
      </c>
      <c r="R17" s="27" t="s">
        <v>22</v>
      </c>
      <c r="S17" s="9" t="str">
        <f t="shared" si="5"/>
        <v/>
      </c>
      <c r="T17" s="18"/>
      <c r="U17" s="19"/>
      <c r="V17" s="19"/>
      <c r="W17" s="19"/>
      <c r="X17" s="19"/>
      <c r="Y17" s="58"/>
      <c r="Z17" s="58"/>
      <c r="AA17" s="58"/>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RO_Data[5].COND1[</v>
      </c>
      <c r="BB17" s="23">
        <f t="shared" si="17"/>
        <v>12</v>
      </c>
      <c r="BC17" s="27"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RO_Data[5].COND2[</v>
      </c>
      <c r="CL17" s="23">
        <f t="shared" si="18"/>
        <v>12</v>
      </c>
      <c r="CM17" s="27"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RO_Data[5].COND3[</v>
      </c>
      <c r="DV17" s="23">
        <f t="shared" si="19"/>
        <v>12</v>
      </c>
      <c r="DW17" s="27"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RO_Data[5].ACT1[</v>
      </c>
      <c r="FF17" s="23">
        <f t="shared" si="20"/>
        <v>12</v>
      </c>
      <c r="FG17" s="27"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RO_Data[5].ACT5[</v>
      </c>
      <c r="GP17" s="23">
        <f t="shared" si="21"/>
        <v>12</v>
      </c>
      <c r="GQ17" s="27"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27" t="s">
        <v>22</v>
      </c>
      <c r="IB17" s="10"/>
      <c r="IC17" s="6" t="str">
        <f t="shared" si="12"/>
        <v>RO_Data[5].STEP_DESC[</v>
      </c>
      <c r="ID17" s="23">
        <f t="shared" si="23"/>
        <v>12</v>
      </c>
      <c r="IE17" s="27" t="s">
        <v>22</v>
      </c>
    </row>
    <row r="18" spans="1:239" x14ac:dyDescent="0.25">
      <c r="A18" s="8">
        <v>13</v>
      </c>
      <c r="B18" s="8" t="str">
        <f t="shared" si="0"/>
        <v/>
      </c>
      <c r="C18" s="77"/>
      <c r="D18" s="6" t="str">
        <f t="shared" si="1"/>
        <v>RO_Data[5].ACK_DESC[</v>
      </c>
      <c r="E18" s="23">
        <f t="shared" si="13"/>
        <v>13</v>
      </c>
      <c r="F18" s="27" t="s">
        <v>22</v>
      </c>
      <c r="G18" s="161">
        <v>0</v>
      </c>
      <c r="H18" s="6" t="str">
        <f t="shared" si="2"/>
        <v>RO_Data[5].MIN[</v>
      </c>
      <c r="I18" s="23">
        <f t="shared" si="14"/>
        <v>13</v>
      </c>
      <c r="J18" s="27" t="s">
        <v>22</v>
      </c>
      <c r="K18" s="161">
        <v>0</v>
      </c>
      <c r="L18" s="6" t="str">
        <f t="shared" si="3"/>
        <v>RO_Data[5].SEC[</v>
      </c>
      <c r="M18" s="23">
        <f t="shared" si="15"/>
        <v>13</v>
      </c>
      <c r="N18" s="27" t="s">
        <v>22</v>
      </c>
      <c r="O18" s="165">
        <v>0</v>
      </c>
      <c r="P18" s="6" t="str">
        <f t="shared" si="4"/>
        <v>RO_Data[5].SETPOINT[</v>
      </c>
      <c r="Q18" s="23">
        <f t="shared" si="16"/>
        <v>13</v>
      </c>
      <c r="R18" s="27" t="s">
        <v>22</v>
      </c>
      <c r="S18" s="9" t="str">
        <f t="shared" si="5"/>
        <v/>
      </c>
      <c r="T18" s="18"/>
      <c r="U18" s="19"/>
      <c r="V18" s="19"/>
      <c r="W18" s="19"/>
      <c r="X18" s="19"/>
      <c r="Y18" s="58"/>
      <c r="Z18" s="58"/>
      <c r="AA18" s="58"/>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RO_Data[5].COND1[</v>
      </c>
      <c r="BB18" s="23">
        <f t="shared" si="17"/>
        <v>13</v>
      </c>
      <c r="BC18" s="27"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RO_Data[5].COND2[</v>
      </c>
      <c r="CL18" s="23">
        <f t="shared" si="18"/>
        <v>13</v>
      </c>
      <c r="CM18" s="27"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RO_Data[5].COND3[</v>
      </c>
      <c r="DV18" s="23">
        <f t="shared" si="19"/>
        <v>13</v>
      </c>
      <c r="DW18" s="27"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RO_Data[5].ACT1[</v>
      </c>
      <c r="FF18" s="23">
        <f t="shared" si="20"/>
        <v>13</v>
      </c>
      <c r="FG18" s="27"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RO_Data[5].ACT5[</v>
      </c>
      <c r="GP18" s="23">
        <f t="shared" si="21"/>
        <v>13</v>
      </c>
      <c r="GQ18" s="27"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27" t="s">
        <v>22</v>
      </c>
      <c r="IB18" s="10"/>
      <c r="IC18" s="6" t="str">
        <f t="shared" si="12"/>
        <v>RO_Data[5].STEP_DESC[</v>
      </c>
      <c r="ID18" s="23">
        <f t="shared" si="23"/>
        <v>13</v>
      </c>
      <c r="IE18" s="27" t="s">
        <v>22</v>
      </c>
    </row>
    <row r="19" spans="1:239" x14ac:dyDescent="0.25">
      <c r="A19" s="8">
        <v>14</v>
      </c>
      <c r="B19" s="8" t="str">
        <f t="shared" si="0"/>
        <v/>
      </c>
      <c r="C19" s="77"/>
      <c r="D19" s="6" t="str">
        <f t="shared" si="1"/>
        <v>RO_Data[5].ACK_DESC[</v>
      </c>
      <c r="E19" s="23">
        <f t="shared" si="13"/>
        <v>14</v>
      </c>
      <c r="F19" s="27" t="s">
        <v>22</v>
      </c>
      <c r="G19" s="161">
        <v>0</v>
      </c>
      <c r="H19" s="6" t="str">
        <f t="shared" si="2"/>
        <v>RO_Data[5].MIN[</v>
      </c>
      <c r="I19" s="23">
        <f t="shared" si="14"/>
        <v>14</v>
      </c>
      <c r="J19" s="27" t="s">
        <v>22</v>
      </c>
      <c r="K19" s="161">
        <v>0</v>
      </c>
      <c r="L19" s="6" t="str">
        <f t="shared" si="3"/>
        <v>RO_Data[5].SEC[</v>
      </c>
      <c r="M19" s="23">
        <f t="shared" si="15"/>
        <v>14</v>
      </c>
      <c r="N19" s="27" t="s">
        <v>22</v>
      </c>
      <c r="O19" s="165">
        <v>0</v>
      </c>
      <c r="P19" s="6" t="str">
        <f t="shared" si="4"/>
        <v>RO_Data[5].SETPOINT[</v>
      </c>
      <c r="Q19" s="23">
        <f t="shared" si="16"/>
        <v>14</v>
      </c>
      <c r="R19" s="27" t="s">
        <v>22</v>
      </c>
      <c r="S19" s="9" t="str">
        <f t="shared" si="5"/>
        <v/>
      </c>
      <c r="T19" s="18"/>
      <c r="U19" s="19"/>
      <c r="V19" s="19"/>
      <c r="W19" s="19"/>
      <c r="X19" s="19"/>
      <c r="Y19" s="58"/>
      <c r="Z19" s="58"/>
      <c r="AA19" s="5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RO_Data[5].COND1[</v>
      </c>
      <c r="BB19" s="23">
        <f t="shared" si="17"/>
        <v>14</v>
      </c>
      <c r="BC19" s="27"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RO_Data[5].COND2[</v>
      </c>
      <c r="CL19" s="23">
        <f t="shared" si="18"/>
        <v>14</v>
      </c>
      <c r="CM19" s="27"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27"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RO_Data[5].ACT1[</v>
      </c>
      <c r="FF19" s="23">
        <f t="shared" si="20"/>
        <v>14</v>
      </c>
      <c r="FG19" s="27"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27"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27" t="s">
        <v>22</v>
      </c>
      <c r="IB19" s="10"/>
      <c r="IC19" s="6" t="str">
        <f t="shared" si="12"/>
        <v>RO_Data[5].STEP_DESC[</v>
      </c>
      <c r="ID19" s="23">
        <f t="shared" si="23"/>
        <v>14</v>
      </c>
      <c r="IE19" s="27" t="s">
        <v>22</v>
      </c>
    </row>
    <row r="20" spans="1:239" x14ac:dyDescent="0.25">
      <c r="A20" s="8">
        <v>15</v>
      </c>
      <c r="B20" s="8" t="str">
        <f t="shared" si="0"/>
        <v/>
      </c>
      <c r="C20" s="77"/>
      <c r="D20" s="6" t="str">
        <f t="shared" si="1"/>
        <v>RO_Data[5].ACK_DESC[</v>
      </c>
      <c r="E20" s="23">
        <f t="shared" si="13"/>
        <v>15</v>
      </c>
      <c r="F20" s="27" t="s">
        <v>22</v>
      </c>
      <c r="G20" s="161">
        <v>0</v>
      </c>
      <c r="H20" s="6" t="str">
        <f t="shared" si="2"/>
        <v>RO_Data[5].MIN[</v>
      </c>
      <c r="I20" s="23">
        <f t="shared" si="14"/>
        <v>15</v>
      </c>
      <c r="J20" s="27" t="s">
        <v>22</v>
      </c>
      <c r="K20" s="161">
        <v>0</v>
      </c>
      <c r="L20" s="6" t="str">
        <f t="shared" si="3"/>
        <v>RO_Data[5].SEC[</v>
      </c>
      <c r="M20" s="23">
        <f t="shared" si="15"/>
        <v>15</v>
      </c>
      <c r="N20" s="27" t="s">
        <v>22</v>
      </c>
      <c r="O20" s="165">
        <v>0</v>
      </c>
      <c r="P20" s="6" t="str">
        <f t="shared" si="4"/>
        <v>RO_Data[5].SETPOINT[</v>
      </c>
      <c r="Q20" s="23">
        <f t="shared" si="16"/>
        <v>15</v>
      </c>
      <c r="R20" s="27" t="s">
        <v>22</v>
      </c>
      <c r="S20" s="9" t="str">
        <f t="shared" si="5"/>
        <v/>
      </c>
      <c r="T20" s="18"/>
      <c r="U20" s="19"/>
      <c r="V20" s="19"/>
      <c r="W20" s="19"/>
      <c r="X20" s="19"/>
      <c r="Y20" s="58"/>
      <c r="Z20" s="58"/>
      <c r="AA20" s="58"/>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RO_Data[5].COND1[</v>
      </c>
      <c r="BB20" s="23">
        <f t="shared" si="17"/>
        <v>15</v>
      </c>
      <c r="BC20" s="27"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27"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27"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27"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27"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27" t="s">
        <v>22</v>
      </c>
      <c r="IB20" s="10"/>
      <c r="IC20" s="6" t="str">
        <f t="shared" si="12"/>
        <v>RO_Data[5].STEP_DESC[</v>
      </c>
      <c r="ID20" s="23">
        <f t="shared" si="23"/>
        <v>15</v>
      </c>
      <c r="IE20" s="27" t="s">
        <v>22</v>
      </c>
    </row>
    <row r="21" spans="1:239" x14ac:dyDescent="0.25">
      <c r="A21" s="8">
        <v>16</v>
      </c>
      <c r="B21" s="8" t="str">
        <f t="shared" si="0"/>
        <v/>
      </c>
      <c r="C21" s="77"/>
      <c r="D21" s="6" t="str">
        <f t="shared" si="1"/>
        <v>RO_Data[5].ACK_DESC[</v>
      </c>
      <c r="E21" s="23">
        <f t="shared" si="13"/>
        <v>16</v>
      </c>
      <c r="F21" s="27" t="s">
        <v>22</v>
      </c>
      <c r="G21" s="161">
        <v>0</v>
      </c>
      <c r="H21" s="6" t="str">
        <f t="shared" si="2"/>
        <v>RO_Data[5].MIN[</v>
      </c>
      <c r="I21" s="23">
        <f t="shared" si="14"/>
        <v>16</v>
      </c>
      <c r="J21" s="27" t="s">
        <v>22</v>
      </c>
      <c r="K21" s="161">
        <v>0</v>
      </c>
      <c r="L21" s="6" t="str">
        <f t="shared" si="3"/>
        <v>RO_Data[5].SEC[</v>
      </c>
      <c r="M21" s="23">
        <f t="shared" si="15"/>
        <v>16</v>
      </c>
      <c r="N21" s="27" t="s">
        <v>22</v>
      </c>
      <c r="O21" s="165">
        <v>0</v>
      </c>
      <c r="P21" s="6" t="str">
        <f t="shared" si="4"/>
        <v>RO_Data[5].SETPOINT[</v>
      </c>
      <c r="Q21" s="23">
        <f t="shared" si="16"/>
        <v>16</v>
      </c>
      <c r="R21" s="27" t="s">
        <v>22</v>
      </c>
      <c r="S21" s="9" t="str">
        <f t="shared" si="5"/>
        <v/>
      </c>
      <c r="T21" s="18"/>
      <c r="U21" s="19"/>
      <c r="V21" s="19"/>
      <c r="W21" s="19"/>
      <c r="X21" s="19"/>
      <c r="Y21" s="58"/>
      <c r="Z21" s="58"/>
      <c r="AA21" s="58"/>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27"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27"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27"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27"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27"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27" t="s">
        <v>22</v>
      </c>
      <c r="IB21" s="10"/>
      <c r="IC21" s="6" t="str">
        <f t="shared" si="12"/>
        <v>RO_Data[5].STEP_DESC[</v>
      </c>
      <c r="ID21" s="23">
        <f t="shared" si="23"/>
        <v>16</v>
      </c>
      <c r="IE21" s="27" t="s">
        <v>22</v>
      </c>
    </row>
    <row r="22" spans="1:239" x14ac:dyDescent="0.25">
      <c r="A22" s="8">
        <v>17</v>
      </c>
      <c r="B22" s="8" t="str">
        <f t="shared" si="0"/>
        <v/>
      </c>
      <c r="C22" s="77"/>
      <c r="D22" s="6" t="str">
        <f t="shared" si="1"/>
        <v>RO_Data[5].ACK_DESC[</v>
      </c>
      <c r="E22" s="23">
        <f t="shared" si="13"/>
        <v>17</v>
      </c>
      <c r="F22" s="27" t="s">
        <v>22</v>
      </c>
      <c r="G22" s="161">
        <v>0</v>
      </c>
      <c r="H22" s="6" t="str">
        <f t="shared" si="2"/>
        <v>RO_Data[5].MIN[</v>
      </c>
      <c r="I22" s="23">
        <f t="shared" si="14"/>
        <v>17</v>
      </c>
      <c r="J22" s="27" t="s">
        <v>22</v>
      </c>
      <c r="K22" s="161">
        <v>0</v>
      </c>
      <c r="L22" s="6" t="str">
        <f t="shared" si="3"/>
        <v>RO_Data[5].SEC[</v>
      </c>
      <c r="M22" s="23">
        <f t="shared" si="15"/>
        <v>17</v>
      </c>
      <c r="N22" s="27" t="s">
        <v>22</v>
      </c>
      <c r="O22" s="165">
        <v>0</v>
      </c>
      <c r="P22" s="6" t="str">
        <f t="shared" si="4"/>
        <v>RO_Data[5].SETPOINT[</v>
      </c>
      <c r="Q22" s="23">
        <f t="shared" si="16"/>
        <v>17</v>
      </c>
      <c r="R22" s="27" t="s">
        <v>22</v>
      </c>
      <c r="S22" s="9" t="str">
        <f t="shared" si="5"/>
        <v/>
      </c>
      <c r="T22" s="18"/>
      <c r="U22" s="19"/>
      <c r="V22" s="19"/>
      <c r="W22" s="19"/>
      <c r="X22" s="19"/>
      <c r="Y22" s="58"/>
      <c r="Z22" s="58"/>
      <c r="AA22" s="58"/>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27"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27"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27"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27"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27"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27" t="s">
        <v>22</v>
      </c>
      <c r="IB22" s="10"/>
      <c r="IC22" s="6" t="str">
        <f t="shared" si="12"/>
        <v>RO_Data[5].STEP_DESC[</v>
      </c>
      <c r="ID22" s="23">
        <f t="shared" si="23"/>
        <v>17</v>
      </c>
      <c r="IE22" s="27" t="s">
        <v>22</v>
      </c>
    </row>
    <row r="23" spans="1:239" x14ac:dyDescent="0.25">
      <c r="A23" s="8">
        <v>18</v>
      </c>
      <c r="B23" s="8" t="str">
        <f t="shared" si="0"/>
        <v/>
      </c>
      <c r="C23" s="77"/>
      <c r="D23" s="6" t="str">
        <f t="shared" si="1"/>
        <v>RO_Data[5].ACK_DESC[</v>
      </c>
      <c r="E23" s="23">
        <f t="shared" si="13"/>
        <v>18</v>
      </c>
      <c r="F23" s="27" t="s">
        <v>22</v>
      </c>
      <c r="G23" s="161">
        <v>0</v>
      </c>
      <c r="H23" s="6" t="str">
        <f t="shared" si="2"/>
        <v>RO_Data[5].MIN[</v>
      </c>
      <c r="I23" s="23">
        <f t="shared" si="14"/>
        <v>18</v>
      </c>
      <c r="J23" s="27" t="s">
        <v>22</v>
      </c>
      <c r="K23" s="161">
        <v>0</v>
      </c>
      <c r="L23" s="6" t="str">
        <f t="shared" si="3"/>
        <v>RO_Data[5].SEC[</v>
      </c>
      <c r="M23" s="23">
        <f t="shared" si="15"/>
        <v>18</v>
      </c>
      <c r="N23" s="27" t="s">
        <v>22</v>
      </c>
      <c r="O23" s="165">
        <v>0</v>
      </c>
      <c r="P23" s="6" t="str">
        <f t="shared" si="4"/>
        <v>RO_Data[5].SETPOINT[</v>
      </c>
      <c r="Q23" s="23">
        <f t="shared" si="16"/>
        <v>18</v>
      </c>
      <c r="R23" s="27" t="s">
        <v>22</v>
      </c>
      <c r="S23" s="9" t="str">
        <f t="shared" si="5"/>
        <v/>
      </c>
      <c r="T23" s="18"/>
      <c r="U23" s="19"/>
      <c r="V23" s="19"/>
      <c r="W23" s="19"/>
      <c r="X23" s="19"/>
      <c r="Y23" s="58"/>
      <c r="Z23" s="58"/>
      <c r="AA23" s="58"/>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27"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27"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27"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27"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27"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27" t="s">
        <v>22</v>
      </c>
      <c r="IB23" s="10"/>
      <c r="IC23" s="6" t="str">
        <f t="shared" si="12"/>
        <v>RO_Data[5].STEP_DESC[</v>
      </c>
      <c r="ID23" s="23">
        <f t="shared" si="23"/>
        <v>18</v>
      </c>
      <c r="IE23" s="27" t="s">
        <v>22</v>
      </c>
    </row>
    <row r="24" spans="1:239" ht="15.75" thickBot="1" x14ac:dyDescent="0.3">
      <c r="A24" s="53">
        <v>19</v>
      </c>
      <c r="B24" s="53" t="str">
        <f t="shared" si="0"/>
        <v/>
      </c>
      <c r="C24" s="86"/>
      <c r="D24" s="51" t="str">
        <f t="shared" si="1"/>
        <v>RO_Data[5].ACK_DESC[</v>
      </c>
      <c r="E24" s="52">
        <f t="shared" si="13"/>
        <v>19</v>
      </c>
      <c r="F24" s="55" t="s">
        <v>22</v>
      </c>
      <c r="G24" s="164">
        <v>0</v>
      </c>
      <c r="H24" s="51" t="str">
        <f t="shared" si="2"/>
        <v>RO_Data[5].MIN[</v>
      </c>
      <c r="I24" s="52">
        <f t="shared" si="14"/>
        <v>19</v>
      </c>
      <c r="J24" s="55" t="s">
        <v>22</v>
      </c>
      <c r="K24" s="164">
        <v>0</v>
      </c>
      <c r="L24" s="51" t="str">
        <f t="shared" si="3"/>
        <v>RO_Data[5].SEC[</v>
      </c>
      <c r="M24" s="52">
        <f t="shared" si="15"/>
        <v>19</v>
      </c>
      <c r="N24" s="55" t="s">
        <v>22</v>
      </c>
      <c r="O24" s="167">
        <v>0</v>
      </c>
      <c r="P24" s="51" t="str">
        <f t="shared" si="4"/>
        <v>RO_Data[5].SETPOINT[</v>
      </c>
      <c r="Q24" s="52">
        <f t="shared" si="16"/>
        <v>19</v>
      </c>
      <c r="R24" s="55" t="s">
        <v>22</v>
      </c>
      <c r="S24" s="87" t="str">
        <f t="shared" si="5"/>
        <v/>
      </c>
      <c r="T24" s="88"/>
      <c r="U24" s="89"/>
      <c r="V24" s="89"/>
      <c r="W24" s="89"/>
      <c r="X24" s="89"/>
      <c r="Y24" s="90"/>
      <c r="Z24" s="90"/>
      <c r="AA24" s="90"/>
      <c r="AB24" s="89"/>
      <c r="AC24" s="89"/>
      <c r="AD24" s="89"/>
      <c r="AE24" s="89"/>
      <c r="AF24" s="89"/>
      <c r="AG24" s="89"/>
      <c r="AH24" s="89"/>
      <c r="AI24" s="89"/>
      <c r="AJ24" s="89"/>
      <c r="AK24" s="89"/>
      <c r="AL24" s="89"/>
      <c r="AM24" s="89"/>
      <c r="AN24" s="89"/>
      <c r="AO24" s="89"/>
      <c r="AP24" s="89"/>
      <c r="AQ24" s="89"/>
      <c r="AR24" s="89"/>
      <c r="AS24" s="89"/>
      <c r="AT24" s="89"/>
      <c r="AU24" s="89"/>
      <c r="AV24" s="89"/>
      <c r="AW24" s="89"/>
      <c r="AX24" s="89"/>
      <c r="AY24" s="91"/>
      <c r="AZ24" s="53">
        <f t="array" ref="AZ24">Bin2DecRange($T24:$AY24)</f>
        <v>0</v>
      </c>
      <c r="BA24" s="51" t="str">
        <f t="shared" si="6"/>
        <v>RO_Data[5].COND1[</v>
      </c>
      <c r="BB24" s="52">
        <f t="shared" si="17"/>
        <v>19</v>
      </c>
      <c r="BC24" s="55" t="s">
        <v>22</v>
      </c>
      <c r="BD24" s="88"/>
      <c r="BE24" s="89"/>
      <c r="BF24" s="89"/>
      <c r="BG24" s="89"/>
      <c r="BH24" s="89"/>
      <c r="BI24" s="89"/>
      <c r="BJ24" s="89"/>
      <c r="BK24" s="89"/>
      <c r="BL24" s="89"/>
      <c r="BM24" s="89"/>
      <c r="BN24" s="89"/>
      <c r="BO24" s="89"/>
      <c r="BP24" s="89"/>
      <c r="BQ24" s="89"/>
      <c r="BR24" s="89"/>
      <c r="BS24" s="89"/>
      <c r="BT24" s="89"/>
      <c r="BU24" s="89"/>
      <c r="BV24" s="89"/>
      <c r="BW24" s="89"/>
      <c r="BX24" s="89"/>
      <c r="BY24" s="89"/>
      <c r="BZ24" s="89"/>
      <c r="CA24" s="89"/>
      <c r="CB24" s="89"/>
      <c r="CC24" s="89"/>
      <c r="CD24" s="89"/>
      <c r="CE24" s="89"/>
      <c r="CF24" s="89"/>
      <c r="CG24" s="89"/>
      <c r="CH24" s="89"/>
      <c r="CI24" s="91"/>
      <c r="CJ24" s="53" cm="1">
        <f t="array" ref="CJ24">Bin2DecRange($BD24:$CI24)</f>
        <v>0</v>
      </c>
      <c r="CK24" s="51" t="str">
        <f t="shared" si="7"/>
        <v>RO_Data[5].COND2[</v>
      </c>
      <c r="CL24" s="52">
        <f t="shared" si="18"/>
        <v>19</v>
      </c>
      <c r="CM24" s="55" t="s">
        <v>22</v>
      </c>
      <c r="CN24" s="88"/>
      <c r="CO24" s="89"/>
      <c r="CP24" s="89"/>
      <c r="CQ24" s="89"/>
      <c r="CR24" s="89"/>
      <c r="CS24" s="89"/>
      <c r="CT24" s="89"/>
      <c r="CU24" s="89"/>
      <c r="CV24" s="89"/>
      <c r="CW24" s="89"/>
      <c r="CX24" s="89"/>
      <c r="CY24" s="89"/>
      <c r="CZ24" s="89"/>
      <c r="DA24" s="89"/>
      <c r="DB24" s="89"/>
      <c r="DC24" s="89"/>
      <c r="DD24" s="89"/>
      <c r="DE24" s="89"/>
      <c r="DF24" s="89"/>
      <c r="DG24" s="89"/>
      <c r="DH24" s="89"/>
      <c r="DI24" s="89"/>
      <c r="DJ24" s="89"/>
      <c r="DK24" s="89"/>
      <c r="DL24" s="89"/>
      <c r="DM24" s="89"/>
      <c r="DN24" s="89"/>
      <c r="DO24" s="89"/>
      <c r="DP24" s="89"/>
      <c r="DQ24" s="89"/>
      <c r="DR24" s="89"/>
      <c r="DS24" s="91"/>
      <c r="DT24" s="53" cm="1">
        <f t="array" ref="DT24">Bin2DecRange($CN24:$DS24)</f>
        <v>0</v>
      </c>
      <c r="DU24" s="51" t="str">
        <f t="shared" si="8"/>
        <v>RO_Data[5].COND3[</v>
      </c>
      <c r="DV24" s="52">
        <f t="shared" si="19"/>
        <v>19</v>
      </c>
      <c r="DW24" s="55" t="s">
        <v>22</v>
      </c>
      <c r="DX24" s="92"/>
      <c r="DY24" s="89"/>
      <c r="DZ24" s="89"/>
      <c r="EA24" s="89"/>
      <c r="EB24" s="89"/>
      <c r="EC24" s="89"/>
      <c r="ED24" s="89"/>
      <c r="EE24" s="89"/>
      <c r="EF24" s="89"/>
      <c r="EG24" s="89"/>
      <c r="EH24" s="89"/>
      <c r="EI24" s="89"/>
      <c r="EJ24" s="89"/>
      <c r="EK24" s="89"/>
      <c r="EL24" s="89"/>
      <c r="EM24" s="89"/>
      <c r="EN24" s="89"/>
      <c r="EO24" s="89"/>
      <c r="EP24" s="89"/>
      <c r="EQ24" s="89"/>
      <c r="ER24" s="89"/>
      <c r="ES24" s="89"/>
      <c r="ET24" s="89"/>
      <c r="EU24" s="89"/>
      <c r="EV24" s="89"/>
      <c r="EW24" s="89"/>
      <c r="EX24" s="89"/>
      <c r="EY24" s="89"/>
      <c r="EZ24" s="89"/>
      <c r="FA24" s="89"/>
      <c r="FB24" s="89"/>
      <c r="FC24" s="91"/>
      <c r="FD24" s="53">
        <f t="array" ref="FD24">Bin2DecRange($DX24:$FC24)</f>
        <v>0</v>
      </c>
      <c r="FE24" s="51" t="str">
        <f t="shared" si="9"/>
        <v>RO_Data[5].ACT1[</v>
      </c>
      <c r="FF24" s="52">
        <f t="shared" si="20"/>
        <v>19</v>
      </c>
      <c r="FG24" s="55" t="s">
        <v>22</v>
      </c>
      <c r="FH24" s="92"/>
      <c r="FI24" s="89"/>
      <c r="FJ24" s="89"/>
      <c r="FK24" s="89"/>
      <c r="FL24" s="89"/>
      <c r="FM24" s="89"/>
      <c r="FN24" s="89"/>
      <c r="FO24" s="89"/>
      <c r="FP24" s="89"/>
      <c r="FQ24" s="89"/>
      <c r="FR24" s="89"/>
      <c r="FS24" s="89"/>
      <c r="FT24" s="89"/>
      <c r="FU24" s="89"/>
      <c r="FV24" s="89"/>
      <c r="FW24" s="89"/>
      <c r="FX24" s="89"/>
      <c r="FY24" s="89"/>
      <c r="FZ24" s="89"/>
      <c r="GA24" s="89"/>
      <c r="GB24" s="89"/>
      <c r="GC24" s="89"/>
      <c r="GD24" s="89"/>
      <c r="GE24" s="89"/>
      <c r="GF24" s="89"/>
      <c r="GG24" s="89"/>
      <c r="GH24" s="89"/>
      <c r="GI24" s="89"/>
      <c r="GJ24" s="89"/>
      <c r="GK24" s="89"/>
      <c r="GL24" s="89"/>
      <c r="GM24" s="91"/>
      <c r="GN24" s="53" cm="1">
        <f t="array" ref="GN24">Bin2DecRange($FH24:$GM24)</f>
        <v>0</v>
      </c>
      <c r="GO24" s="51" t="str">
        <f t="shared" si="10"/>
        <v>RO_Data[5].ACT5[</v>
      </c>
      <c r="GP24" s="52">
        <f t="shared" si="21"/>
        <v>19</v>
      </c>
      <c r="GQ24" s="55" t="s">
        <v>22</v>
      </c>
      <c r="GR24" s="92"/>
      <c r="GS24" s="89"/>
      <c r="GT24" s="89"/>
      <c r="GU24" s="89"/>
      <c r="GV24" s="89"/>
      <c r="GW24" s="89"/>
      <c r="GX24" s="89"/>
      <c r="GY24" s="89"/>
      <c r="GZ24" s="89"/>
      <c r="HA24" s="89"/>
      <c r="HB24" s="89"/>
      <c r="HC24" s="89"/>
      <c r="HD24" s="89"/>
      <c r="HE24" s="89"/>
      <c r="HF24" s="89"/>
      <c r="HG24" s="89"/>
      <c r="HH24" s="89"/>
      <c r="HI24" s="89"/>
      <c r="HJ24" s="89"/>
      <c r="HK24" s="89"/>
      <c r="HL24" s="89"/>
      <c r="HM24" s="89"/>
      <c r="HN24" s="89"/>
      <c r="HO24" s="89"/>
      <c r="HP24" s="89"/>
      <c r="HQ24" s="89"/>
      <c r="HR24" s="89"/>
      <c r="HS24" s="89"/>
      <c r="HT24" s="89"/>
      <c r="HU24" s="89"/>
      <c r="HV24" s="89"/>
      <c r="HW24" s="91"/>
      <c r="HX24" s="53" cm="1">
        <f t="array" ref="HX24">Bin2DecRange($GR24:$HW24)</f>
        <v>0</v>
      </c>
      <c r="HY24" s="51" t="str">
        <f t="shared" si="11"/>
        <v>RO_Data[5].ACT6[</v>
      </c>
      <c r="HZ24" s="52">
        <f t="shared" si="22"/>
        <v>19</v>
      </c>
      <c r="IA24" s="55" t="s">
        <v>22</v>
      </c>
      <c r="IB24" s="54"/>
      <c r="IC24" s="51" t="str">
        <f t="shared" si="12"/>
        <v>RO_Data[5].STEP_DESC[</v>
      </c>
      <c r="ID24" s="52">
        <f t="shared" si="23"/>
        <v>19</v>
      </c>
      <c r="IE24" s="55"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1" priority="2"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92B0438-0B6B-464E-BBB3-A77075452FE6}">
          <x14:formula1>
            <xm:f>'Main Program'!$B$32:$B$37</xm:f>
          </x14:formula1>
          <xm:sqref>AZ3 C3 FD3 K3 G3 HX3 GN3 DT3 CJ3 IB3 O3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2AF1-365A-4F2D-A6F3-D5C29FA8ACCE}">
  <sheetPr codeName="Sheet8"/>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HX11" sqref="HX11"/>
    </sheetView>
  </sheetViews>
  <sheetFormatPr defaultRowHeight="15" x14ac:dyDescent="0.25"/>
  <cols>
    <col min="1" max="1" width="6.7109375" style="72" bestFit="1" customWidth="1"/>
    <col min="2" max="2" width="45" style="72" bestFit="1" customWidth="1"/>
    <col min="3" max="3" width="20" style="72" customWidth="1"/>
    <col min="4" max="4" width="22.5703125" style="72" customWidth="1"/>
    <col min="5" max="5" width="4.42578125" style="25" bestFit="1" customWidth="1"/>
    <col min="6" max="6" width="1.85546875" style="72" customWidth="1"/>
    <col min="7" max="7" width="12.42578125" style="72" customWidth="1"/>
    <col min="8" max="8" width="17.140625" style="72" customWidth="1"/>
    <col min="9" max="9" width="4.42578125" style="25" bestFit="1" customWidth="1"/>
    <col min="10" max="10" width="1.7109375" style="72" customWidth="1"/>
    <col min="11" max="11" width="12.42578125" style="72" customWidth="1"/>
    <col min="12" max="12" width="16.42578125" style="72" customWidth="1"/>
    <col min="13" max="13" width="4.42578125" style="25" bestFit="1" customWidth="1"/>
    <col min="14" max="14" width="1.7109375" style="72" customWidth="1"/>
    <col min="15" max="15" width="12.5703125" style="72" customWidth="1"/>
    <col min="16" max="16" width="22.140625" style="72" customWidth="1"/>
    <col min="17" max="17" width="4.42578125" style="25" bestFit="1" customWidth="1"/>
    <col min="18" max="18" width="2" style="72" bestFit="1" customWidth="1"/>
    <col min="19" max="19" width="3.5703125" style="72" customWidth="1"/>
    <col min="20" max="24" width="3" style="25" customWidth="1"/>
    <col min="25" max="27" width="3" style="59" customWidth="1"/>
    <col min="28" max="51" width="3" style="25" customWidth="1"/>
    <col min="52" max="52" width="12.7109375" style="72" bestFit="1" customWidth="1"/>
    <col min="53" max="53" width="20.140625" style="72" bestFit="1" customWidth="1"/>
    <col min="54" max="54" width="4.42578125" style="25" bestFit="1" customWidth="1"/>
    <col min="55" max="55" width="1.7109375" style="72" bestFit="1" customWidth="1"/>
    <col min="56" max="87" width="3" style="25" customWidth="1"/>
    <col min="88" max="88" width="11.85546875" style="72" bestFit="1" customWidth="1"/>
    <col min="89" max="89" width="19.7109375" style="72" bestFit="1" customWidth="1"/>
    <col min="90" max="90" width="4.42578125" style="25" bestFit="1" customWidth="1"/>
    <col min="91" max="91" width="1.7109375" style="72" bestFit="1" customWidth="1"/>
    <col min="92" max="123" width="3" style="25" customWidth="1"/>
    <col min="124" max="124" width="11.85546875" style="72" bestFit="1" customWidth="1"/>
    <col min="125" max="125" width="19.7109375" style="72" bestFit="1" customWidth="1"/>
    <col min="126" max="126" width="4.42578125" style="25" bestFit="1" customWidth="1"/>
    <col min="127" max="127" width="1.7109375" style="72" bestFit="1" customWidth="1"/>
    <col min="128" max="142" width="3" style="25" customWidth="1"/>
    <col min="143" max="143" width="3.140625" style="25" bestFit="1" customWidth="1"/>
    <col min="144" max="159" width="3" style="25" customWidth="1"/>
    <col min="160" max="160" width="11.5703125" style="72" bestFit="1" customWidth="1"/>
    <col min="161" max="161" width="17.85546875" style="72" bestFit="1" customWidth="1"/>
    <col min="162" max="162" width="4.42578125" style="25" bestFit="1" customWidth="1"/>
    <col min="163" max="163" width="1.85546875" style="72" bestFit="1" customWidth="1"/>
    <col min="164" max="178" width="3" style="25" customWidth="1"/>
    <col min="179" max="179" width="3.140625" style="25" bestFit="1" customWidth="1"/>
    <col min="180" max="195" width="3" style="25" customWidth="1"/>
    <col min="196" max="196" width="10.7109375" style="72" bestFit="1" customWidth="1"/>
    <col min="197" max="197" width="17.85546875" style="72" bestFit="1" customWidth="1"/>
    <col min="198" max="198" width="4.42578125" style="25" bestFit="1" customWidth="1"/>
    <col min="199" max="199" width="1.85546875" style="72" bestFit="1" customWidth="1"/>
    <col min="200" max="214" width="3" style="25" customWidth="1"/>
    <col min="215" max="215" width="3.140625" style="25" bestFit="1" customWidth="1"/>
    <col min="216" max="231" width="3" style="25" customWidth="1"/>
    <col min="232" max="232" width="14.42578125" style="72" bestFit="1" customWidth="1"/>
    <col min="233" max="233" width="17.85546875" style="72" bestFit="1" customWidth="1"/>
    <col min="234" max="234" width="4.42578125" style="25" bestFit="1" customWidth="1"/>
    <col min="235" max="235" width="1.85546875" style="72" bestFit="1" customWidth="1"/>
    <col min="236" max="236" width="37.42578125" style="72" customWidth="1"/>
    <col min="237" max="237" width="23.140625" style="72" bestFit="1" customWidth="1"/>
    <col min="238" max="238" width="4.42578125" style="25" bestFit="1" customWidth="1"/>
    <col min="239" max="239" width="1.85546875" style="72" bestFit="1" customWidth="1"/>
    <col min="240" max="16384" width="9.140625" style="72"/>
  </cols>
  <sheetData>
    <row r="1" spans="1:239" ht="15.75" customHeight="1" thickBot="1" x14ac:dyDescent="0.3">
      <c r="A1" s="216" t="s">
        <v>134</v>
      </c>
      <c r="B1" s="196"/>
      <c r="C1" s="196" t="s">
        <v>123</v>
      </c>
      <c r="D1" s="214"/>
      <c r="E1" s="214"/>
      <c r="F1" s="215"/>
      <c r="G1" s="196" t="s">
        <v>124</v>
      </c>
      <c r="H1" s="214"/>
      <c r="I1" s="214"/>
      <c r="J1" s="215"/>
      <c r="K1" s="196" t="s">
        <v>125</v>
      </c>
      <c r="L1" s="214"/>
      <c r="M1" s="214"/>
      <c r="N1" s="215"/>
      <c r="O1" s="196" t="s">
        <v>126</v>
      </c>
      <c r="P1" s="214"/>
      <c r="Q1" s="214"/>
      <c r="R1" s="215"/>
      <c r="S1" s="76"/>
      <c r="T1" s="217" t="s">
        <v>127</v>
      </c>
      <c r="U1" s="217"/>
      <c r="V1" s="217"/>
      <c r="W1" s="217"/>
      <c r="X1" s="217"/>
      <c r="Y1" s="217"/>
      <c r="Z1" s="217"/>
      <c r="AA1" s="217"/>
      <c r="AB1" s="217"/>
      <c r="AC1" s="217"/>
      <c r="AD1" s="217"/>
      <c r="AE1" s="217"/>
      <c r="AF1" s="217"/>
      <c r="AG1" s="217"/>
      <c r="AH1" s="217"/>
      <c r="AI1" s="217"/>
      <c r="AJ1" s="217"/>
      <c r="AK1" s="217"/>
      <c r="AL1" s="217"/>
      <c r="AM1" s="217"/>
      <c r="AN1" s="217"/>
      <c r="AO1" s="217"/>
      <c r="AP1" s="217"/>
      <c r="AQ1" s="217"/>
      <c r="AR1" s="217"/>
      <c r="AS1" s="217"/>
      <c r="AT1" s="217"/>
      <c r="AU1" s="217"/>
      <c r="AV1" s="217"/>
      <c r="AW1" s="217"/>
      <c r="AX1" s="217"/>
      <c r="AY1" s="217"/>
      <c r="AZ1" s="217"/>
      <c r="BA1" s="217"/>
      <c r="BB1" s="217"/>
      <c r="BC1" s="217"/>
      <c r="BD1" s="217" t="s">
        <v>128</v>
      </c>
      <c r="BE1" s="217"/>
      <c r="BF1" s="217"/>
      <c r="BG1" s="217"/>
      <c r="BH1" s="217"/>
      <c r="BI1" s="217"/>
      <c r="BJ1" s="217"/>
      <c r="BK1" s="217"/>
      <c r="BL1" s="217"/>
      <c r="BM1" s="217"/>
      <c r="BN1" s="217"/>
      <c r="BO1" s="217"/>
      <c r="BP1" s="217"/>
      <c r="BQ1" s="217"/>
      <c r="BR1" s="217"/>
      <c r="BS1" s="217"/>
      <c r="BT1" s="217"/>
      <c r="BU1" s="217"/>
      <c r="BV1" s="217"/>
      <c r="BW1" s="217"/>
      <c r="BX1" s="217"/>
      <c r="BY1" s="217"/>
      <c r="BZ1" s="217"/>
      <c r="CA1" s="217"/>
      <c r="CB1" s="217"/>
      <c r="CC1" s="217"/>
      <c r="CD1" s="217"/>
      <c r="CE1" s="217"/>
      <c r="CF1" s="217"/>
      <c r="CG1" s="217"/>
      <c r="CH1" s="217"/>
      <c r="CI1" s="217"/>
      <c r="CJ1" s="217"/>
      <c r="CK1" s="217"/>
      <c r="CL1" s="217"/>
      <c r="CM1" s="217"/>
      <c r="CN1" s="217" t="s">
        <v>129</v>
      </c>
      <c r="CO1" s="217"/>
      <c r="CP1" s="217"/>
      <c r="CQ1" s="217"/>
      <c r="CR1" s="217"/>
      <c r="CS1" s="217"/>
      <c r="CT1" s="217"/>
      <c r="CU1" s="217"/>
      <c r="CV1" s="217"/>
      <c r="CW1" s="217"/>
      <c r="CX1" s="217"/>
      <c r="CY1" s="217"/>
      <c r="CZ1" s="217"/>
      <c r="DA1" s="217"/>
      <c r="DB1" s="217"/>
      <c r="DC1" s="217"/>
      <c r="DD1" s="217"/>
      <c r="DE1" s="217"/>
      <c r="DF1" s="217"/>
      <c r="DG1" s="217"/>
      <c r="DH1" s="217"/>
      <c r="DI1" s="217"/>
      <c r="DJ1" s="217"/>
      <c r="DK1" s="217"/>
      <c r="DL1" s="217"/>
      <c r="DM1" s="217"/>
      <c r="DN1" s="217"/>
      <c r="DO1" s="217"/>
      <c r="DP1" s="217"/>
      <c r="DQ1" s="217"/>
      <c r="DR1" s="217"/>
      <c r="DS1" s="217"/>
      <c r="DT1" s="217"/>
      <c r="DU1" s="217"/>
      <c r="DV1" s="217"/>
      <c r="DW1" s="217"/>
      <c r="DX1" s="196" t="s">
        <v>130</v>
      </c>
      <c r="DY1" s="196"/>
      <c r="DZ1" s="196"/>
      <c r="EA1" s="196"/>
      <c r="EB1" s="196"/>
      <c r="EC1" s="196"/>
      <c r="ED1" s="196"/>
      <c r="EE1" s="196"/>
      <c r="EF1" s="196"/>
      <c r="EG1" s="196"/>
      <c r="EH1" s="196"/>
      <c r="EI1" s="196"/>
      <c r="EJ1" s="196"/>
      <c r="EK1" s="196"/>
      <c r="EL1" s="196"/>
      <c r="EM1" s="196"/>
      <c r="EN1" s="196"/>
      <c r="EO1" s="196"/>
      <c r="EP1" s="196"/>
      <c r="EQ1" s="196"/>
      <c r="ER1" s="196"/>
      <c r="ES1" s="196"/>
      <c r="ET1" s="196"/>
      <c r="EU1" s="196"/>
      <c r="EV1" s="196"/>
      <c r="EW1" s="196"/>
      <c r="EX1" s="196"/>
      <c r="EY1" s="196"/>
      <c r="EZ1" s="196"/>
      <c r="FA1" s="196"/>
      <c r="FB1" s="196"/>
      <c r="FC1" s="196"/>
      <c r="FD1" s="196"/>
      <c r="FE1" s="196"/>
      <c r="FF1" s="196"/>
      <c r="FG1" s="196"/>
      <c r="FH1" s="196" t="s">
        <v>131</v>
      </c>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t="s">
        <v>132</v>
      </c>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t="s">
        <v>133</v>
      </c>
      <c r="IC1" s="214"/>
      <c r="ID1" s="214"/>
      <c r="IE1" s="215"/>
    </row>
    <row r="2" spans="1:239" ht="312.75" thickBot="1" x14ac:dyDescent="0.3">
      <c r="A2" s="1"/>
      <c r="B2" s="2" t="s">
        <v>51</v>
      </c>
      <c r="C2" s="4" t="s">
        <v>109</v>
      </c>
      <c r="D2" s="209"/>
      <c r="E2" s="207"/>
      <c r="F2" s="227"/>
      <c r="G2" s="42" t="s">
        <v>107</v>
      </c>
      <c r="H2" s="218"/>
      <c r="I2" s="181"/>
      <c r="J2" s="226"/>
      <c r="K2" s="42" t="s">
        <v>110</v>
      </c>
      <c r="L2" s="218"/>
      <c r="M2" s="181"/>
      <c r="N2" s="226"/>
      <c r="O2" s="4" t="s">
        <v>106</v>
      </c>
      <c r="P2" s="219"/>
      <c r="Q2" s="181"/>
      <c r="R2" s="181"/>
      <c r="S2" s="60" t="s">
        <v>135</v>
      </c>
      <c r="T2" s="13" t="s">
        <v>24</v>
      </c>
      <c r="U2" s="14" t="s">
        <v>25</v>
      </c>
      <c r="V2" s="14"/>
      <c r="W2" s="14" t="s">
        <v>26</v>
      </c>
      <c r="X2" s="14" t="s">
        <v>27</v>
      </c>
      <c r="Y2" s="56" t="s">
        <v>136</v>
      </c>
      <c r="Z2" s="56" t="s">
        <v>137</v>
      </c>
      <c r="AA2" s="56" t="s">
        <v>138</v>
      </c>
      <c r="AB2" s="14" t="s">
        <v>28</v>
      </c>
      <c r="AC2" s="14" t="s">
        <v>29</v>
      </c>
      <c r="AD2" s="14" t="s">
        <v>30</v>
      </c>
      <c r="AE2" s="71" t="s">
        <v>31</v>
      </c>
      <c r="AF2" s="71" t="s">
        <v>139</v>
      </c>
      <c r="AG2" s="71" t="s">
        <v>32</v>
      </c>
      <c r="AH2" s="71" t="s">
        <v>33</v>
      </c>
      <c r="AI2" s="71" t="s">
        <v>34</v>
      </c>
      <c r="AJ2" s="71" t="s">
        <v>35</v>
      </c>
      <c r="AK2" s="71" t="s">
        <v>36</v>
      </c>
      <c r="AL2" s="71" t="s">
        <v>37</v>
      </c>
      <c r="AM2" s="71" t="s">
        <v>38</v>
      </c>
      <c r="AN2" s="71" t="s">
        <v>39</v>
      </c>
      <c r="AO2" s="71" t="s">
        <v>40</v>
      </c>
      <c r="AP2" s="71" t="s">
        <v>41</v>
      </c>
      <c r="AQ2" s="71" t="s">
        <v>42</v>
      </c>
      <c r="AR2" s="71" t="s">
        <v>43</v>
      </c>
      <c r="AS2" s="71" t="s">
        <v>44</v>
      </c>
      <c r="AT2" s="71" t="s">
        <v>45</v>
      </c>
      <c r="AU2" s="71" t="s">
        <v>46</v>
      </c>
      <c r="AV2" s="71" t="s">
        <v>47</v>
      </c>
      <c r="AW2" s="14" t="s">
        <v>48</v>
      </c>
      <c r="AX2" s="14" t="s">
        <v>49</v>
      </c>
      <c r="AY2" s="15" t="s">
        <v>50</v>
      </c>
      <c r="AZ2" s="2"/>
      <c r="BA2" s="205"/>
      <c r="BB2" s="197"/>
      <c r="BC2" s="198"/>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205"/>
      <c r="CL2" s="197"/>
      <c r="CM2" s="198"/>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205"/>
      <c r="DV2" s="197"/>
      <c r="DW2" s="198"/>
      <c r="DX2" s="48" t="s">
        <v>149</v>
      </c>
      <c r="DY2" s="44" t="s">
        <v>150</v>
      </c>
      <c r="DZ2" s="44" t="s">
        <v>151</v>
      </c>
      <c r="EA2" s="44" t="s">
        <v>152</v>
      </c>
      <c r="EB2" s="44" t="s">
        <v>153</v>
      </c>
      <c r="EC2" s="44" t="s">
        <v>154</v>
      </c>
      <c r="ED2" s="44" t="s">
        <v>155</v>
      </c>
      <c r="EE2" s="44" t="s">
        <v>156</v>
      </c>
      <c r="EF2" s="44" t="s">
        <v>157</v>
      </c>
      <c r="EG2" s="44" t="s">
        <v>158</v>
      </c>
      <c r="EH2" s="44" t="s">
        <v>159</v>
      </c>
      <c r="EI2" s="44" t="s">
        <v>160</v>
      </c>
      <c r="EJ2" s="44" t="s">
        <v>161</v>
      </c>
      <c r="EK2" s="44"/>
      <c r="EL2" s="44"/>
      <c r="EM2" s="44" t="s">
        <v>162</v>
      </c>
      <c r="EN2" s="44" t="s">
        <v>163</v>
      </c>
      <c r="EO2" s="44" t="s">
        <v>164</v>
      </c>
      <c r="EP2" s="44" t="s">
        <v>165</v>
      </c>
      <c r="EQ2" s="44" t="s">
        <v>166</v>
      </c>
      <c r="ER2" s="44"/>
      <c r="ES2" s="44"/>
      <c r="ET2" s="44" t="s">
        <v>167</v>
      </c>
      <c r="EU2" s="44"/>
      <c r="EV2" s="44"/>
      <c r="EW2" s="44"/>
      <c r="EX2" s="44"/>
      <c r="EY2" s="44" t="s">
        <v>168</v>
      </c>
      <c r="EZ2" s="44" t="s">
        <v>169</v>
      </c>
      <c r="FA2" s="44" t="s">
        <v>170</v>
      </c>
      <c r="FB2" s="44" t="s">
        <v>171</v>
      </c>
      <c r="FC2" s="45" t="s">
        <v>172</v>
      </c>
      <c r="FD2" s="2"/>
      <c r="FE2" s="206"/>
      <c r="FF2" s="207"/>
      <c r="FG2" s="207"/>
      <c r="FH2" s="50" t="s">
        <v>173</v>
      </c>
      <c r="FI2" s="44" t="s">
        <v>174</v>
      </c>
      <c r="FJ2" s="44" t="s">
        <v>175</v>
      </c>
      <c r="FK2" s="44" t="s">
        <v>176</v>
      </c>
      <c r="FL2" s="44" t="s">
        <v>177</v>
      </c>
      <c r="FM2" s="44"/>
      <c r="FN2" s="44"/>
      <c r="FO2" s="44"/>
      <c r="FP2" s="44"/>
      <c r="FQ2" s="44"/>
      <c r="FR2" s="44"/>
      <c r="FS2" s="44"/>
      <c r="FT2" s="44"/>
      <c r="FU2" s="44"/>
      <c r="FV2" s="44"/>
      <c r="FW2" s="44"/>
      <c r="FX2" s="44"/>
      <c r="FY2" s="44"/>
      <c r="FZ2" s="44"/>
      <c r="GA2" s="44"/>
      <c r="GB2" s="44"/>
      <c r="GC2" s="44"/>
      <c r="GD2" s="44"/>
      <c r="GE2" s="44" t="s">
        <v>178</v>
      </c>
      <c r="GF2" s="44" t="s">
        <v>179</v>
      </c>
      <c r="GG2" s="44" t="s">
        <v>180</v>
      </c>
      <c r="GH2" s="44" t="s">
        <v>181</v>
      </c>
      <c r="GI2" s="44" t="s">
        <v>182</v>
      </c>
      <c r="GJ2" s="44" t="s">
        <v>183</v>
      </c>
      <c r="GK2" s="44" t="s">
        <v>184</v>
      </c>
      <c r="GL2" s="44" t="s">
        <v>185</v>
      </c>
      <c r="GM2" s="45" t="s">
        <v>186</v>
      </c>
      <c r="GN2" s="2"/>
      <c r="GO2" s="206"/>
      <c r="GP2" s="207"/>
      <c r="GQ2" s="207"/>
      <c r="GR2" s="50"/>
      <c r="GS2" s="44" t="s">
        <v>187</v>
      </c>
      <c r="GT2" s="44" t="s">
        <v>188</v>
      </c>
      <c r="GU2" s="44" t="s">
        <v>189</v>
      </c>
      <c r="GV2" s="44" t="s">
        <v>190</v>
      </c>
      <c r="GW2" s="44" t="s">
        <v>191</v>
      </c>
      <c r="GX2" s="44" t="s">
        <v>192</v>
      </c>
      <c r="GY2" s="44" t="s">
        <v>193</v>
      </c>
      <c r="GZ2" s="44"/>
      <c r="HA2" s="44"/>
      <c r="HB2" s="44"/>
      <c r="HC2" s="44"/>
      <c r="HD2" s="44"/>
      <c r="HE2" s="44"/>
      <c r="HF2" s="44"/>
      <c r="HG2" s="44"/>
      <c r="HH2" s="44"/>
      <c r="HI2" s="44"/>
      <c r="HJ2" s="44" t="s">
        <v>194</v>
      </c>
      <c r="HK2" s="44" t="s">
        <v>195</v>
      </c>
      <c r="HL2" s="44" t="s">
        <v>196</v>
      </c>
      <c r="HM2" s="44" t="s">
        <v>197</v>
      </c>
      <c r="HN2" s="44" t="s">
        <v>198</v>
      </c>
      <c r="HO2" s="44" t="s">
        <v>199</v>
      </c>
      <c r="HP2" s="44"/>
      <c r="HQ2" s="44"/>
      <c r="HR2" s="44" t="s">
        <v>200</v>
      </c>
      <c r="HS2" s="44" t="s">
        <v>201</v>
      </c>
      <c r="HT2" s="44" t="s">
        <v>202</v>
      </c>
      <c r="HU2" s="44" t="s">
        <v>203</v>
      </c>
      <c r="HV2" s="44" t="s">
        <v>204</v>
      </c>
      <c r="HW2" s="45" t="s">
        <v>205</v>
      </c>
      <c r="HX2" s="2"/>
      <c r="HY2" s="206"/>
      <c r="HZ2" s="207"/>
      <c r="IA2" s="207"/>
      <c r="IB2" s="4" t="s">
        <v>18</v>
      </c>
      <c r="IC2" s="209"/>
      <c r="ID2" s="207"/>
      <c r="IE2" s="227"/>
    </row>
    <row r="3" spans="1:239" ht="15.75" customHeight="1" thickBot="1" x14ac:dyDescent="0.3">
      <c r="A3" s="73" t="s">
        <v>19</v>
      </c>
      <c r="B3" s="79"/>
      <c r="C3" s="73" t="s">
        <v>17</v>
      </c>
      <c r="D3" s="228" t="s">
        <v>20</v>
      </c>
      <c r="E3" s="197"/>
      <c r="F3" s="198"/>
      <c r="G3" s="73" t="s">
        <v>15</v>
      </c>
      <c r="H3" s="200" t="s">
        <v>20</v>
      </c>
      <c r="I3" s="197"/>
      <c r="J3" s="198"/>
      <c r="K3" s="73" t="s">
        <v>15</v>
      </c>
      <c r="L3" s="200" t="s">
        <v>20</v>
      </c>
      <c r="M3" s="197"/>
      <c r="N3" s="198"/>
      <c r="O3" s="73" t="s">
        <v>15</v>
      </c>
      <c r="P3" s="228" t="s">
        <v>20</v>
      </c>
      <c r="Q3" s="197"/>
      <c r="R3" s="198"/>
      <c r="S3" s="24"/>
      <c r="T3" s="199"/>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8"/>
      <c r="AZ3" s="73" t="s">
        <v>423</v>
      </c>
      <c r="BA3" s="200" t="s">
        <v>20</v>
      </c>
      <c r="BB3" s="197"/>
      <c r="BC3" s="198"/>
      <c r="BD3" s="199"/>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8"/>
      <c r="CJ3" s="73" t="s">
        <v>15</v>
      </c>
      <c r="CK3" s="200" t="s">
        <v>20</v>
      </c>
      <c r="CL3" s="197"/>
      <c r="CM3" s="198"/>
      <c r="CN3" s="199"/>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8"/>
      <c r="DT3" s="73" t="s">
        <v>423</v>
      </c>
      <c r="DU3" s="200" t="s">
        <v>20</v>
      </c>
      <c r="DV3" s="197"/>
      <c r="DW3" s="198"/>
      <c r="DX3" s="225"/>
      <c r="DY3" s="203"/>
      <c r="DZ3" s="203"/>
      <c r="EA3" s="203"/>
      <c r="EB3" s="203"/>
      <c r="EC3" s="203"/>
      <c r="ED3" s="203"/>
      <c r="EE3" s="203"/>
      <c r="EF3" s="203"/>
      <c r="EG3" s="203"/>
      <c r="EH3" s="203"/>
      <c r="EI3" s="203"/>
      <c r="EJ3" s="203"/>
      <c r="EK3" s="203"/>
      <c r="EL3" s="203"/>
      <c r="EM3" s="203"/>
      <c r="EN3" s="203"/>
      <c r="EO3" s="203"/>
      <c r="EP3" s="203"/>
      <c r="EQ3" s="203"/>
      <c r="ER3" s="203"/>
      <c r="ES3" s="203"/>
      <c r="ET3" s="203"/>
      <c r="EU3" s="203"/>
      <c r="EV3" s="203"/>
      <c r="EW3" s="203"/>
      <c r="EX3" s="203"/>
      <c r="EY3" s="203"/>
      <c r="EZ3" s="203"/>
      <c r="FA3" s="203"/>
      <c r="FB3" s="203"/>
      <c r="FC3" s="204"/>
      <c r="FD3" s="74" t="s">
        <v>423</v>
      </c>
      <c r="FE3" s="200" t="s">
        <v>20</v>
      </c>
      <c r="FF3" s="197"/>
      <c r="FG3" s="198"/>
      <c r="FH3" s="225"/>
      <c r="FI3" s="203"/>
      <c r="FJ3" s="203"/>
      <c r="FK3" s="203"/>
      <c r="FL3" s="203"/>
      <c r="FM3" s="203"/>
      <c r="FN3" s="203"/>
      <c r="FO3" s="203"/>
      <c r="FP3" s="203"/>
      <c r="FQ3" s="203"/>
      <c r="FR3" s="203"/>
      <c r="FS3" s="203"/>
      <c r="FT3" s="203"/>
      <c r="FU3" s="203"/>
      <c r="FV3" s="203"/>
      <c r="FW3" s="203"/>
      <c r="FX3" s="203"/>
      <c r="FY3" s="203"/>
      <c r="FZ3" s="203"/>
      <c r="GA3" s="203"/>
      <c r="GB3" s="203"/>
      <c r="GC3" s="203"/>
      <c r="GD3" s="203"/>
      <c r="GE3" s="203"/>
      <c r="GF3" s="203"/>
      <c r="GG3" s="203"/>
      <c r="GH3" s="203"/>
      <c r="GI3" s="203"/>
      <c r="GJ3" s="203"/>
      <c r="GK3" s="203"/>
      <c r="GL3" s="203"/>
      <c r="GM3" s="204"/>
      <c r="GN3" s="74" t="s">
        <v>423</v>
      </c>
      <c r="GO3" s="200" t="s">
        <v>20</v>
      </c>
      <c r="GP3" s="197"/>
      <c r="GQ3" s="198"/>
      <c r="GR3" s="225"/>
      <c r="GS3" s="203"/>
      <c r="GT3" s="203"/>
      <c r="GU3" s="203"/>
      <c r="GV3" s="203"/>
      <c r="GW3" s="203"/>
      <c r="GX3" s="203"/>
      <c r="GY3" s="203"/>
      <c r="GZ3" s="203"/>
      <c r="HA3" s="203"/>
      <c r="HB3" s="203"/>
      <c r="HC3" s="203"/>
      <c r="HD3" s="203"/>
      <c r="HE3" s="203"/>
      <c r="HF3" s="203"/>
      <c r="HG3" s="203"/>
      <c r="HH3" s="203"/>
      <c r="HI3" s="203"/>
      <c r="HJ3" s="203"/>
      <c r="HK3" s="203"/>
      <c r="HL3" s="203"/>
      <c r="HM3" s="203"/>
      <c r="HN3" s="203"/>
      <c r="HO3" s="203"/>
      <c r="HP3" s="203"/>
      <c r="HQ3" s="203"/>
      <c r="HR3" s="203"/>
      <c r="HS3" s="203"/>
      <c r="HT3" s="203"/>
      <c r="HU3" s="203"/>
      <c r="HV3" s="203"/>
      <c r="HW3" s="204"/>
      <c r="HX3" s="74" t="s">
        <v>423</v>
      </c>
      <c r="HY3" s="200" t="s">
        <v>20</v>
      </c>
      <c r="HZ3" s="197"/>
      <c r="IA3" s="198"/>
      <c r="IB3" s="73" t="s">
        <v>17</v>
      </c>
      <c r="IC3" s="228" t="s">
        <v>20</v>
      </c>
      <c r="ID3" s="197"/>
      <c r="IE3" s="198"/>
    </row>
    <row r="4" spans="1:239" x14ac:dyDescent="0.25">
      <c r="A4" s="8" t="s">
        <v>21</v>
      </c>
      <c r="B4" s="8" t="s">
        <v>18</v>
      </c>
      <c r="C4" s="27"/>
      <c r="D4" s="210"/>
      <c r="E4" s="211"/>
      <c r="F4" s="213"/>
      <c r="G4" s="7"/>
      <c r="H4" s="210"/>
      <c r="I4" s="211"/>
      <c r="J4" s="213"/>
      <c r="K4" s="7"/>
      <c r="L4" s="210"/>
      <c r="M4" s="211"/>
      <c r="N4" s="213"/>
      <c r="O4" s="5"/>
      <c r="P4" s="210"/>
      <c r="Q4" s="211"/>
      <c r="R4" s="213"/>
      <c r="S4" s="3"/>
      <c r="T4" s="75">
        <v>31</v>
      </c>
      <c r="U4" s="16">
        <v>30</v>
      </c>
      <c r="V4" s="16">
        <v>29</v>
      </c>
      <c r="W4" s="16">
        <v>28</v>
      </c>
      <c r="X4" s="16">
        <v>27</v>
      </c>
      <c r="Y4" s="57">
        <v>26</v>
      </c>
      <c r="Z4" s="57">
        <v>25</v>
      </c>
      <c r="AA4" s="57">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210"/>
      <c r="BB4" s="211"/>
      <c r="BC4" s="213"/>
      <c r="BD4" s="75">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210"/>
      <c r="CL4" s="211"/>
      <c r="CM4" s="213"/>
      <c r="CN4" s="75">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210"/>
      <c r="DV4" s="211"/>
      <c r="DW4" s="213"/>
      <c r="DX4" s="49">
        <v>31</v>
      </c>
      <c r="DY4" s="46">
        <v>30</v>
      </c>
      <c r="DZ4" s="46">
        <v>29</v>
      </c>
      <c r="EA4" s="46">
        <v>28</v>
      </c>
      <c r="EB4" s="46">
        <v>27</v>
      </c>
      <c r="EC4" s="46">
        <v>26</v>
      </c>
      <c r="ED4" s="46">
        <v>25</v>
      </c>
      <c r="EE4" s="46">
        <v>24</v>
      </c>
      <c r="EF4" s="46">
        <v>23</v>
      </c>
      <c r="EG4" s="46">
        <v>22</v>
      </c>
      <c r="EH4" s="46">
        <v>21</v>
      </c>
      <c r="EI4" s="46">
        <v>20</v>
      </c>
      <c r="EJ4" s="46">
        <v>19</v>
      </c>
      <c r="EK4" s="46">
        <v>18</v>
      </c>
      <c r="EL4" s="46">
        <v>17</v>
      </c>
      <c r="EM4" s="46">
        <v>16</v>
      </c>
      <c r="EN4" s="46">
        <v>15</v>
      </c>
      <c r="EO4" s="46">
        <v>14</v>
      </c>
      <c r="EP4" s="46">
        <v>13</v>
      </c>
      <c r="EQ4" s="46">
        <v>12</v>
      </c>
      <c r="ER4" s="46">
        <v>11</v>
      </c>
      <c r="ES4" s="46">
        <v>10</v>
      </c>
      <c r="ET4" s="46">
        <v>9</v>
      </c>
      <c r="EU4" s="46">
        <v>8</v>
      </c>
      <c r="EV4" s="46">
        <v>7</v>
      </c>
      <c r="EW4" s="46">
        <v>6</v>
      </c>
      <c r="EX4" s="46">
        <v>5</v>
      </c>
      <c r="EY4" s="46">
        <v>4</v>
      </c>
      <c r="EZ4" s="46">
        <v>3</v>
      </c>
      <c r="FA4" s="46">
        <v>2</v>
      </c>
      <c r="FB4" s="46">
        <v>1</v>
      </c>
      <c r="FC4" s="47">
        <v>0</v>
      </c>
      <c r="FD4" s="8"/>
      <c r="FE4" s="210"/>
      <c r="FF4" s="211"/>
      <c r="FG4" s="213"/>
      <c r="FH4" s="49">
        <v>31</v>
      </c>
      <c r="FI4" s="46">
        <v>30</v>
      </c>
      <c r="FJ4" s="46">
        <v>29</v>
      </c>
      <c r="FK4" s="46">
        <v>28</v>
      </c>
      <c r="FL4" s="46">
        <v>27</v>
      </c>
      <c r="FM4" s="46">
        <v>26</v>
      </c>
      <c r="FN4" s="46">
        <v>25</v>
      </c>
      <c r="FO4" s="46">
        <v>24</v>
      </c>
      <c r="FP4" s="46">
        <v>23</v>
      </c>
      <c r="FQ4" s="46">
        <v>22</v>
      </c>
      <c r="FR4" s="46">
        <v>21</v>
      </c>
      <c r="FS4" s="46">
        <v>20</v>
      </c>
      <c r="FT4" s="46">
        <v>19</v>
      </c>
      <c r="FU4" s="46">
        <v>18</v>
      </c>
      <c r="FV4" s="46">
        <v>17</v>
      </c>
      <c r="FW4" s="46">
        <v>16</v>
      </c>
      <c r="FX4" s="46">
        <v>15</v>
      </c>
      <c r="FY4" s="46">
        <v>14</v>
      </c>
      <c r="FZ4" s="46">
        <v>13</v>
      </c>
      <c r="GA4" s="46">
        <v>12</v>
      </c>
      <c r="GB4" s="46">
        <v>11</v>
      </c>
      <c r="GC4" s="46">
        <v>10</v>
      </c>
      <c r="GD4" s="46">
        <v>9</v>
      </c>
      <c r="GE4" s="46">
        <v>8</v>
      </c>
      <c r="GF4" s="46">
        <v>7</v>
      </c>
      <c r="GG4" s="46">
        <v>6</v>
      </c>
      <c r="GH4" s="46">
        <v>5</v>
      </c>
      <c r="GI4" s="46">
        <v>4</v>
      </c>
      <c r="GJ4" s="46">
        <v>3</v>
      </c>
      <c r="GK4" s="46">
        <v>2</v>
      </c>
      <c r="GL4" s="46">
        <v>1</v>
      </c>
      <c r="GM4" s="47">
        <v>0</v>
      </c>
      <c r="GN4" s="8"/>
      <c r="GO4" s="210"/>
      <c r="GP4" s="211"/>
      <c r="GQ4" s="213"/>
      <c r="GR4" s="49">
        <v>31</v>
      </c>
      <c r="GS4" s="46">
        <v>30</v>
      </c>
      <c r="GT4" s="46">
        <v>29</v>
      </c>
      <c r="GU4" s="46">
        <v>28</v>
      </c>
      <c r="GV4" s="46">
        <v>27</v>
      </c>
      <c r="GW4" s="46">
        <v>26</v>
      </c>
      <c r="GX4" s="46">
        <v>25</v>
      </c>
      <c r="GY4" s="46">
        <v>24</v>
      </c>
      <c r="GZ4" s="46">
        <v>23</v>
      </c>
      <c r="HA4" s="46">
        <v>22</v>
      </c>
      <c r="HB4" s="46">
        <v>21</v>
      </c>
      <c r="HC4" s="46">
        <v>20</v>
      </c>
      <c r="HD4" s="46">
        <v>19</v>
      </c>
      <c r="HE4" s="46">
        <v>18</v>
      </c>
      <c r="HF4" s="46">
        <v>17</v>
      </c>
      <c r="HG4" s="46">
        <v>16</v>
      </c>
      <c r="HH4" s="46">
        <v>15</v>
      </c>
      <c r="HI4" s="46">
        <v>14</v>
      </c>
      <c r="HJ4" s="46">
        <v>13</v>
      </c>
      <c r="HK4" s="46">
        <v>12</v>
      </c>
      <c r="HL4" s="46">
        <v>11</v>
      </c>
      <c r="HM4" s="46">
        <v>10</v>
      </c>
      <c r="HN4" s="46">
        <v>9</v>
      </c>
      <c r="HO4" s="46">
        <v>8</v>
      </c>
      <c r="HP4" s="46">
        <v>7</v>
      </c>
      <c r="HQ4" s="46">
        <v>6</v>
      </c>
      <c r="HR4" s="46">
        <v>5</v>
      </c>
      <c r="HS4" s="46">
        <v>4</v>
      </c>
      <c r="HT4" s="46">
        <v>3</v>
      </c>
      <c r="HU4" s="46">
        <v>2</v>
      </c>
      <c r="HV4" s="46">
        <v>1</v>
      </c>
      <c r="HW4" s="47">
        <v>0</v>
      </c>
      <c r="HX4" s="8"/>
      <c r="HY4" s="210"/>
      <c r="HZ4" s="211"/>
      <c r="IA4" s="213"/>
      <c r="IB4" s="8"/>
      <c r="IC4" s="210"/>
      <c r="ID4" s="211"/>
      <c r="IE4" s="213"/>
    </row>
    <row r="5" spans="1:239" x14ac:dyDescent="0.25">
      <c r="A5" s="8">
        <v>0</v>
      </c>
      <c r="B5" s="8" t="str">
        <f t="shared" ref="B5:B24" si="0">IF($IB5&lt;&gt;"", $IB5, "")</f>
        <v>HOME</v>
      </c>
      <c r="C5" s="77"/>
      <c r="D5" s="22" t="s">
        <v>404</v>
      </c>
      <c r="E5" s="23">
        <v>0</v>
      </c>
      <c r="F5" s="27" t="s">
        <v>22</v>
      </c>
      <c r="G5" s="161">
        <v>0</v>
      </c>
      <c r="H5" s="22" t="s">
        <v>405</v>
      </c>
      <c r="I5" s="23">
        <v>0</v>
      </c>
      <c r="J5" s="27" t="s">
        <v>22</v>
      </c>
      <c r="K5" s="161">
        <v>0</v>
      </c>
      <c r="L5" s="22" t="s">
        <v>406</v>
      </c>
      <c r="M5" s="23">
        <v>0</v>
      </c>
      <c r="N5" s="27" t="s">
        <v>22</v>
      </c>
      <c r="O5" s="165">
        <v>0</v>
      </c>
      <c r="P5" s="22" t="s">
        <v>407</v>
      </c>
      <c r="Q5" s="23">
        <v>0</v>
      </c>
      <c r="R5" s="27" t="s">
        <v>22</v>
      </c>
      <c r="S5" s="9" t="str">
        <f>IF(AP5=1, "P", "")</f>
        <v/>
      </c>
      <c r="T5" s="18"/>
      <c r="U5" s="19"/>
      <c r="V5" s="19"/>
      <c r="W5" s="19"/>
      <c r="X5" s="19"/>
      <c r="Y5" s="58"/>
      <c r="Z5" s="58"/>
      <c r="AA5" s="58"/>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408</v>
      </c>
      <c r="BB5" s="23">
        <v>0</v>
      </c>
      <c r="BC5" s="27"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409</v>
      </c>
      <c r="CL5" s="23">
        <v>0</v>
      </c>
      <c r="CM5" s="27"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410</v>
      </c>
      <c r="DV5" s="23">
        <v>0</v>
      </c>
      <c r="DW5" s="27"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411</v>
      </c>
      <c r="FF5" s="23">
        <v>0</v>
      </c>
      <c r="FG5" s="27"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412</v>
      </c>
      <c r="GP5" s="23">
        <v>0</v>
      </c>
      <c r="GQ5" s="27"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413</v>
      </c>
      <c r="HZ5" s="23">
        <v>0</v>
      </c>
      <c r="IA5" s="27" t="s">
        <v>22</v>
      </c>
      <c r="IB5" s="10" t="s">
        <v>206</v>
      </c>
      <c r="IC5" s="22" t="s">
        <v>414</v>
      </c>
      <c r="ID5" s="23">
        <v>0</v>
      </c>
      <c r="IE5" s="27" t="s">
        <v>22</v>
      </c>
    </row>
    <row r="6" spans="1:239" x14ac:dyDescent="0.25">
      <c r="A6" s="8">
        <v>1</v>
      </c>
      <c r="B6" s="8" t="str">
        <f t="shared" si="0"/>
        <v>FILLING FEED TANK TO SET POINT LEVEL</v>
      </c>
      <c r="C6" s="77"/>
      <c r="D6" s="6" t="str">
        <f t="shared" ref="D6:D24" si="1">D$5</f>
        <v>RO_Data[6].ACK_DESC[</v>
      </c>
      <c r="E6" s="23">
        <f>E5+1</f>
        <v>1</v>
      </c>
      <c r="F6" s="27" t="s">
        <v>22</v>
      </c>
      <c r="G6" s="161">
        <v>0</v>
      </c>
      <c r="H6" s="6" t="str">
        <f t="shared" ref="H6:H24" si="2">H$5</f>
        <v>RO_Data[6].MIN[</v>
      </c>
      <c r="I6" s="23">
        <f>I5+1</f>
        <v>1</v>
      </c>
      <c r="J6" s="27" t="s">
        <v>22</v>
      </c>
      <c r="K6" s="161">
        <v>1</v>
      </c>
      <c r="L6" s="6" t="str">
        <f t="shared" ref="L6:L24" si="3">L$5</f>
        <v>RO_Data[6].SEC[</v>
      </c>
      <c r="M6" s="23">
        <f>M5+1</f>
        <v>1</v>
      </c>
      <c r="N6" s="27" t="s">
        <v>22</v>
      </c>
      <c r="O6" s="165">
        <v>0</v>
      </c>
      <c r="P6" s="6" t="str">
        <f t="shared" ref="P6:P24" si="4">P$5</f>
        <v>RO_Data[6].SETPOINT[</v>
      </c>
      <c r="Q6" s="23">
        <f>Q5+1</f>
        <v>1</v>
      </c>
      <c r="R6" s="27" t="s">
        <v>22</v>
      </c>
      <c r="S6" s="9" t="str">
        <f t="shared" ref="S6:S24" si="5">IF(AP6=1, "P", "")</f>
        <v>P</v>
      </c>
      <c r="T6" s="18"/>
      <c r="U6" s="19"/>
      <c r="V6" s="19"/>
      <c r="W6" s="19"/>
      <c r="X6" s="19"/>
      <c r="Y6" s="58"/>
      <c r="Z6" s="58"/>
      <c r="AA6" s="58"/>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4" si="6">BA$5</f>
        <v>RO_Data[6].COND1[</v>
      </c>
      <c r="BB6" s="23">
        <f>BB5+1</f>
        <v>1</v>
      </c>
      <c r="BC6" s="27"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RO_Data[6].COND2[</v>
      </c>
      <c r="CL6" s="23">
        <f>CL5+1</f>
        <v>1</v>
      </c>
      <c r="CM6" s="27"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27"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RO_Data[6].ACT1[</v>
      </c>
      <c r="FF6" s="23">
        <f>FF5+1</f>
        <v>1</v>
      </c>
      <c r="FG6" s="27"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27"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27" t="s">
        <v>22</v>
      </c>
      <c r="IB6" s="10" t="s">
        <v>224</v>
      </c>
      <c r="IC6" s="6" t="str">
        <f t="shared" ref="IC6:IC24" si="12">IC$5</f>
        <v>RO_Data[6].STEP_DESC[</v>
      </c>
      <c r="ID6" s="23">
        <f>ID5+1</f>
        <v>1</v>
      </c>
      <c r="IE6" s="27" t="s">
        <v>22</v>
      </c>
    </row>
    <row r="7" spans="1:239" x14ac:dyDescent="0.25">
      <c r="A7" s="8">
        <v>2</v>
      </c>
      <c r="B7" s="8" t="str">
        <f t="shared" si="0"/>
        <v>STARTING PUMPS</v>
      </c>
      <c r="C7" s="77"/>
      <c r="D7" s="6" t="str">
        <f t="shared" si="1"/>
        <v>RO_Data[6].ACK_DESC[</v>
      </c>
      <c r="E7" s="23">
        <f t="shared" ref="E7:E24" si="13">E6+1</f>
        <v>2</v>
      </c>
      <c r="F7" s="27" t="s">
        <v>22</v>
      </c>
      <c r="G7" s="161">
        <v>0</v>
      </c>
      <c r="H7" s="6" t="str">
        <f t="shared" si="2"/>
        <v>RO_Data[6].MIN[</v>
      </c>
      <c r="I7" s="23">
        <f t="shared" ref="I7:I24" si="14">I6+1</f>
        <v>2</v>
      </c>
      <c r="J7" s="27" t="s">
        <v>22</v>
      </c>
      <c r="K7" s="161">
        <v>30</v>
      </c>
      <c r="L7" s="6" t="str">
        <f t="shared" si="3"/>
        <v>RO_Data[6].SEC[</v>
      </c>
      <c r="M7" s="23">
        <f t="shared" ref="M7:M24" si="15">M6+1</f>
        <v>2</v>
      </c>
      <c r="N7" s="27" t="s">
        <v>22</v>
      </c>
      <c r="O7" s="165">
        <v>0</v>
      </c>
      <c r="P7" s="6" t="str">
        <f t="shared" si="4"/>
        <v>RO_Data[6].SETPOINT[</v>
      </c>
      <c r="Q7" s="23">
        <f t="shared" ref="Q7:Q24" si="16">Q6+1</f>
        <v>2</v>
      </c>
      <c r="R7" s="27" t="s">
        <v>22</v>
      </c>
      <c r="S7" s="9" t="str">
        <f t="shared" si="5"/>
        <v>P</v>
      </c>
      <c r="T7" s="18"/>
      <c r="U7" s="19"/>
      <c r="V7" s="19"/>
      <c r="W7" s="19"/>
      <c r="X7" s="19"/>
      <c r="Y7" s="58"/>
      <c r="Z7" s="58"/>
      <c r="AA7" s="58">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RO_Data[6].COND1[</v>
      </c>
      <c r="BB7" s="23">
        <f t="shared" ref="BB7:BB24" si="17">BB6+1</f>
        <v>2</v>
      </c>
      <c r="BC7" s="27"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RO_Data[6].COND2[</v>
      </c>
      <c r="CL7" s="23">
        <f t="shared" ref="CL7:CL24" si="18">CL6+1</f>
        <v>2</v>
      </c>
      <c r="CM7" s="27"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27"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RO_Data[6].ACT1[</v>
      </c>
      <c r="FF7" s="23">
        <f t="shared" ref="FF7:FF24" si="20">FF6+1</f>
        <v>2</v>
      </c>
      <c r="FG7" s="27"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27"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27" t="s">
        <v>22</v>
      </c>
      <c r="IB7" s="62" t="s">
        <v>225</v>
      </c>
      <c r="IC7" s="6" t="str">
        <f t="shared" si="12"/>
        <v>RO_Data[6].STEP_DESC[</v>
      </c>
      <c r="ID7" s="23">
        <f t="shared" ref="ID7:ID24" si="23">ID6+1</f>
        <v>2</v>
      </c>
      <c r="IE7" s="27" t="s">
        <v>22</v>
      </c>
    </row>
    <row r="8" spans="1:239" x14ac:dyDescent="0.25">
      <c r="A8" s="8">
        <v>3</v>
      </c>
      <c r="B8" s="8" t="str">
        <f t="shared" si="0"/>
        <v>ADDING CHEMICALS</v>
      </c>
      <c r="C8" s="77"/>
      <c r="D8" s="6" t="str">
        <f t="shared" si="1"/>
        <v>RO_Data[6].ACK_DESC[</v>
      </c>
      <c r="E8" s="23">
        <f t="shared" si="13"/>
        <v>3</v>
      </c>
      <c r="F8" s="27" t="s">
        <v>22</v>
      </c>
      <c r="G8" s="161">
        <v>0</v>
      </c>
      <c r="H8" s="6" t="str">
        <f t="shared" si="2"/>
        <v>RO_Data[6].MIN[</v>
      </c>
      <c r="I8" s="23">
        <f t="shared" si="14"/>
        <v>3</v>
      </c>
      <c r="J8" s="27" t="s">
        <v>22</v>
      </c>
      <c r="K8" s="161">
        <v>1</v>
      </c>
      <c r="L8" s="6" t="str">
        <f t="shared" si="3"/>
        <v>RO_Data[6].SEC[</v>
      </c>
      <c r="M8" s="23">
        <f t="shared" si="15"/>
        <v>3</v>
      </c>
      <c r="N8" s="27" t="s">
        <v>22</v>
      </c>
      <c r="O8" s="165">
        <v>0</v>
      </c>
      <c r="P8" s="6" t="str">
        <f t="shared" si="4"/>
        <v>RO_Data[6].SETPOINT[</v>
      </c>
      <c r="Q8" s="23">
        <f t="shared" si="16"/>
        <v>3</v>
      </c>
      <c r="R8" s="27" t="s">
        <v>22</v>
      </c>
      <c r="S8" s="9" t="str">
        <f t="shared" si="5"/>
        <v>P</v>
      </c>
      <c r="T8" s="18"/>
      <c r="U8" s="19"/>
      <c r="V8" s="19"/>
      <c r="W8" s="19"/>
      <c r="X8" s="19"/>
      <c r="Y8" s="58"/>
      <c r="Z8" s="58"/>
      <c r="AA8" s="58"/>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RO_Data[6].COND1[</v>
      </c>
      <c r="BB8" s="23">
        <f t="shared" si="17"/>
        <v>3</v>
      </c>
      <c r="BC8" s="27"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RO_Data[6].COND2[</v>
      </c>
      <c r="CL8" s="23">
        <f t="shared" si="18"/>
        <v>3</v>
      </c>
      <c r="CM8" s="27"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RO_Data[6].COND3[</v>
      </c>
      <c r="DV8" s="23">
        <f t="shared" si="19"/>
        <v>3</v>
      </c>
      <c r="DW8" s="27"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RO_Data[6].ACT1[</v>
      </c>
      <c r="FF8" s="23">
        <f t="shared" si="20"/>
        <v>3</v>
      </c>
      <c r="FG8" s="27"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27"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27" t="s">
        <v>22</v>
      </c>
      <c r="IB8" s="62" t="s">
        <v>227</v>
      </c>
      <c r="IC8" s="6" t="str">
        <f t="shared" si="12"/>
        <v>RO_Data[6].STEP_DESC[</v>
      </c>
      <c r="ID8" s="23">
        <f t="shared" si="23"/>
        <v>3</v>
      </c>
      <c r="IE8" s="27" t="s">
        <v>22</v>
      </c>
    </row>
    <row r="9" spans="1:239" x14ac:dyDescent="0.25">
      <c r="A9" s="8">
        <v>4</v>
      </c>
      <c r="B9" s="8" t="str">
        <f t="shared" si="0"/>
        <v>CHECK PH - HOLD FOR ACKNOWLEDGE</v>
      </c>
      <c r="C9" s="77"/>
      <c r="D9" s="6" t="str">
        <f t="shared" si="1"/>
        <v>RO_Data[6].ACK_DESC[</v>
      </c>
      <c r="E9" s="23">
        <f t="shared" si="13"/>
        <v>4</v>
      </c>
      <c r="F9" s="27" t="s">
        <v>22</v>
      </c>
      <c r="G9" s="161">
        <v>0</v>
      </c>
      <c r="H9" s="6" t="str">
        <f t="shared" si="2"/>
        <v>RO_Data[6].MIN[</v>
      </c>
      <c r="I9" s="23">
        <f t="shared" si="14"/>
        <v>4</v>
      </c>
      <c r="J9" s="27" t="s">
        <v>22</v>
      </c>
      <c r="K9" s="161">
        <v>1</v>
      </c>
      <c r="L9" s="6" t="str">
        <f t="shared" si="3"/>
        <v>RO_Data[6].SEC[</v>
      </c>
      <c r="M9" s="23">
        <f t="shared" si="15"/>
        <v>4</v>
      </c>
      <c r="N9" s="27" t="s">
        <v>22</v>
      </c>
      <c r="O9" s="165">
        <v>0</v>
      </c>
      <c r="P9" s="6" t="str">
        <f t="shared" si="4"/>
        <v>RO_Data[6].SETPOINT[</v>
      </c>
      <c r="Q9" s="23">
        <f t="shared" si="16"/>
        <v>4</v>
      </c>
      <c r="R9" s="27" t="s">
        <v>22</v>
      </c>
      <c r="S9" s="9" t="str">
        <f t="shared" si="5"/>
        <v/>
      </c>
      <c r="T9" s="18"/>
      <c r="U9" s="19"/>
      <c r="V9" s="19"/>
      <c r="W9" s="19"/>
      <c r="X9" s="19"/>
      <c r="Y9" s="58"/>
      <c r="Z9" s="58"/>
      <c r="AA9" s="58"/>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RO_Data[6].COND1[</v>
      </c>
      <c r="BB9" s="23">
        <f t="shared" si="17"/>
        <v>4</v>
      </c>
      <c r="BC9" s="27"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RO_Data[6].COND2[</v>
      </c>
      <c r="CL9" s="23">
        <f t="shared" si="18"/>
        <v>4</v>
      </c>
      <c r="CM9" s="27"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RO_Data[6].COND3[</v>
      </c>
      <c r="DV9" s="23">
        <f t="shared" si="19"/>
        <v>4</v>
      </c>
      <c r="DW9" s="27"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RO_Data[6].ACT1[</v>
      </c>
      <c r="FF9" s="23">
        <f t="shared" si="20"/>
        <v>4</v>
      </c>
      <c r="FG9" s="27"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27"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RO_Data[6].ACT6[</v>
      </c>
      <c r="HZ9" s="23">
        <f t="shared" si="22"/>
        <v>4</v>
      </c>
      <c r="IA9" s="27" t="s">
        <v>22</v>
      </c>
      <c r="IB9" s="62" t="s">
        <v>355</v>
      </c>
      <c r="IC9" s="6" t="str">
        <f t="shared" si="12"/>
        <v>RO_Data[6].STEP_DESC[</v>
      </c>
      <c r="ID9" s="23">
        <f t="shared" si="23"/>
        <v>4</v>
      </c>
      <c r="IE9" s="27" t="s">
        <v>22</v>
      </c>
    </row>
    <row r="10" spans="1:239" x14ac:dyDescent="0.25">
      <c r="A10" s="8">
        <v>5</v>
      </c>
      <c r="B10" s="8" t="str">
        <f t="shared" si="0"/>
        <v>SANITIZE</v>
      </c>
      <c r="C10" s="77"/>
      <c r="D10" s="6" t="str">
        <f t="shared" si="1"/>
        <v>RO_Data[6].ACK_DESC[</v>
      </c>
      <c r="E10" s="23">
        <f t="shared" si="13"/>
        <v>5</v>
      </c>
      <c r="F10" s="27" t="s">
        <v>22</v>
      </c>
      <c r="G10" s="161">
        <v>0</v>
      </c>
      <c r="H10" s="6" t="str">
        <f t="shared" si="2"/>
        <v>RO_Data[6].MIN[</v>
      </c>
      <c r="I10" s="23">
        <f t="shared" si="14"/>
        <v>5</v>
      </c>
      <c r="J10" s="27" t="s">
        <v>22</v>
      </c>
      <c r="K10" s="161">
        <v>1</v>
      </c>
      <c r="L10" s="6" t="str">
        <f t="shared" si="3"/>
        <v>RO_Data[6].SEC[</v>
      </c>
      <c r="M10" s="23">
        <f t="shared" si="15"/>
        <v>5</v>
      </c>
      <c r="N10" s="27" t="s">
        <v>22</v>
      </c>
      <c r="O10" s="165">
        <v>0</v>
      </c>
      <c r="P10" s="6" t="str">
        <f t="shared" si="4"/>
        <v>RO_Data[6].SETPOINT[</v>
      </c>
      <c r="Q10" s="23">
        <f t="shared" si="16"/>
        <v>5</v>
      </c>
      <c r="R10" s="27" t="s">
        <v>22</v>
      </c>
      <c r="S10" s="9" t="str">
        <f t="shared" si="5"/>
        <v>P</v>
      </c>
      <c r="T10" s="18"/>
      <c r="U10" s="19"/>
      <c r="V10" s="19"/>
      <c r="W10" s="19"/>
      <c r="X10" s="19"/>
      <c r="Y10" s="58"/>
      <c r="Z10" s="58"/>
      <c r="AA10" s="58"/>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RO_Data[6].COND1[</v>
      </c>
      <c r="BB10" s="23">
        <f t="shared" si="17"/>
        <v>5</v>
      </c>
      <c r="BC10" s="27"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RO_Data[6].COND2[</v>
      </c>
      <c r="CL10" s="23">
        <f t="shared" si="18"/>
        <v>5</v>
      </c>
      <c r="CM10" s="27"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27"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RO_Data[6].ACT1[</v>
      </c>
      <c r="FF10" s="23">
        <f t="shared" si="20"/>
        <v>5</v>
      </c>
      <c r="FG10" s="27"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RO_Data[6].ACT5[</v>
      </c>
      <c r="GP10" s="23">
        <f t="shared" si="21"/>
        <v>5</v>
      </c>
      <c r="GQ10" s="27"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RO_Data[6].ACT6[</v>
      </c>
      <c r="HZ10" s="23">
        <f t="shared" si="22"/>
        <v>5</v>
      </c>
      <c r="IA10" s="27" t="s">
        <v>22</v>
      </c>
      <c r="IB10" s="10" t="s">
        <v>111</v>
      </c>
      <c r="IC10" s="6" t="str">
        <f t="shared" si="12"/>
        <v>RO_Data[6].STEP_DESC[</v>
      </c>
      <c r="ID10" s="23">
        <f t="shared" si="23"/>
        <v>5</v>
      </c>
      <c r="IE10" s="27" t="s">
        <v>22</v>
      </c>
    </row>
    <row r="11" spans="1:239" x14ac:dyDescent="0.25">
      <c r="A11" s="8">
        <v>6</v>
      </c>
      <c r="B11" s="8" t="str">
        <f t="shared" si="0"/>
        <v>PUMPING DOWN FEED TANK</v>
      </c>
      <c r="C11" s="77"/>
      <c r="D11" s="6" t="str">
        <f t="shared" si="1"/>
        <v>RO_Data[6].ACK_DESC[</v>
      </c>
      <c r="E11" s="23">
        <f t="shared" si="13"/>
        <v>6</v>
      </c>
      <c r="F11" s="27" t="s">
        <v>22</v>
      </c>
      <c r="G11" s="161">
        <v>0</v>
      </c>
      <c r="H11" s="6" t="str">
        <f t="shared" si="2"/>
        <v>RO_Data[6].MIN[</v>
      </c>
      <c r="I11" s="23">
        <f t="shared" si="14"/>
        <v>6</v>
      </c>
      <c r="J11" s="27" t="s">
        <v>22</v>
      </c>
      <c r="K11" s="161">
        <v>1</v>
      </c>
      <c r="L11" s="6" t="str">
        <f t="shared" si="3"/>
        <v>RO_Data[6].SEC[</v>
      </c>
      <c r="M11" s="23">
        <f t="shared" si="15"/>
        <v>6</v>
      </c>
      <c r="N11" s="27" t="s">
        <v>22</v>
      </c>
      <c r="O11" s="165">
        <v>0</v>
      </c>
      <c r="P11" s="6" t="str">
        <f t="shared" si="4"/>
        <v>RO_Data[6].SETPOINT[</v>
      </c>
      <c r="Q11" s="23">
        <f t="shared" si="16"/>
        <v>6</v>
      </c>
      <c r="R11" s="27" t="s">
        <v>22</v>
      </c>
      <c r="S11" s="9" t="str">
        <f t="shared" si="5"/>
        <v>P</v>
      </c>
      <c r="T11" s="18"/>
      <c r="U11" s="19"/>
      <c r="V11" s="19"/>
      <c r="W11" s="19"/>
      <c r="X11" s="19"/>
      <c r="Y11" s="58"/>
      <c r="Z11" s="58"/>
      <c r="AA11" s="58"/>
      <c r="AB11" s="19"/>
      <c r="AC11" s="19"/>
      <c r="AD11" s="19"/>
      <c r="AE11" s="19"/>
      <c r="AF11" s="19">
        <v>1</v>
      </c>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524800</v>
      </c>
      <c r="BA11" s="6" t="str">
        <f t="shared" si="6"/>
        <v>RO_Data[6].COND1[</v>
      </c>
      <c r="BB11" s="23">
        <f t="shared" si="17"/>
        <v>6</v>
      </c>
      <c r="BC11" s="27"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RO_Data[6].COND2[</v>
      </c>
      <c r="CL11" s="23">
        <f t="shared" si="18"/>
        <v>6</v>
      </c>
      <c r="CM11" s="27"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RO_Data[6].COND3[</v>
      </c>
      <c r="DV11" s="23">
        <f t="shared" si="19"/>
        <v>6</v>
      </c>
      <c r="DW11" s="27"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RO_Data[6].ACT1[</v>
      </c>
      <c r="FF11" s="23">
        <f t="shared" si="20"/>
        <v>6</v>
      </c>
      <c r="FG11" s="27"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RO_Data[6].ACT5[</v>
      </c>
      <c r="GP11" s="23">
        <f t="shared" si="21"/>
        <v>6</v>
      </c>
      <c r="GQ11" s="27"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RO_Data[6].ACT6[</v>
      </c>
      <c r="HZ11" s="23">
        <f t="shared" si="22"/>
        <v>6</v>
      </c>
      <c r="IA11" s="27" t="s">
        <v>22</v>
      </c>
      <c r="IB11" s="10" t="s">
        <v>230</v>
      </c>
      <c r="IC11" s="6" t="str">
        <f t="shared" si="12"/>
        <v>RO_Data[6].STEP_DESC[</v>
      </c>
      <c r="ID11" s="23">
        <f t="shared" si="23"/>
        <v>6</v>
      </c>
      <c r="IE11" s="27" t="s">
        <v>22</v>
      </c>
    </row>
    <row r="12" spans="1:239" x14ac:dyDescent="0.25">
      <c r="A12" s="8">
        <v>7</v>
      </c>
      <c r="B12" s="8" t="str">
        <f t="shared" si="0"/>
        <v>DRAINING BALANCE TANKS</v>
      </c>
      <c r="C12" s="77"/>
      <c r="D12" s="6" t="str">
        <f t="shared" si="1"/>
        <v>RO_Data[6].ACK_DESC[</v>
      </c>
      <c r="E12" s="23">
        <f t="shared" si="13"/>
        <v>7</v>
      </c>
      <c r="F12" s="27" t="s">
        <v>22</v>
      </c>
      <c r="G12" s="161">
        <v>0</v>
      </c>
      <c r="H12" s="6" t="str">
        <f t="shared" si="2"/>
        <v>RO_Data[6].MIN[</v>
      </c>
      <c r="I12" s="23">
        <f t="shared" si="14"/>
        <v>7</v>
      </c>
      <c r="J12" s="27" t="s">
        <v>22</v>
      </c>
      <c r="K12" s="161">
        <v>1</v>
      </c>
      <c r="L12" s="6" t="str">
        <f t="shared" si="3"/>
        <v>RO_Data[6].SEC[</v>
      </c>
      <c r="M12" s="23">
        <f t="shared" si="15"/>
        <v>7</v>
      </c>
      <c r="N12" s="27" t="s">
        <v>22</v>
      </c>
      <c r="O12" s="165">
        <v>0</v>
      </c>
      <c r="P12" s="6" t="str">
        <f t="shared" si="4"/>
        <v>RO_Data[6].SETPOINT[</v>
      </c>
      <c r="Q12" s="23">
        <f t="shared" si="16"/>
        <v>7</v>
      </c>
      <c r="R12" s="27" t="s">
        <v>22</v>
      </c>
      <c r="S12" s="9" t="str">
        <f t="shared" si="5"/>
        <v>P</v>
      </c>
      <c r="T12" s="18"/>
      <c r="U12" s="19"/>
      <c r="V12" s="19"/>
      <c r="W12" s="19"/>
      <c r="X12" s="19"/>
      <c r="Y12" s="58"/>
      <c r="Z12" s="58"/>
      <c r="AA12" s="58"/>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RO_Data[6].COND1[</v>
      </c>
      <c r="BB12" s="23">
        <f t="shared" si="17"/>
        <v>7</v>
      </c>
      <c r="BC12" s="27"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RO_Data[6].COND2[</v>
      </c>
      <c r="CL12" s="23">
        <f t="shared" si="18"/>
        <v>7</v>
      </c>
      <c r="CM12" s="27"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27"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RO_Data[6].ACT1[</v>
      </c>
      <c r="FF12" s="23">
        <f t="shared" si="20"/>
        <v>7</v>
      </c>
      <c r="FG12" s="27"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27"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27" t="s">
        <v>22</v>
      </c>
      <c r="IB12" s="10" t="s">
        <v>247</v>
      </c>
      <c r="IC12" s="6" t="str">
        <f t="shared" si="12"/>
        <v>RO_Data[6].STEP_DESC[</v>
      </c>
      <c r="ID12" s="23">
        <f t="shared" si="23"/>
        <v>7</v>
      </c>
      <c r="IE12" s="27" t="s">
        <v>22</v>
      </c>
    </row>
    <row r="13" spans="1:239" s="70" customFormat="1" x14ac:dyDescent="0.25">
      <c r="A13" s="61">
        <v>8</v>
      </c>
      <c r="B13" s="61" t="str">
        <f t="shared" si="0"/>
        <v>FILLING FEED TANK TO SET POINT LEVEL</v>
      </c>
      <c r="C13" s="78"/>
      <c r="D13" s="63" t="str">
        <f t="shared" si="1"/>
        <v>RO_Data[6].ACK_DESC[</v>
      </c>
      <c r="E13" s="64">
        <f t="shared" si="13"/>
        <v>8</v>
      </c>
      <c r="F13" s="65" t="s">
        <v>22</v>
      </c>
      <c r="G13" s="162">
        <v>0</v>
      </c>
      <c r="H13" s="63" t="str">
        <f t="shared" si="2"/>
        <v>RO_Data[6].MIN[</v>
      </c>
      <c r="I13" s="64">
        <f t="shared" si="14"/>
        <v>8</v>
      </c>
      <c r="J13" s="65" t="s">
        <v>22</v>
      </c>
      <c r="K13" s="161">
        <v>1</v>
      </c>
      <c r="L13" s="63" t="str">
        <f t="shared" si="3"/>
        <v>RO_Data[6].SEC[</v>
      </c>
      <c r="M13" s="64">
        <f t="shared" si="15"/>
        <v>8</v>
      </c>
      <c r="N13" s="65" t="s">
        <v>22</v>
      </c>
      <c r="O13" s="166">
        <v>0</v>
      </c>
      <c r="P13" s="63" t="str">
        <f t="shared" si="4"/>
        <v>RO_Data[6].SETPOINT[</v>
      </c>
      <c r="Q13" s="64">
        <f t="shared" si="16"/>
        <v>8</v>
      </c>
      <c r="R13" s="65" t="s">
        <v>22</v>
      </c>
      <c r="S13" s="66" t="str">
        <f t="shared" si="5"/>
        <v>P</v>
      </c>
      <c r="T13" s="67"/>
      <c r="U13" s="58"/>
      <c r="V13" s="58"/>
      <c r="W13" s="58">
        <v>1</v>
      </c>
      <c r="X13" s="58"/>
      <c r="Y13" s="58"/>
      <c r="Z13" s="58"/>
      <c r="AA13" s="58"/>
      <c r="AB13" s="58"/>
      <c r="AC13" s="58"/>
      <c r="AD13" s="58"/>
      <c r="AE13" s="58"/>
      <c r="AF13" s="58"/>
      <c r="AG13" s="58"/>
      <c r="AH13" s="58"/>
      <c r="AI13" s="58">
        <v>1</v>
      </c>
      <c r="AJ13" s="58"/>
      <c r="AK13" s="58"/>
      <c r="AL13" s="58"/>
      <c r="AM13" s="58"/>
      <c r="AN13" s="58"/>
      <c r="AO13" s="58"/>
      <c r="AP13" s="58">
        <v>1</v>
      </c>
      <c r="AQ13" s="58"/>
      <c r="AR13" s="58"/>
      <c r="AS13" s="58"/>
      <c r="AT13" s="58"/>
      <c r="AU13" s="58"/>
      <c r="AV13" s="58"/>
      <c r="AW13" s="58"/>
      <c r="AX13" s="58"/>
      <c r="AY13" s="68"/>
      <c r="AZ13" s="61">
        <f t="array" ref="AZ13">Bin2DecRange($T13:$AY13)</f>
        <v>268501504</v>
      </c>
      <c r="BA13" s="63" t="str">
        <f t="shared" si="6"/>
        <v>RO_Data[6].COND1[</v>
      </c>
      <c r="BB13" s="64">
        <f t="shared" si="17"/>
        <v>8</v>
      </c>
      <c r="BC13" s="65" t="s">
        <v>22</v>
      </c>
      <c r="BD13" s="67"/>
      <c r="BE13" s="58"/>
      <c r="BF13" s="58"/>
      <c r="BG13" s="58"/>
      <c r="BH13" s="58"/>
      <c r="BI13" s="58"/>
      <c r="BJ13" s="58"/>
      <c r="BK13" s="58"/>
      <c r="BL13" s="58"/>
      <c r="BM13" s="58"/>
      <c r="BN13" s="58"/>
      <c r="BO13" s="58"/>
      <c r="BP13" s="58"/>
      <c r="BQ13" s="58"/>
      <c r="BR13" s="58"/>
      <c r="BS13" s="58"/>
      <c r="BT13" s="58"/>
      <c r="BU13" s="58"/>
      <c r="BV13" s="58"/>
      <c r="BW13" s="58"/>
      <c r="BX13" s="58"/>
      <c r="BY13" s="58"/>
      <c r="BZ13" s="58"/>
      <c r="CA13" s="58"/>
      <c r="CB13" s="58"/>
      <c r="CC13" s="58"/>
      <c r="CD13" s="58"/>
      <c r="CE13" s="58"/>
      <c r="CF13" s="58"/>
      <c r="CG13" s="58"/>
      <c r="CH13" s="58"/>
      <c r="CI13" s="68"/>
      <c r="CJ13" s="61">
        <v>0</v>
      </c>
      <c r="CK13" s="63" t="str">
        <f t="shared" si="7"/>
        <v>RO_Data[6].COND2[</v>
      </c>
      <c r="CL13" s="64">
        <f t="shared" si="18"/>
        <v>8</v>
      </c>
      <c r="CM13" s="65" t="s">
        <v>22</v>
      </c>
      <c r="CN13" s="67"/>
      <c r="CO13" s="58"/>
      <c r="CP13" s="58"/>
      <c r="CQ13" s="58"/>
      <c r="CR13" s="58"/>
      <c r="CS13" s="58"/>
      <c r="CT13" s="58"/>
      <c r="CU13" s="58"/>
      <c r="CV13" s="58"/>
      <c r="CW13" s="58"/>
      <c r="CX13" s="58"/>
      <c r="CY13" s="58"/>
      <c r="CZ13" s="58"/>
      <c r="DA13" s="58"/>
      <c r="DB13" s="58"/>
      <c r="DC13" s="58"/>
      <c r="DD13" s="58"/>
      <c r="DE13" s="58"/>
      <c r="DF13" s="58"/>
      <c r="DG13" s="58"/>
      <c r="DH13" s="58"/>
      <c r="DI13" s="58"/>
      <c r="DJ13" s="58"/>
      <c r="DK13" s="58"/>
      <c r="DL13" s="58"/>
      <c r="DM13" s="58"/>
      <c r="DN13" s="58"/>
      <c r="DO13" s="58"/>
      <c r="DP13" s="58"/>
      <c r="DQ13" s="58"/>
      <c r="DR13" s="58"/>
      <c r="DS13" s="68"/>
      <c r="DT13" s="61" cm="1">
        <f t="array" ref="DT13">Bin2DecRange($CN13:$DS13)</f>
        <v>0</v>
      </c>
      <c r="DU13" s="63" t="str">
        <f t="shared" si="8"/>
        <v>RO_Data[6].COND3[</v>
      </c>
      <c r="DV13" s="64">
        <f t="shared" si="19"/>
        <v>8</v>
      </c>
      <c r="DW13" s="65" t="s">
        <v>22</v>
      </c>
      <c r="DX13" s="69">
        <v>1</v>
      </c>
      <c r="DY13" s="58"/>
      <c r="DZ13" s="58"/>
      <c r="EA13" s="58"/>
      <c r="EB13" s="58">
        <v>1</v>
      </c>
      <c r="EC13" s="58"/>
      <c r="ED13" s="58">
        <v>1</v>
      </c>
      <c r="EE13" s="58">
        <v>1</v>
      </c>
      <c r="EF13" s="58"/>
      <c r="EG13" s="58"/>
      <c r="EH13" s="58">
        <v>1</v>
      </c>
      <c r="EI13" s="58">
        <v>1</v>
      </c>
      <c r="EJ13" s="58"/>
      <c r="EK13" s="58"/>
      <c r="EL13" s="58"/>
      <c r="EM13" s="58">
        <v>1</v>
      </c>
      <c r="EN13" s="58">
        <v>1</v>
      </c>
      <c r="EO13" s="58"/>
      <c r="EP13" s="58"/>
      <c r="EQ13" s="58"/>
      <c r="ER13" s="58"/>
      <c r="ES13" s="58"/>
      <c r="ET13" s="58"/>
      <c r="EU13" s="58"/>
      <c r="EV13" s="58"/>
      <c r="EW13" s="58"/>
      <c r="EX13" s="58"/>
      <c r="EY13" s="58"/>
      <c r="EZ13" s="58"/>
      <c r="FA13" s="58"/>
      <c r="FB13" s="58"/>
      <c r="FC13" s="68"/>
      <c r="FD13" s="61">
        <f t="array" ref="FD13">Bin2DecRange($DX13:$FC13)</f>
        <v>-1959690240</v>
      </c>
      <c r="FE13" s="63" t="str">
        <f t="shared" si="9"/>
        <v>RO_Data[6].ACT1[</v>
      </c>
      <c r="FF13" s="64">
        <f t="shared" si="20"/>
        <v>8</v>
      </c>
      <c r="FG13" s="65" t="s">
        <v>22</v>
      </c>
      <c r="FH13" s="69"/>
      <c r="FI13" s="58"/>
      <c r="FJ13" s="58"/>
      <c r="FK13" s="58"/>
      <c r="FL13" s="58"/>
      <c r="FM13" s="58"/>
      <c r="FN13" s="58"/>
      <c r="FO13" s="58"/>
      <c r="FP13" s="58"/>
      <c r="FQ13" s="58"/>
      <c r="FR13" s="58"/>
      <c r="FS13" s="58"/>
      <c r="FT13" s="58"/>
      <c r="FU13" s="58"/>
      <c r="FV13" s="58"/>
      <c r="FW13" s="58"/>
      <c r="FX13" s="58"/>
      <c r="FY13" s="58"/>
      <c r="FZ13" s="58"/>
      <c r="GA13" s="58"/>
      <c r="GB13" s="58"/>
      <c r="GC13" s="58"/>
      <c r="GD13" s="58"/>
      <c r="GE13" s="58"/>
      <c r="GF13" s="58"/>
      <c r="GG13" s="58"/>
      <c r="GH13" s="58"/>
      <c r="GI13" s="58"/>
      <c r="GJ13" s="58"/>
      <c r="GK13" s="58"/>
      <c r="GL13" s="58"/>
      <c r="GM13" s="68"/>
      <c r="GN13" s="61" cm="1">
        <f t="array" ref="GN13">Bin2DecRange($FH13:$GM13)</f>
        <v>0</v>
      </c>
      <c r="GO13" s="63" t="str">
        <f t="shared" si="10"/>
        <v>RO_Data[6].ACT5[</v>
      </c>
      <c r="GP13" s="64">
        <f t="shared" si="21"/>
        <v>8</v>
      </c>
      <c r="GQ13" s="65" t="s">
        <v>22</v>
      </c>
      <c r="GR13" s="69"/>
      <c r="GS13" s="58"/>
      <c r="GT13" s="58"/>
      <c r="GU13" s="58"/>
      <c r="GV13" s="58"/>
      <c r="GW13" s="58"/>
      <c r="GX13" s="58"/>
      <c r="GY13" s="58"/>
      <c r="GZ13" s="58"/>
      <c r="HA13" s="58"/>
      <c r="HB13" s="58"/>
      <c r="HC13" s="58"/>
      <c r="HD13" s="58"/>
      <c r="HE13" s="58"/>
      <c r="HF13" s="58"/>
      <c r="HG13" s="58"/>
      <c r="HH13" s="58"/>
      <c r="HI13" s="58"/>
      <c r="HJ13" s="58"/>
      <c r="HK13" s="58"/>
      <c r="HL13" s="58"/>
      <c r="HM13" s="58"/>
      <c r="HN13" s="58"/>
      <c r="HO13" s="58"/>
      <c r="HP13" s="58"/>
      <c r="HQ13" s="58"/>
      <c r="HR13" s="58"/>
      <c r="HS13" s="58"/>
      <c r="HT13" s="58"/>
      <c r="HU13" s="58"/>
      <c r="HV13" s="58"/>
      <c r="HW13" s="68"/>
      <c r="HX13" s="61" cm="1">
        <f t="array" ref="HX13">Bin2DecRange($GR13:$HW13)</f>
        <v>0</v>
      </c>
      <c r="HY13" s="63" t="str">
        <f t="shared" si="11"/>
        <v>RO_Data[6].ACT6[</v>
      </c>
      <c r="HZ13" s="64">
        <f t="shared" si="22"/>
        <v>8</v>
      </c>
      <c r="IA13" s="65" t="s">
        <v>22</v>
      </c>
      <c r="IB13" s="62" t="s">
        <v>224</v>
      </c>
      <c r="IC13" s="63" t="str">
        <f t="shared" si="12"/>
        <v>RO_Data[6].STEP_DESC[</v>
      </c>
      <c r="ID13" s="64">
        <f t="shared" si="23"/>
        <v>8</v>
      </c>
      <c r="IE13" s="65" t="s">
        <v>22</v>
      </c>
    </row>
    <row r="14" spans="1:239" s="70" customFormat="1" x14ac:dyDescent="0.25">
      <c r="A14" s="61">
        <v>9</v>
      </c>
      <c r="B14" s="61" t="str">
        <f t="shared" si="0"/>
        <v>STARTING PUMPS</v>
      </c>
      <c r="C14" s="78"/>
      <c r="D14" s="63" t="str">
        <f t="shared" si="1"/>
        <v>RO_Data[6].ACK_DESC[</v>
      </c>
      <c r="E14" s="64">
        <f t="shared" si="13"/>
        <v>9</v>
      </c>
      <c r="F14" s="65" t="s">
        <v>22</v>
      </c>
      <c r="G14" s="162">
        <v>0</v>
      </c>
      <c r="H14" s="63" t="str">
        <f t="shared" si="2"/>
        <v>RO_Data[6].MIN[</v>
      </c>
      <c r="I14" s="64">
        <f t="shared" si="14"/>
        <v>9</v>
      </c>
      <c r="J14" s="65" t="s">
        <v>22</v>
      </c>
      <c r="K14" s="161">
        <v>30</v>
      </c>
      <c r="L14" s="63" t="str">
        <f t="shared" si="3"/>
        <v>RO_Data[6].SEC[</v>
      </c>
      <c r="M14" s="64">
        <f t="shared" si="15"/>
        <v>9</v>
      </c>
      <c r="N14" s="65" t="s">
        <v>22</v>
      </c>
      <c r="O14" s="166">
        <v>0</v>
      </c>
      <c r="P14" s="63" t="str">
        <f t="shared" si="4"/>
        <v>RO_Data[6].SETPOINT[</v>
      </c>
      <c r="Q14" s="64">
        <f t="shared" si="16"/>
        <v>9</v>
      </c>
      <c r="R14" s="65" t="s">
        <v>22</v>
      </c>
      <c r="S14" s="66" t="str">
        <f t="shared" si="5"/>
        <v>P</v>
      </c>
      <c r="T14" s="67"/>
      <c r="U14" s="58"/>
      <c r="V14" s="58"/>
      <c r="W14" s="58">
        <v>1</v>
      </c>
      <c r="X14" s="58"/>
      <c r="Y14" s="58"/>
      <c r="Z14" s="58"/>
      <c r="AA14" s="58">
        <v>1</v>
      </c>
      <c r="AB14" s="58"/>
      <c r="AC14" s="58"/>
      <c r="AD14" s="58"/>
      <c r="AE14" s="58"/>
      <c r="AF14" s="58"/>
      <c r="AG14" s="58"/>
      <c r="AH14" s="58"/>
      <c r="AI14" s="58"/>
      <c r="AJ14" s="58"/>
      <c r="AK14" s="58"/>
      <c r="AL14" s="58"/>
      <c r="AM14" s="58"/>
      <c r="AN14" s="58"/>
      <c r="AO14" s="58"/>
      <c r="AP14" s="58">
        <v>1</v>
      </c>
      <c r="AQ14" s="58"/>
      <c r="AR14" s="58"/>
      <c r="AS14" s="58"/>
      <c r="AT14" s="58"/>
      <c r="AU14" s="58"/>
      <c r="AV14" s="58"/>
      <c r="AW14" s="58"/>
      <c r="AX14" s="58"/>
      <c r="AY14" s="68"/>
      <c r="AZ14" s="61">
        <f t="array" ref="AZ14">Bin2DecRange($T14:$AY14)</f>
        <v>285213184</v>
      </c>
      <c r="BA14" s="63" t="str">
        <f t="shared" si="6"/>
        <v>RO_Data[6].COND1[</v>
      </c>
      <c r="BB14" s="64">
        <f t="shared" si="17"/>
        <v>9</v>
      </c>
      <c r="BC14" s="65" t="s">
        <v>22</v>
      </c>
      <c r="BD14" s="67"/>
      <c r="BE14" s="58"/>
      <c r="BF14" s="58"/>
      <c r="BG14" s="58"/>
      <c r="BH14" s="58"/>
      <c r="BI14" s="58"/>
      <c r="BJ14" s="58"/>
      <c r="BK14" s="58"/>
      <c r="BL14" s="58"/>
      <c r="BM14" s="58">
        <v>1</v>
      </c>
      <c r="BN14" s="58"/>
      <c r="BO14" s="58"/>
      <c r="BP14" s="58"/>
      <c r="BQ14" s="58"/>
      <c r="BR14" s="58"/>
      <c r="BS14" s="58">
        <v>1</v>
      </c>
      <c r="BT14" s="58"/>
      <c r="BU14" s="58"/>
      <c r="BV14" s="58"/>
      <c r="BW14" s="58"/>
      <c r="BX14" s="58"/>
      <c r="BY14" s="58"/>
      <c r="BZ14" s="58"/>
      <c r="CA14" s="58"/>
      <c r="CB14" s="58"/>
      <c r="CC14" s="58"/>
      <c r="CD14" s="58"/>
      <c r="CE14" s="58"/>
      <c r="CF14" s="58"/>
      <c r="CG14" s="58"/>
      <c r="CH14" s="58"/>
      <c r="CI14" s="68"/>
      <c r="CJ14" s="61">
        <v>4259840</v>
      </c>
      <c r="CK14" s="63" t="str">
        <f t="shared" si="7"/>
        <v>RO_Data[6].COND2[</v>
      </c>
      <c r="CL14" s="64">
        <f t="shared" si="18"/>
        <v>9</v>
      </c>
      <c r="CM14" s="65" t="s">
        <v>22</v>
      </c>
      <c r="CN14" s="67"/>
      <c r="CO14" s="58"/>
      <c r="CP14" s="58"/>
      <c r="CQ14" s="58"/>
      <c r="CR14" s="58"/>
      <c r="CS14" s="58"/>
      <c r="CT14" s="58"/>
      <c r="CU14" s="58"/>
      <c r="CV14" s="58"/>
      <c r="CW14" s="58"/>
      <c r="CX14" s="58"/>
      <c r="CY14" s="58"/>
      <c r="CZ14" s="58"/>
      <c r="DA14" s="58"/>
      <c r="DB14" s="58"/>
      <c r="DC14" s="58"/>
      <c r="DD14" s="58"/>
      <c r="DE14" s="58"/>
      <c r="DF14" s="58"/>
      <c r="DG14" s="58"/>
      <c r="DH14" s="58"/>
      <c r="DI14" s="58"/>
      <c r="DJ14" s="58"/>
      <c r="DK14" s="58"/>
      <c r="DL14" s="58"/>
      <c r="DM14" s="58"/>
      <c r="DN14" s="58"/>
      <c r="DO14" s="58"/>
      <c r="DP14" s="58"/>
      <c r="DQ14" s="58"/>
      <c r="DR14" s="58"/>
      <c r="DS14" s="68"/>
      <c r="DT14" s="61" cm="1">
        <f t="array" ref="DT14">Bin2DecRange($CN14:$DS14)</f>
        <v>0</v>
      </c>
      <c r="DU14" s="63" t="str">
        <f t="shared" si="8"/>
        <v>RO_Data[6].COND3[</v>
      </c>
      <c r="DV14" s="64">
        <f t="shared" si="19"/>
        <v>9</v>
      </c>
      <c r="DW14" s="65" t="s">
        <v>22</v>
      </c>
      <c r="DX14" s="69">
        <v>1</v>
      </c>
      <c r="DY14" s="58"/>
      <c r="DZ14" s="58"/>
      <c r="EA14" s="58"/>
      <c r="EB14" s="58">
        <v>1</v>
      </c>
      <c r="EC14" s="58"/>
      <c r="ED14" s="58">
        <v>1</v>
      </c>
      <c r="EE14" s="58">
        <v>1</v>
      </c>
      <c r="EF14" s="58"/>
      <c r="EG14" s="58"/>
      <c r="EH14" s="58">
        <v>1</v>
      </c>
      <c r="EI14" s="58">
        <v>1</v>
      </c>
      <c r="EJ14" s="58"/>
      <c r="EK14" s="58"/>
      <c r="EL14" s="58"/>
      <c r="EM14" s="58">
        <v>1</v>
      </c>
      <c r="EN14" s="58">
        <v>1</v>
      </c>
      <c r="EO14" s="58"/>
      <c r="EP14" s="58"/>
      <c r="EQ14" s="58"/>
      <c r="ER14" s="58"/>
      <c r="ES14" s="58"/>
      <c r="ET14" s="58"/>
      <c r="EU14" s="58"/>
      <c r="EV14" s="58"/>
      <c r="EW14" s="58"/>
      <c r="EX14" s="58"/>
      <c r="EY14" s="58"/>
      <c r="EZ14" s="58"/>
      <c r="FA14" s="58"/>
      <c r="FB14" s="58"/>
      <c r="FC14" s="68"/>
      <c r="FD14" s="61">
        <f t="array" ref="FD14">Bin2DecRange($DX14:$FC14)</f>
        <v>-1959690240</v>
      </c>
      <c r="FE14" s="63" t="str">
        <f t="shared" si="9"/>
        <v>RO_Data[6].ACT1[</v>
      </c>
      <c r="FF14" s="64">
        <f t="shared" si="20"/>
        <v>9</v>
      </c>
      <c r="FG14" s="65" t="s">
        <v>22</v>
      </c>
      <c r="FH14" s="69"/>
      <c r="FI14" s="58"/>
      <c r="FJ14" s="58"/>
      <c r="FK14" s="58"/>
      <c r="FL14" s="58"/>
      <c r="FM14" s="58"/>
      <c r="FN14" s="58"/>
      <c r="FO14" s="58"/>
      <c r="FP14" s="58"/>
      <c r="FQ14" s="58"/>
      <c r="FR14" s="58"/>
      <c r="FS14" s="58"/>
      <c r="FT14" s="58"/>
      <c r="FU14" s="58"/>
      <c r="FV14" s="58"/>
      <c r="FW14" s="58"/>
      <c r="FX14" s="58"/>
      <c r="FY14" s="58"/>
      <c r="FZ14" s="58"/>
      <c r="GA14" s="58"/>
      <c r="GB14" s="58"/>
      <c r="GC14" s="58"/>
      <c r="GD14" s="58"/>
      <c r="GE14" s="58">
        <v>1</v>
      </c>
      <c r="GF14" s="58">
        <v>1</v>
      </c>
      <c r="GG14" s="58">
        <v>1</v>
      </c>
      <c r="GH14" s="58">
        <v>1</v>
      </c>
      <c r="GI14" s="58">
        <v>1</v>
      </c>
      <c r="GJ14" s="58">
        <v>1</v>
      </c>
      <c r="GK14" s="58">
        <v>1</v>
      </c>
      <c r="GL14" s="58">
        <v>1</v>
      </c>
      <c r="GM14" s="68">
        <v>1</v>
      </c>
      <c r="GN14" s="61" cm="1">
        <f t="array" ref="GN14">Bin2DecRange($FH14:$GM14)</f>
        <v>511</v>
      </c>
      <c r="GO14" s="63" t="str">
        <f t="shared" si="10"/>
        <v>RO_Data[6].ACT5[</v>
      </c>
      <c r="GP14" s="64">
        <f t="shared" si="21"/>
        <v>9</v>
      </c>
      <c r="GQ14" s="65" t="s">
        <v>22</v>
      </c>
      <c r="GR14" s="69"/>
      <c r="GS14" s="58"/>
      <c r="GT14" s="58"/>
      <c r="GU14" s="58"/>
      <c r="GV14" s="58"/>
      <c r="GW14" s="58"/>
      <c r="GX14" s="58"/>
      <c r="GY14" s="58"/>
      <c r="GZ14" s="58"/>
      <c r="HA14" s="58"/>
      <c r="HB14" s="58"/>
      <c r="HC14" s="58"/>
      <c r="HD14" s="58"/>
      <c r="HE14" s="58"/>
      <c r="HF14" s="58"/>
      <c r="HG14" s="58"/>
      <c r="HH14" s="58"/>
      <c r="HI14" s="58"/>
      <c r="HJ14" s="58"/>
      <c r="HK14" s="58"/>
      <c r="HL14" s="58"/>
      <c r="HM14" s="58"/>
      <c r="HN14" s="58"/>
      <c r="HO14" s="58"/>
      <c r="HP14" s="58"/>
      <c r="HQ14" s="58"/>
      <c r="HR14" s="58"/>
      <c r="HS14" s="58"/>
      <c r="HT14" s="58"/>
      <c r="HU14" s="58"/>
      <c r="HV14" s="58"/>
      <c r="HW14" s="68"/>
      <c r="HX14" s="61" cm="1">
        <f t="array" ref="HX14">Bin2DecRange($GR14:$HW14)</f>
        <v>0</v>
      </c>
      <c r="HY14" s="63" t="str">
        <f t="shared" si="11"/>
        <v>RO_Data[6].ACT6[</v>
      </c>
      <c r="HZ14" s="64">
        <f t="shared" si="22"/>
        <v>9</v>
      </c>
      <c r="IA14" s="65" t="s">
        <v>22</v>
      </c>
      <c r="IB14" s="62" t="s">
        <v>225</v>
      </c>
      <c r="IC14" s="63" t="str">
        <f t="shared" si="12"/>
        <v>RO_Data[6].STEP_DESC[</v>
      </c>
      <c r="ID14" s="64">
        <f t="shared" si="23"/>
        <v>9</v>
      </c>
      <c r="IE14" s="65" t="s">
        <v>22</v>
      </c>
    </row>
    <row r="15" spans="1:239" s="70" customFormat="1" x14ac:dyDescent="0.25">
      <c r="A15" s="61">
        <v>10</v>
      </c>
      <c r="B15" s="61" t="str">
        <f t="shared" si="0"/>
        <v>RINSING STAGES</v>
      </c>
      <c r="C15" s="78"/>
      <c r="D15" s="63" t="str">
        <f t="shared" si="1"/>
        <v>RO_Data[6].ACK_DESC[</v>
      </c>
      <c r="E15" s="64">
        <f t="shared" si="13"/>
        <v>10</v>
      </c>
      <c r="F15" s="65" t="s">
        <v>22</v>
      </c>
      <c r="G15" s="162">
        <v>0</v>
      </c>
      <c r="H15" s="63" t="str">
        <f t="shared" si="2"/>
        <v>RO_Data[6].MIN[</v>
      </c>
      <c r="I15" s="64">
        <f t="shared" si="14"/>
        <v>10</v>
      </c>
      <c r="J15" s="65" t="s">
        <v>22</v>
      </c>
      <c r="K15" s="161">
        <v>1</v>
      </c>
      <c r="L15" s="63" t="str">
        <f t="shared" si="3"/>
        <v>RO_Data[6].SEC[</v>
      </c>
      <c r="M15" s="64">
        <f t="shared" si="15"/>
        <v>10</v>
      </c>
      <c r="N15" s="65" t="s">
        <v>22</v>
      </c>
      <c r="O15" s="166">
        <v>0</v>
      </c>
      <c r="P15" s="63" t="str">
        <f t="shared" si="4"/>
        <v>RO_Data[6].SETPOINT[</v>
      </c>
      <c r="Q15" s="64">
        <f t="shared" si="16"/>
        <v>10</v>
      </c>
      <c r="R15" s="65" t="s">
        <v>22</v>
      </c>
      <c r="S15" s="66" t="str">
        <f t="shared" si="5"/>
        <v>P</v>
      </c>
      <c r="T15" s="67"/>
      <c r="U15" s="58"/>
      <c r="V15" s="58"/>
      <c r="W15" s="58">
        <v>1</v>
      </c>
      <c r="X15" s="58"/>
      <c r="Y15" s="58"/>
      <c r="Z15" s="58"/>
      <c r="AA15" s="58"/>
      <c r="AB15" s="58"/>
      <c r="AC15" s="58"/>
      <c r="AD15" s="58"/>
      <c r="AE15" s="58"/>
      <c r="AF15" s="58"/>
      <c r="AG15" s="58"/>
      <c r="AH15" s="58"/>
      <c r="AI15" s="58"/>
      <c r="AJ15" s="58"/>
      <c r="AK15" s="58"/>
      <c r="AL15" s="58"/>
      <c r="AM15" s="58">
        <v>1</v>
      </c>
      <c r="AN15" s="58"/>
      <c r="AO15" s="58"/>
      <c r="AP15" s="58">
        <v>1</v>
      </c>
      <c r="AQ15" s="58"/>
      <c r="AR15" s="58"/>
      <c r="AS15" s="58"/>
      <c r="AT15" s="58"/>
      <c r="AU15" s="58"/>
      <c r="AV15" s="58"/>
      <c r="AW15" s="58"/>
      <c r="AX15" s="58"/>
      <c r="AY15" s="68"/>
      <c r="AZ15" s="61">
        <f t="array" ref="AZ15">Bin2DecRange($T15:$AY15)</f>
        <v>268440064</v>
      </c>
      <c r="BA15" s="63" t="str">
        <f t="shared" si="6"/>
        <v>RO_Data[6].COND1[</v>
      </c>
      <c r="BB15" s="64">
        <f t="shared" si="17"/>
        <v>10</v>
      </c>
      <c r="BC15" s="65" t="s">
        <v>22</v>
      </c>
      <c r="BD15" s="67"/>
      <c r="BE15" s="58"/>
      <c r="BF15" s="58"/>
      <c r="BG15" s="58"/>
      <c r="BH15" s="58"/>
      <c r="BI15" s="58"/>
      <c r="BJ15" s="58"/>
      <c r="BK15" s="58"/>
      <c r="BL15" s="58"/>
      <c r="BM15" s="58">
        <v>1</v>
      </c>
      <c r="BN15" s="58"/>
      <c r="BO15" s="58"/>
      <c r="BP15" s="58"/>
      <c r="BQ15" s="58"/>
      <c r="BR15" s="58"/>
      <c r="BS15" s="58">
        <v>1</v>
      </c>
      <c r="BT15" s="58"/>
      <c r="BU15" s="58"/>
      <c r="BV15" s="58"/>
      <c r="BW15" s="58"/>
      <c r="BX15" s="58"/>
      <c r="BY15" s="58"/>
      <c r="BZ15" s="58"/>
      <c r="CA15" s="58"/>
      <c r="CB15" s="58"/>
      <c r="CC15" s="58"/>
      <c r="CD15" s="58"/>
      <c r="CE15" s="58"/>
      <c r="CF15" s="58"/>
      <c r="CG15" s="58"/>
      <c r="CH15" s="58"/>
      <c r="CI15" s="68"/>
      <c r="CJ15" s="61">
        <v>4259840</v>
      </c>
      <c r="CK15" s="63" t="str">
        <f t="shared" si="7"/>
        <v>RO_Data[6].COND2[</v>
      </c>
      <c r="CL15" s="64">
        <f t="shared" si="18"/>
        <v>10</v>
      </c>
      <c r="CM15" s="65" t="s">
        <v>22</v>
      </c>
      <c r="CN15" s="67"/>
      <c r="CO15" s="58"/>
      <c r="CP15" s="58"/>
      <c r="CQ15" s="58"/>
      <c r="CR15" s="58"/>
      <c r="CS15" s="58"/>
      <c r="CT15" s="58"/>
      <c r="CU15" s="58"/>
      <c r="CV15" s="58"/>
      <c r="CW15" s="58"/>
      <c r="CX15" s="58"/>
      <c r="CY15" s="58"/>
      <c r="CZ15" s="58"/>
      <c r="DA15" s="58"/>
      <c r="DB15" s="58"/>
      <c r="DC15" s="58"/>
      <c r="DD15" s="58"/>
      <c r="DE15" s="58"/>
      <c r="DF15" s="58"/>
      <c r="DG15" s="58"/>
      <c r="DH15" s="58"/>
      <c r="DI15" s="58"/>
      <c r="DJ15" s="58"/>
      <c r="DK15" s="58"/>
      <c r="DL15" s="58"/>
      <c r="DM15" s="58"/>
      <c r="DN15" s="58"/>
      <c r="DO15" s="58"/>
      <c r="DP15" s="58"/>
      <c r="DQ15" s="58"/>
      <c r="DR15" s="58"/>
      <c r="DS15" s="68">
        <v>1</v>
      </c>
      <c r="DT15" s="61" cm="1">
        <f t="array" ref="DT15">Bin2DecRange($CN15:$DS15)</f>
        <v>1</v>
      </c>
      <c r="DU15" s="63" t="str">
        <f t="shared" si="8"/>
        <v>RO_Data[6].COND3[</v>
      </c>
      <c r="DV15" s="64">
        <f t="shared" si="19"/>
        <v>10</v>
      </c>
      <c r="DW15" s="65" t="s">
        <v>22</v>
      </c>
      <c r="DX15" s="69">
        <v>1</v>
      </c>
      <c r="DY15" s="58"/>
      <c r="DZ15" s="58"/>
      <c r="EA15" s="58"/>
      <c r="EB15" s="58">
        <v>1</v>
      </c>
      <c r="EC15" s="58"/>
      <c r="ED15" s="58">
        <v>1</v>
      </c>
      <c r="EE15" s="58">
        <v>1</v>
      </c>
      <c r="EF15" s="58"/>
      <c r="EG15" s="58"/>
      <c r="EH15" s="58">
        <v>1</v>
      </c>
      <c r="EI15" s="58">
        <v>1</v>
      </c>
      <c r="EJ15" s="58"/>
      <c r="EK15" s="58"/>
      <c r="EL15" s="58"/>
      <c r="EM15" s="58">
        <v>1</v>
      </c>
      <c r="EN15" s="58">
        <v>1</v>
      </c>
      <c r="EO15" s="58"/>
      <c r="EP15" s="58"/>
      <c r="EQ15" s="58"/>
      <c r="ER15" s="58"/>
      <c r="ES15" s="58"/>
      <c r="ET15" s="58"/>
      <c r="EU15" s="58"/>
      <c r="EV15" s="58"/>
      <c r="EW15" s="58"/>
      <c r="EX15" s="58"/>
      <c r="EY15" s="58"/>
      <c r="EZ15" s="58"/>
      <c r="FA15" s="58">
        <v>1</v>
      </c>
      <c r="FB15" s="58">
        <v>1</v>
      </c>
      <c r="FC15" s="68">
        <v>1</v>
      </c>
      <c r="FD15" s="61">
        <f t="array" ref="FD15">Bin2DecRange($DX15:$FC15)</f>
        <v>-1959690233</v>
      </c>
      <c r="FE15" s="63" t="str">
        <f t="shared" si="9"/>
        <v>RO_Data[6].ACT1[</v>
      </c>
      <c r="FF15" s="64">
        <f t="shared" si="20"/>
        <v>10</v>
      </c>
      <c r="FG15" s="65" t="s">
        <v>22</v>
      </c>
      <c r="FH15" s="69"/>
      <c r="FI15" s="58"/>
      <c r="FJ15" s="58"/>
      <c r="FK15" s="58"/>
      <c r="FL15" s="58"/>
      <c r="FM15" s="58"/>
      <c r="FN15" s="58"/>
      <c r="FO15" s="58"/>
      <c r="FP15" s="58"/>
      <c r="FQ15" s="58"/>
      <c r="FR15" s="58"/>
      <c r="FS15" s="58"/>
      <c r="FT15" s="58"/>
      <c r="FU15" s="58"/>
      <c r="FV15" s="58"/>
      <c r="FW15" s="58"/>
      <c r="FX15" s="58"/>
      <c r="FY15" s="58"/>
      <c r="FZ15" s="58"/>
      <c r="GA15" s="58"/>
      <c r="GB15" s="58"/>
      <c r="GC15" s="58"/>
      <c r="GD15" s="58"/>
      <c r="GE15" s="58">
        <v>1</v>
      </c>
      <c r="GF15" s="58">
        <v>1</v>
      </c>
      <c r="GG15" s="58">
        <v>1</v>
      </c>
      <c r="GH15" s="58">
        <v>1</v>
      </c>
      <c r="GI15" s="58">
        <v>1</v>
      </c>
      <c r="GJ15" s="58">
        <v>1</v>
      </c>
      <c r="GK15" s="58">
        <v>1</v>
      </c>
      <c r="GL15" s="58">
        <v>1</v>
      </c>
      <c r="GM15" s="68">
        <v>1</v>
      </c>
      <c r="GN15" s="61" cm="1">
        <f t="array" ref="GN15">Bin2DecRange($FH15:$GM15)</f>
        <v>511</v>
      </c>
      <c r="GO15" s="63" t="str">
        <f t="shared" si="10"/>
        <v>RO_Data[6].ACT5[</v>
      </c>
      <c r="GP15" s="64">
        <f t="shared" si="21"/>
        <v>10</v>
      </c>
      <c r="GQ15" s="65" t="s">
        <v>22</v>
      </c>
      <c r="GR15" s="69"/>
      <c r="GS15" s="58"/>
      <c r="GT15" s="58"/>
      <c r="GU15" s="58"/>
      <c r="GV15" s="58"/>
      <c r="GW15" s="58"/>
      <c r="GX15" s="58"/>
      <c r="GY15" s="58"/>
      <c r="GZ15" s="58"/>
      <c r="HA15" s="58"/>
      <c r="HB15" s="58"/>
      <c r="HC15" s="58"/>
      <c r="HD15" s="58"/>
      <c r="HE15" s="58"/>
      <c r="HF15" s="58"/>
      <c r="HG15" s="58"/>
      <c r="HH15" s="58"/>
      <c r="HI15" s="58"/>
      <c r="HJ15" s="58"/>
      <c r="HK15" s="58"/>
      <c r="HL15" s="58"/>
      <c r="HM15" s="58"/>
      <c r="HN15" s="58"/>
      <c r="HO15" s="58"/>
      <c r="HP15" s="58"/>
      <c r="HQ15" s="58"/>
      <c r="HR15" s="58"/>
      <c r="HS15" s="58"/>
      <c r="HT15" s="58"/>
      <c r="HU15" s="58"/>
      <c r="HV15" s="58"/>
      <c r="HW15" s="68"/>
      <c r="HX15" s="61" cm="1">
        <f t="array" ref="HX15">Bin2DecRange($GR15:$HW15)</f>
        <v>0</v>
      </c>
      <c r="HY15" s="63" t="str">
        <f t="shared" si="11"/>
        <v>RO_Data[6].ACT6[</v>
      </c>
      <c r="HZ15" s="64">
        <f t="shared" si="22"/>
        <v>10</v>
      </c>
      <c r="IA15" s="65" t="s">
        <v>22</v>
      </c>
      <c r="IB15" s="62" t="s">
        <v>226</v>
      </c>
      <c r="IC15" s="63" t="str">
        <f t="shared" si="12"/>
        <v>RO_Data[6].STEP_DESC[</v>
      </c>
      <c r="ID15" s="64">
        <f t="shared" si="23"/>
        <v>10</v>
      </c>
      <c r="IE15" s="65" t="s">
        <v>22</v>
      </c>
    </row>
    <row r="16" spans="1:239" x14ac:dyDescent="0.25">
      <c r="A16" s="8">
        <v>11</v>
      </c>
      <c r="B16" s="8" t="str">
        <f t="shared" si="0"/>
        <v>PUMPING DOWN FEED TANK</v>
      </c>
      <c r="C16" s="77"/>
      <c r="D16" s="6" t="str">
        <f t="shared" si="1"/>
        <v>RO_Data[6].ACK_DESC[</v>
      </c>
      <c r="E16" s="23">
        <f t="shared" si="13"/>
        <v>11</v>
      </c>
      <c r="F16" s="27" t="s">
        <v>22</v>
      </c>
      <c r="G16" s="161">
        <v>0</v>
      </c>
      <c r="H16" s="6" t="str">
        <f t="shared" si="2"/>
        <v>RO_Data[6].MIN[</v>
      </c>
      <c r="I16" s="23">
        <f t="shared" si="14"/>
        <v>11</v>
      </c>
      <c r="J16" s="27" t="s">
        <v>22</v>
      </c>
      <c r="K16" s="161">
        <v>1</v>
      </c>
      <c r="L16" s="6" t="str">
        <f t="shared" si="3"/>
        <v>RO_Data[6].SEC[</v>
      </c>
      <c r="M16" s="23">
        <f t="shared" si="15"/>
        <v>11</v>
      </c>
      <c r="N16" s="27" t="s">
        <v>22</v>
      </c>
      <c r="O16" s="165">
        <v>0</v>
      </c>
      <c r="P16" s="6" t="str">
        <f t="shared" si="4"/>
        <v>RO_Data[6].SETPOINT[</v>
      </c>
      <c r="Q16" s="23">
        <f t="shared" si="16"/>
        <v>11</v>
      </c>
      <c r="R16" s="27" t="s">
        <v>22</v>
      </c>
      <c r="S16" s="9" t="str">
        <f t="shared" si="5"/>
        <v>P</v>
      </c>
      <c r="T16" s="18"/>
      <c r="U16" s="19"/>
      <c r="V16" s="19"/>
      <c r="W16" s="19"/>
      <c r="X16" s="19"/>
      <c r="Y16" s="58"/>
      <c r="Z16" s="58"/>
      <c r="AA16" s="58"/>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RO_Data[6].COND1[</v>
      </c>
      <c r="BB16" s="23">
        <f t="shared" si="17"/>
        <v>11</v>
      </c>
      <c r="BC16" s="27"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RO_Data[6].COND2[</v>
      </c>
      <c r="CL16" s="23">
        <f t="shared" si="18"/>
        <v>11</v>
      </c>
      <c r="CM16" s="27"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RO_Data[6].COND3[</v>
      </c>
      <c r="DV16" s="23">
        <f t="shared" si="19"/>
        <v>11</v>
      </c>
      <c r="DW16" s="27"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RO_Data[6].ACT1[</v>
      </c>
      <c r="FF16" s="23">
        <f t="shared" si="20"/>
        <v>11</v>
      </c>
      <c r="FG16" s="27"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RO_Data[6].ACT5[</v>
      </c>
      <c r="GP16" s="23">
        <f t="shared" si="21"/>
        <v>11</v>
      </c>
      <c r="GQ16" s="27"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27" t="s">
        <v>22</v>
      </c>
      <c r="IB16" s="10" t="s">
        <v>230</v>
      </c>
      <c r="IC16" s="6" t="str">
        <f t="shared" si="12"/>
        <v>RO_Data[6].STEP_DESC[</v>
      </c>
      <c r="ID16" s="23">
        <f t="shared" si="23"/>
        <v>11</v>
      </c>
      <c r="IE16" s="27" t="s">
        <v>22</v>
      </c>
    </row>
    <row r="17" spans="1:239" x14ac:dyDescent="0.25">
      <c r="A17" s="8">
        <v>12</v>
      </c>
      <c r="B17" s="8" t="str">
        <f t="shared" si="0"/>
        <v>DRAINING FEED TANK</v>
      </c>
      <c r="C17" s="77"/>
      <c r="D17" s="6" t="str">
        <f t="shared" si="1"/>
        <v>RO_Data[6].ACK_DESC[</v>
      </c>
      <c r="E17" s="23">
        <f t="shared" si="13"/>
        <v>12</v>
      </c>
      <c r="F17" s="27" t="s">
        <v>22</v>
      </c>
      <c r="G17" s="161">
        <v>0</v>
      </c>
      <c r="H17" s="6" t="str">
        <f t="shared" si="2"/>
        <v>RO_Data[6].MIN[</v>
      </c>
      <c r="I17" s="23">
        <f t="shared" si="14"/>
        <v>12</v>
      </c>
      <c r="J17" s="27" t="s">
        <v>22</v>
      </c>
      <c r="K17" s="161">
        <v>1</v>
      </c>
      <c r="L17" s="6" t="str">
        <f t="shared" si="3"/>
        <v>RO_Data[6].SEC[</v>
      </c>
      <c r="M17" s="23">
        <f t="shared" si="15"/>
        <v>12</v>
      </c>
      <c r="N17" s="27" t="s">
        <v>22</v>
      </c>
      <c r="O17" s="165">
        <v>0</v>
      </c>
      <c r="P17" s="6" t="str">
        <f t="shared" si="4"/>
        <v>RO_Data[6].SETPOINT[</v>
      </c>
      <c r="Q17" s="23">
        <f t="shared" si="16"/>
        <v>12</v>
      </c>
      <c r="R17" s="27" t="s">
        <v>22</v>
      </c>
      <c r="S17" s="9" t="str">
        <f t="shared" si="5"/>
        <v>P</v>
      </c>
      <c r="T17" s="18"/>
      <c r="U17" s="19"/>
      <c r="V17" s="19"/>
      <c r="W17" s="19"/>
      <c r="X17" s="19"/>
      <c r="Y17" s="58"/>
      <c r="Z17" s="58"/>
      <c r="AA17" s="58"/>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RO_Data[6].COND1[</v>
      </c>
      <c r="BB17" s="23">
        <f t="shared" si="17"/>
        <v>12</v>
      </c>
      <c r="BC17" s="27"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RO_Data[6].COND2[</v>
      </c>
      <c r="CL17" s="23">
        <f t="shared" si="18"/>
        <v>12</v>
      </c>
      <c r="CM17" s="27"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27"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RO_Data[6].ACT1[</v>
      </c>
      <c r="FF17" s="23">
        <f t="shared" si="20"/>
        <v>12</v>
      </c>
      <c r="FG17" s="27"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27"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27" t="s">
        <v>22</v>
      </c>
      <c r="IB17" s="10" t="s">
        <v>231</v>
      </c>
      <c r="IC17" s="6" t="str">
        <f t="shared" si="12"/>
        <v>RO_Data[6].STEP_DESC[</v>
      </c>
      <c r="ID17" s="23">
        <f t="shared" si="23"/>
        <v>12</v>
      </c>
      <c r="IE17" s="27" t="s">
        <v>22</v>
      </c>
    </row>
    <row r="18" spans="1:239" x14ac:dyDescent="0.25">
      <c r="A18" s="8">
        <v>13</v>
      </c>
      <c r="B18" s="8" t="str">
        <f t="shared" si="0"/>
        <v>CYCLE COMPLETE</v>
      </c>
      <c r="C18" s="77"/>
      <c r="D18" s="6" t="str">
        <f t="shared" si="1"/>
        <v>RO_Data[6].ACK_DESC[</v>
      </c>
      <c r="E18" s="23">
        <f t="shared" si="13"/>
        <v>13</v>
      </c>
      <c r="F18" s="27" t="s">
        <v>22</v>
      </c>
      <c r="G18" s="161">
        <v>0</v>
      </c>
      <c r="H18" s="6" t="str">
        <f t="shared" si="2"/>
        <v>RO_Data[6].MIN[</v>
      </c>
      <c r="I18" s="23">
        <f t="shared" si="14"/>
        <v>13</v>
      </c>
      <c r="J18" s="27" t="s">
        <v>22</v>
      </c>
      <c r="K18" s="161">
        <v>0</v>
      </c>
      <c r="L18" s="6" t="str">
        <f t="shared" si="3"/>
        <v>RO_Data[6].SEC[</v>
      </c>
      <c r="M18" s="23">
        <f t="shared" si="15"/>
        <v>13</v>
      </c>
      <c r="N18" s="27" t="s">
        <v>22</v>
      </c>
      <c r="O18" s="165">
        <v>0</v>
      </c>
      <c r="P18" s="6" t="str">
        <f t="shared" si="4"/>
        <v>RO_Data[6].SETPOINT[</v>
      </c>
      <c r="Q18" s="23">
        <f t="shared" si="16"/>
        <v>13</v>
      </c>
      <c r="R18" s="27" t="s">
        <v>22</v>
      </c>
      <c r="S18" s="9" t="str">
        <f t="shared" si="5"/>
        <v/>
      </c>
      <c r="T18" s="18"/>
      <c r="U18" s="19"/>
      <c r="V18" s="19"/>
      <c r="W18" s="19"/>
      <c r="X18" s="19"/>
      <c r="Y18" s="58"/>
      <c r="Z18" s="58"/>
      <c r="AA18" s="58"/>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v>1</v>
      </c>
      <c r="AZ18" s="8">
        <f t="array" ref="AZ18">Bin2DecRange($T18:$AY18)</f>
        <v>1</v>
      </c>
      <c r="BA18" s="6" t="str">
        <f t="shared" si="6"/>
        <v>RO_Data[6].COND1[</v>
      </c>
      <c r="BB18" s="23">
        <f t="shared" si="17"/>
        <v>13</v>
      </c>
      <c r="BC18" s="27"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RO_Data[6].COND2[</v>
      </c>
      <c r="CL18" s="23">
        <f t="shared" si="18"/>
        <v>13</v>
      </c>
      <c r="CM18" s="27"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27"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27"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27"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27" t="s">
        <v>22</v>
      </c>
      <c r="IB18" s="10" t="s">
        <v>223</v>
      </c>
      <c r="IC18" s="6" t="str">
        <f t="shared" si="12"/>
        <v>RO_Data[6].STEP_DESC[</v>
      </c>
      <c r="ID18" s="23">
        <f t="shared" si="23"/>
        <v>13</v>
      </c>
      <c r="IE18" s="27" t="s">
        <v>22</v>
      </c>
    </row>
    <row r="19" spans="1:239" x14ac:dyDescent="0.25">
      <c r="A19" s="8">
        <v>14</v>
      </c>
      <c r="B19" s="8" t="str">
        <f t="shared" si="0"/>
        <v/>
      </c>
      <c r="C19" s="77"/>
      <c r="D19" s="6" t="str">
        <f t="shared" si="1"/>
        <v>RO_Data[6].ACK_DESC[</v>
      </c>
      <c r="E19" s="23">
        <f t="shared" si="13"/>
        <v>14</v>
      </c>
      <c r="F19" s="27" t="s">
        <v>22</v>
      </c>
      <c r="G19" s="161">
        <v>0</v>
      </c>
      <c r="H19" s="6" t="str">
        <f t="shared" si="2"/>
        <v>RO_Data[6].MIN[</v>
      </c>
      <c r="I19" s="23">
        <f t="shared" si="14"/>
        <v>14</v>
      </c>
      <c r="J19" s="27" t="s">
        <v>22</v>
      </c>
      <c r="K19" s="161">
        <v>0</v>
      </c>
      <c r="L19" s="6" t="str">
        <f t="shared" si="3"/>
        <v>RO_Data[6].SEC[</v>
      </c>
      <c r="M19" s="23">
        <f t="shared" si="15"/>
        <v>14</v>
      </c>
      <c r="N19" s="27" t="s">
        <v>22</v>
      </c>
      <c r="O19" s="165">
        <v>0</v>
      </c>
      <c r="P19" s="6" t="str">
        <f t="shared" si="4"/>
        <v>RO_Data[6].SETPOINT[</v>
      </c>
      <c r="Q19" s="23">
        <f t="shared" si="16"/>
        <v>14</v>
      </c>
      <c r="R19" s="27" t="s">
        <v>22</v>
      </c>
      <c r="S19" s="9" t="str">
        <f t="shared" si="5"/>
        <v/>
      </c>
      <c r="T19" s="18"/>
      <c r="U19" s="19"/>
      <c r="V19" s="19"/>
      <c r="W19" s="19"/>
      <c r="X19" s="19"/>
      <c r="Y19" s="58"/>
      <c r="Z19" s="58"/>
      <c r="AA19" s="5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27"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RO_Data[6].COND2[</v>
      </c>
      <c r="CL19" s="23">
        <f t="shared" si="18"/>
        <v>14</v>
      </c>
      <c r="CM19" s="27"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27"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27"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27"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27" t="s">
        <v>22</v>
      </c>
      <c r="IB19" s="10"/>
      <c r="IC19" s="6" t="str">
        <f t="shared" si="12"/>
        <v>RO_Data[6].STEP_DESC[</v>
      </c>
      <c r="ID19" s="23">
        <f t="shared" si="23"/>
        <v>14</v>
      </c>
      <c r="IE19" s="27" t="s">
        <v>22</v>
      </c>
    </row>
    <row r="20" spans="1:239" x14ac:dyDescent="0.25">
      <c r="A20" s="8">
        <v>15</v>
      </c>
      <c r="B20" s="8" t="str">
        <f t="shared" si="0"/>
        <v/>
      </c>
      <c r="C20" s="77"/>
      <c r="D20" s="6" t="str">
        <f t="shared" si="1"/>
        <v>RO_Data[6].ACK_DESC[</v>
      </c>
      <c r="E20" s="23">
        <f t="shared" si="13"/>
        <v>15</v>
      </c>
      <c r="F20" s="27" t="s">
        <v>22</v>
      </c>
      <c r="G20" s="161">
        <v>0</v>
      </c>
      <c r="H20" s="6" t="str">
        <f t="shared" si="2"/>
        <v>RO_Data[6].MIN[</v>
      </c>
      <c r="I20" s="23">
        <f t="shared" si="14"/>
        <v>15</v>
      </c>
      <c r="J20" s="27" t="s">
        <v>22</v>
      </c>
      <c r="K20" s="161">
        <v>0</v>
      </c>
      <c r="L20" s="6" t="str">
        <f t="shared" si="3"/>
        <v>RO_Data[6].SEC[</v>
      </c>
      <c r="M20" s="23">
        <f t="shared" si="15"/>
        <v>15</v>
      </c>
      <c r="N20" s="27" t="s">
        <v>22</v>
      </c>
      <c r="O20" s="165">
        <v>0</v>
      </c>
      <c r="P20" s="6" t="str">
        <f t="shared" si="4"/>
        <v>RO_Data[6].SETPOINT[</v>
      </c>
      <c r="Q20" s="23">
        <f t="shared" si="16"/>
        <v>15</v>
      </c>
      <c r="R20" s="27" t="s">
        <v>22</v>
      </c>
      <c r="S20" s="9" t="str">
        <f t="shared" si="5"/>
        <v/>
      </c>
      <c r="T20" s="18"/>
      <c r="U20" s="19"/>
      <c r="V20" s="19"/>
      <c r="W20" s="19"/>
      <c r="X20" s="19"/>
      <c r="Y20" s="58"/>
      <c r="Z20" s="58"/>
      <c r="AA20" s="58"/>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27"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RO_Data[6].COND2[</v>
      </c>
      <c r="CL20" s="23">
        <f t="shared" si="18"/>
        <v>15</v>
      </c>
      <c r="CM20" s="27"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27"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27"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27"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27" t="s">
        <v>22</v>
      </c>
      <c r="IB20" s="10"/>
      <c r="IC20" s="6" t="str">
        <f t="shared" si="12"/>
        <v>RO_Data[6].STEP_DESC[</v>
      </c>
      <c r="ID20" s="23">
        <f t="shared" si="23"/>
        <v>15</v>
      </c>
      <c r="IE20" s="27" t="s">
        <v>22</v>
      </c>
    </row>
    <row r="21" spans="1:239" x14ac:dyDescent="0.25">
      <c r="A21" s="8">
        <v>16</v>
      </c>
      <c r="B21" s="8" t="str">
        <f t="shared" si="0"/>
        <v/>
      </c>
      <c r="C21" s="77"/>
      <c r="D21" s="6" t="str">
        <f t="shared" si="1"/>
        <v>RO_Data[6].ACK_DESC[</v>
      </c>
      <c r="E21" s="23">
        <f t="shared" si="13"/>
        <v>16</v>
      </c>
      <c r="F21" s="27" t="s">
        <v>22</v>
      </c>
      <c r="G21" s="161">
        <v>0</v>
      </c>
      <c r="H21" s="6" t="str">
        <f t="shared" si="2"/>
        <v>RO_Data[6].MIN[</v>
      </c>
      <c r="I21" s="23">
        <f t="shared" si="14"/>
        <v>16</v>
      </c>
      <c r="J21" s="27" t="s">
        <v>22</v>
      </c>
      <c r="K21" s="161">
        <v>0</v>
      </c>
      <c r="L21" s="6" t="str">
        <f t="shared" si="3"/>
        <v>RO_Data[6].SEC[</v>
      </c>
      <c r="M21" s="23">
        <f t="shared" si="15"/>
        <v>16</v>
      </c>
      <c r="N21" s="27" t="s">
        <v>22</v>
      </c>
      <c r="O21" s="165">
        <v>0</v>
      </c>
      <c r="P21" s="6" t="str">
        <f t="shared" si="4"/>
        <v>RO_Data[6].SETPOINT[</v>
      </c>
      <c r="Q21" s="23">
        <f t="shared" si="16"/>
        <v>16</v>
      </c>
      <c r="R21" s="27" t="s">
        <v>22</v>
      </c>
      <c r="S21" s="9" t="str">
        <f t="shared" si="5"/>
        <v/>
      </c>
      <c r="T21" s="18"/>
      <c r="U21" s="19"/>
      <c r="V21" s="19"/>
      <c r="W21" s="19"/>
      <c r="X21" s="19"/>
      <c r="Y21" s="58"/>
      <c r="Z21" s="58"/>
      <c r="AA21" s="58"/>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27"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RO_Data[6].COND2[</v>
      </c>
      <c r="CL21" s="23">
        <f t="shared" si="18"/>
        <v>16</v>
      </c>
      <c r="CM21" s="27"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27"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27"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27"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27" t="s">
        <v>22</v>
      </c>
      <c r="IB21" s="10"/>
      <c r="IC21" s="6" t="str">
        <f t="shared" si="12"/>
        <v>RO_Data[6].STEP_DESC[</v>
      </c>
      <c r="ID21" s="23">
        <f t="shared" si="23"/>
        <v>16</v>
      </c>
      <c r="IE21" s="27" t="s">
        <v>22</v>
      </c>
    </row>
    <row r="22" spans="1:239" x14ac:dyDescent="0.25">
      <c r="A22" s="8">
        <v>17</v>
      </c>
      <c r="B22" s="8" t="str">
        <f t="shared" si="0"/>
        <v/>
      </c>
      <c r="C22" s="77"/>
      <c r="D22" s="6" t="str">
        <f t="shared" si="1"/>
        <v>RO_Data[6].ACK_DESC[</v>
      </c>
      <c r="E22" s="23">
        <f t="shared" si="13"/>
        <v>17</v>
      </c>
      <c r="F22" s="27" t="s">
        <v>22</v>
      </c>
      <c r="G22" s="161">
        <v>0</v>
      </c>
      <c r="H22" s="6" t="str">
        <f t="shared" si="2"/>
        <v>RO_Data[6].MIN[</v>
      </c>
      <c r="I22" s="23">
        <f t="shared" si="14"/>
        <v>17</v>
      </c>
      <c r="J22" s="27" t="s">
        <v>22</v>
      </c>
      <c r="K22" s="161">
        <v>0</v>
      </c>
      <c r="L22" s="6" t="str">
        <f t="shared" si="3"/>
        <v>RO_Data[6].SEC[</v>
      </c>
      <c r="M22" s="23">
        <f t="shared" si="15"/>
        <v>17</v>
      </c>
      <c r="N22" s="27" t="s">
        <v>22</v>
      </c>
      <c r="O22" s="165">
        <v>0</v>
      </c>
      <c r="P22" s="6" t="str">
        <f t="shared" si="4"/>
        <v>RO_Data[6].SETPOINT[</v>
      </c>
      <c r="Q22" s="23">
        <f t="shared" si="16"/>
        <v>17</v>
      </c>
      <c r="R22" s="27" t="s">
        <v>22</v>
      </c>
      <c r="S22" s="9" t="str">
        <f t="shared" si="5"/>
        <v/>
      </c>
      <c r="T22" s="18"/>
      <c r="U22" s="19"/>
      <c r="V22" s="19"/>
      <c r="W22" s="19"/>
      <c r="X22" s="19"/>
      <c r="Y22" s="58"/>
      <c r="Z22" s="58"/>
      <c r="AA22" s="58"/>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27"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RO_Data[6].COND2[</v>
      </c>
      <c r="CL22" s="23">
        <f t="shared" si="18"/>
        <v>17</v>
      </c>
      <c r="CM22" s="27"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27"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27"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27"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27" t="s">
        <v>22</v>
      </c>
      <c r="IB22" s="10"/>
      <c r="IC22" s="6" t="str">
        <f t="shared" si="12"/>
        <v>RO_Data[6].STEP_DESC[</v>
      </c>
      <c r="ID22" s="23">
        <f t="shared" si="23"/>
        <v>17</v>
      </c>
      <c r="IE22" s="27" t="s">
        <v>22</v>
      </c>
    </row>
    <row r="23" spans="1:239" x14ac:dyDescent="0.25">
      <c r="A23" s="8">
        <v>18</v>
      </c>
      <c r="B23" s="8" t="str">
        <f t="shared" si="0"/>
        <v/>
      </c>
      <c r="C23" s="77"/>
      <c r="D23" s="6" t="str">
        <f t="shared" si="1"/>
        <v>RO_Data[6].ACK_DESC[</v>
      </c>
      <c r="E23" s="23">
        <f t="shared" si="13"/>
        <v>18</v>
      </c>
      <c r="F23" s="27" t="s">
        <v>22</v>
      </c>
      <c r="G23" s="161">
        <v>0</v>
      </c>
      <c r="H23" s="6" t="str">
        <f t="shared" si="2"/>
        <v>RO_Data[6].MIN[</v>
      </c>
      <c r="I23" s="23">
        <f t="shared" si="14"/>
        <v>18</v>
      </c>
      <c r="J23" s="27" t="s">
        <v>22</v>
      </c>
      <c r="K23" s="161">
        <v>0</v>
      </c>
      <c r="L23" s="6" t="str">
        <f t="shared" si="3"/>
        <v>RO_Data[6].SEC[</v>
      </c>
      <c r="M23" s="23">
        <f t="shared" si="15"/>
        <v>18</v>
      </c>
      <c r="N23" s="27" t="s">
        <v>22</v>
      </c>
      <c r="O23" s="165">
        <v>0</v>
      </c>
      <c r="P23" s="6" t="str">
        <f t="shared" si="4"/>
        <v>RO_Data[6].SETPOINT[</v>
      </c>
      <c r="Q23" s="23">
        <f t="shared" si="16"/>
        <v>18</v>
      </c>
      <c r="R23" s="27" t="s">
        <v>22</v>
      </c>
      <c r="S23" s="9" t="str">
        <f t="shared" si="5"/>
        <v/>
      </c>
      <c r="T23" s="18"/>
      <c r="U23" s="19"/>
      <c r="V23" s="19"/>
      <c r="W23" s="19"/>
      <c r="X23" s="19"/>
      <c r="Y23" s="58"/>
      <c r="Z23" s="58"/>
      <c r="AA23" s="58"/>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27"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RO_Data[6].COND2[</v>
      </c>
      <c r="CL23" s="23">
        <f t="shared" si="18"/>
        <v>18</v>
      </c>
      <c r="CM23" s="27"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27"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27"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27"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27" t="s">
        <v>22</v>
      </c>
      <c r="IB23" s="10"/>
      <c r="IC23" s="6" t="str">
        <f t="shared" si="12"/>
        <v>RO_Data[6].STEP_DESC[</v>
      </c>
      <c r="ID23" s="23">
        <f t="shared" si="23"/>
        <v>18</v>
      </c>
      <c r="IE23" s="27" t="s">
        <v>22</v>
      </c>
    </row>
    <row r="24" spans="1:239" ht="15.75" thickBot="1" x14ac:dyDescent="0.3">
      <c r="A24" s="53">
        <v>19</v>
      </c>
      <c r="B24" s="53" t="str">
        <f t="shared" si="0"/>
        <v/>
      </c>
      <c r="C24" s="86"/>
      <c r="D24" s="51" t="str">
        <f t="shared" si="1"/>
        <v>RO_Data[6].ACK_DESC[</v>
      </c>
      <c r="E24" s="52">
        <f t="shared" si="13"/>
        <v>19</v>
      </c>
      <c r="F24" s="55" t="s">
        <v>22</v>
      </c>
      <c r="G24" s="164">
        <v>0</v>
      </c>
      <c r="H24" s="51" t="str">
        <f t="shared" si="2"/>
        <v>RO_Data[6].MIN[</v>
      </c>
      <c r="I24" s="52">
        <f t="shared" si="14"/>
        <v>19</v>
      </c>
      <c r="J24" s="55" t="s">
        <v>22</v>
      </c>
      <c r="K24" s="164">
        <v>0</v>
      </c>
      <c r="L24" s="51" t="str">
        <f t="shared" si="3"/>
        <v>RO_Data[6].SEC[</v>
      </c>
      <c r="M24" s="52">
        <f t="shared" si="15"/>
        <v>19</v>
      </c>
      <c r="N24" s="55" t="s">
        <v>22</v>
      </c>
      <c r="O24" s="167">
        <v>0</v>
      </c>
      <c r="P24" s="51" t="str">
        <f t="shared" si="4"/>
        <v>RO_Data[6].SETPOINT[</v>
      </c>
      <c r="Q24" s="52">
        <f t="shared" si="16"/>
        <v>19</v>
      </c>
      <c r="R24" s="55" t="s">
        <v>22</v>
      </c>
      <c r="S24" s="87" t="str">
        <f t="shared" si="5"/>
        <v/>
      </c>
      <c r="T24" s="88"/>
      <c r="U24" s="89"/>
      <c r="V24" s="89"/>
      <c r="W24" s="89"/>
      <c r="X24" s="89"/>
      <c r="Y24" s="90"/>
      <c r="Z24" s="90"/>
      <c r="AA24" s="90"/>
      <c r="AB24" s="89"/>
      <c r="AC24" s="89"/>
      <c r="AD24" s="89"/>
      <c r="AE24" s="89"/>
      <c r="AF24" s="89"/>
      <c r="AG24" s="89"/>
      <c r="AH24" s="89"/>
      <c r="AI24" s="89"/>
      <c r="AJ24" s="89"/>
      <c r="AK24" s="89"/>
      <c r="AL24" s="89"/>
      <c r="AM24" s="89"/>
      <c r="AN24" s="89"/>
      <c r="AO24" s="89"/>
      <c r="AP24" s="89"/>
      <c r="AQ24" s="89"/>
      <c r="AR24" s="89"/>
      <c r="AS24" s="89"/>
      <c r="AT24" s="89"/>
      <c r="AU24" s="89"/>
      <c r="AV24" s="89"/>
      <c r="AW24" s="89"/>
      <c r="AX24" s="89"/>
      <c r="AY24" s="91"/>
      <c r="AZ24" s="53">
        <f t="array" ref="AZ24">Bin2DecRange($T24:$AY24)</f>
        <v>0</v>
      </c>
      <c r="BA24" s="51" t="str">
        <f t="shared" si="6"/>
        <v>RO_Data[6].COND1[</v>
      </c>
      <c r="BB24" s="52">
        <f t="shared" si="17"/>
        <v>19</v>
      </c>
      <c r="BC24" s="55" t="s">
        <v>22</v>
      </c>
      <c r="BD24" s="88"/>
      <c r="BE24" s="89"/>
      <c r="BF24" s="89"/>
      <c r="BG24" s="89"/>
      <c r="BH24" s="89"/>
      <c r="BI24" s="89"/>
      <c r="BJ24" s="89"/>
      <c r="BK24" s="89"/>
      <c r="BL24" s="89"/>
      <c r="BM24" s="89"/>
      <c r="BN24" s="89"/>
      <c r="BO24" s="89"/>
      <c r="BP24" s="89"/>
      <c r="BQ24" s="89"/>
      <c r="BR24" s="89"/>
      <c r="BS24" s="89"/>
      <c r="BT24" s="89"/>
      <c r="BU24" s="89"/>
      <c r="BV24" s="89"/>
      <c r="BW24" s="89"/>
      <c r="BX24" s="89"/>
      <c r="BY24" s="89"/>
      <c r="BZ24" s="89"/>
      <c r="CA24" s="89"/>
      <c r="CB24" s="89"/>
      <c r="CC24" s="89"/>
      <c r="CD24" s="89"/>
      <c r="CE24" s="89"/>
      <c r="CF24" s="89"/>
      <c r="CG24" s="89"/>
      <c r="CH24" s="89"/>
      <c r="CI24" s="91"/>
      <c r="CJ24" s="53">
        <v>0</v>
      </c>
      <c r="CK24" s="51" t="str">
        <f t="shared" si="7"/>
        <v>RO_Data[6].COND2[</v>
      </c>
      <c r="CL24" s="52">
        <f t="shared" si="18"/>
        <v>19</v>
      </c>
      <c r="CM24" s="55" t="s">
        <v>22</v>
      </c>
      <c r="CN24" s="88"/>
      <c r="CO24" s="89"/>
      <c r="CP24" s="89"/>
      <c r="CQ24" s="89"/>
      <c r="CR24" s="89"/>
      <c r="CS24" s="89"/>
      <c r="CT24" s="89"/>
      <c r="CU24" s="89"/>
      <c r="CV24" s="89"/>
      <c r="CW24" s="89"/>
      <c r="CX24" s="89"/>
      <c r="CY24" s="89"/>
      <c r="CZ24" s="89"/>
      <c r="DA24" s="89"/>
      <c r="DB24" s="89"/>
      <c r="DC24" s="89"/>
      <c r="DD24" s="89"/>
      <c r="DE24" s="89"/>
      <c r="DF24" s="89"/>
      <c r="DG24" s="89"/>
      <c r="DH24" s="89"/>
      <c r="DI24" s="89"/>
      <c r="DJ24" s="89"/>
      <c r="DK24" s="89"/>
      <c r="DL24" s="89"/>
      <c r="DM24" s="89"/>
      <c r="DN24" s="89"/>
      <c r="DO24" s="89"/>
      <c r="DP24" s="89"/>
      <c r="DQ24" s="89"/>
      <c r="DR24" s="89"/>
      <c r="DS24" s="91"/>
      <c r="DT24" s="53" cm="1">
        <f t="array" ref="DT24">Bin2DecRange($CN24:$DS24)</f>
        <v>0</v>
      </c>
      <c r="DU24" s="51" t="str">
        <f t="shared" si="8"/>
        <v>RO_Data[6].COND3[</v>
      </c>
      <c r="DV24" s="52">
        <f t="shared" si="19"/>
        <v>19</v>
      </c>
      <c r="DW24" s="55" t="s">
        <v>22</v>
      </c>
      <c r="DX24" s="92"/>
      <c r="DY24" s="89"/>
      <c r="DZ24" s="89"/>
      <c r="EA24" s="89"/>
      <c r="EB24" s="89"/>
      <c r="EC24" s="89"/>
      <c r="ED24" s="89"/>
      <c r="EE24" s="89"/>
      <c r="EF24" s="89"/>
      <c r="EG24" s="89"/>
      <c r="EH24" s="89"/>
      <c r="EI24" s="89"/>
      <c r="EJ24" s="89"/>
      <c r="EK24" s="89"/>
      <c r="EL24" s="89"/>
      <c r="EM24" s="89"/>
      <c r="EN24" s="89"/>
      <c r="EO24" s="89"/>
      <c r="EP24" s="89"/>
      <c r="EQ24" s="89"/>
      <c r="ER24" s="89"/>
      <c r="ES24" s="89"/>
      <c r="ET24" s="89"/>
      <c r="EU24" s="89"/>
      <c r="EV24" s="89"/>
      <c r="EW24" s="89"/>
      <c r="EX24" s="89"/>
      <c r="EY24" s="89"/>
      <c r="EZ24" s="89"/>
      <c r="FA24" s="89"/>
      <c r="FB24" s="89"/>
      <c r="FC24" s="91"/>
      <c r="FD24" s="53">
        <f t="array" ref="FD24">Bin2DecRange($DX24:$FC24)</f>
        <v>0</v>
      </c>
      <c r="FE24" s="51" t="str">
        <f t="shared" si="9"/>
        <v>RO_Data[6].ACT1[</v>
      </c>
      <c r="FF24" s="52">
        <f t="shared" si="20"/>
        <v>19</v>
      </c>
      <c r="FG24" s="55" t="s">
        <v>22</v>
      </c>
      <c r="FH24" s="92"/>
      <c r="FI24" s="89"/>
      <c r="FJ24" s="89"/>
      <c r="FK24" s="89"/>
      <c r="FL24" s="89"/>
      <c r="FM24" s="89"/>
      <c r="FN24" s="89"/>
      <c r="FO24" s="89"/>
      <c r="FP24" s="89"/>
      <c r="FQ24" s="89"/>
      <c r="FR24" s="89"/>
      <c r="FS24" s="89"/>
      <c r="FT24" s="89"/>
      <c r="FU24" s="89"/>
      <c r="FV24" s="89"/>
      <c r="FW24" s="89"/>
      <c r="FX24" s="89"/>
      <c r="FY24" s="89"/>
      <c r="FZ24" s="89"/>
      <c r="GA24" s="89"/>
      <c r="GB24" s="89"/>
      <c r="GC24" s="89"/>
      <c r="GD24" s="89"/>
      <c r="GE24" s="89"/>
      <c r="GF24" s="89"/>
      <c r="GG24" s="89"/>
      <c r="GH24" s="89"/>
      <c r="GI24" s="89"/>
      <c r="GJ24" s="89"/>
      <c r="GK24" s="89"/>
      <c r="GL24" s="89"/>
      <c r="GM24" s="91"/>
      <c r="GN24" s="53" cm="1">
        <f t="array" ref="GN24">Bin2DecRange($FH24:$GM24)</f>
        <v>0</v>
      </c>
      <c r="GO24" s="51" t="str">
        <f t="shared" si="10"/>
        <v>RO_Data[6].ACT5[</v>
      </c>
      <c r="GP24" s="52">
        <f t="shared" si="21"/>
        <v>19</v>
      </c>
      <c r="GQ24" s="55" t="s">
        <v>22</v>
      </c>
      <c r="GR24" s="92"/>
      <c r="GS24" s="89"/>
      <c r="GT24" s="89"/>
      <c r="GU24" s="89"/>
      <c r="GV24" s="89"/>
      <c r="GW24" s="89"/>
      <c r="GX24" s="89"/>
      <c r="GY24" s="89"/>
      <c r="GZ24" s="89"/>
      <c r="HA24" s="89"/>
      <c r="HB24" s="89"/>
      <c r="HC24" s="89"/>
      <c r="HD24" s="89"/>
      <c r="HE24" s="89"/>
      <c r="HF24" s="89"/>
      <c r="HG24" s="89"/>
      <c r="HH24" s="89"/>
      <c r="HI24" s="89"/>
      <c r="HJ24" s="89"/>
      <c r="HK24" s="89"/>
      <c r="HL24" s="89"/>
      <c r="HM24" s="89"/>
      <c r="HN24" s="89"/>
      <c r="HO24" s="89"/>
      <c r="HP24" s="89"/>
      <c r="HQ24" s="89"/>
      <c r="HR24" s="89"/>
      <c r="HS24" s="89"/>
      <c r="HT24" s="89"/>
      <c r="HU24" s="89"/>
      <c r="HV24" s="89"/>
      <c r="HW24" s="91"/>
      <c r="HX24" s="53" cm="1">
        <f t="array" ref="HX24">Bin2DecRange($GR24:$HW24)</f>
        <v>0</v>
      </c>
      <c r="HY24" s="51" t="str">
        <f t="shared" si="11"/>
        <v>RO_Data[6].ACT6[</v>
      </c>
      <c r="HZ24" s="52">
        <f t="shared" si="22"/>
        <v>19</v>
      </c>
      <c r="IA24" s="55" t="s">
        <v>22</v>
      </c>
      <c r="IB24" s="54"/>
      <c r="IC24" s="51" t="str">
        <f t="shared" si="12"/>
        <v>RO_Data[6].STEP_DESC[</v>
      </c>
      <c r="ID24" s="52">
        <f t="shared" si="23"/>
        <v>19</v>
      </c>
      <c r="IE24" s="55"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AACBBF-38F0-40D6-B1A1-85184F05189D}">
          <x14:formula1>
            <xm:f>'Main Program'!$B$32:$B$37</xm:f>
          </x14:formula1>
          <xm:sqref>AZ3 C3 K3 O3 G3 HX3 GN3 DT3 CJ3 IB3 FD3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0901-E43F-4CF0-905B-5FC932A96945}">
  <sheetPr codeName="Sheet9"/>
  <dimension ref="B2:C96"/>
  <sheetViews>
    <sheetView topLeftCell="A24" workbookViewId="0">
      <selection activeCell="B60" sqref="B60"/>
    </sheetView>
  </sheetViews>
  <sheetFormatPr defaultRowHeight="12.75" x14ac:dyDescent="0.2"/>
  <cols>
    <col min="1" max="2" width="9.140625" style="94"/>
    <col min="3" max="3" width="14.140625" style="94" bestFit="1" customWidth="1"/>
    <col min="4" max="16384" width="9.140625" style="94"/>
  </cols>
  <sheetData>
    <row r="2" spans="2:2" ht="15" x14ac:dyDescent="0.2">
      <c r="B2" s="93" t="s">
        <v>248</v>
      </c>
    </row>
    <row r="3" spans="2:2" ht="15" x14ac:dyDescent="0.2">
      <c r="B3" s="93"/>
    </row>
    <row r="4" spans="2:2" ht="14.25" x14ac:dyDescent="0.2">
      <c r="B4" s="95" t="s">
        <v>249</v>
      </c>
    </row>
    <row r="5" spans="2:2" ht="15" x14ac:dyDescent="0.2">
      <c r="B5" s="96" t="s">
        <v>250</v>
      </c>
    </row>
    <row r="6" spans="2:2" ht="15" x14ac:dyDescent="0.2">
      <c r="B6" s="96" t="s">
        <v>251</v>
      </c>
    </row>
    <row r="7" spans="2:2" ht="15" x14ac:dyDescent="0.2">
      <c r="B7" s="96" t="s">
        <v>252</v>
      </c>
    </row>
    <row r="8" spans="2:2" ht="15" x14ac:dyDescent="0.2">
      <c r="B8" s="96" t="s">
        <v>253</v>
      </c>
    </row>
    <row r="9" spans="2:2" ht="15" x14ac:dyDescent="0.2">
      <c r="B9" s="96" t="s">
        <v>254</v>
      </c>
    </row>
    <row r="10" spans="2:2" ht="15" x14ac:dyDescent="0.2">
      <c r="B10" s="96" t="s">
        <v>255</v>
      </c>
    </row>
    <row r="11" spans="2:2" ht="15" x14ac:dyDescent="0.2">
      <c r="B11" s="96" t="s">
        <v>256</v>
      </c>
    </row>
    <row r="12" spans="2:2" ht="15" x14ac:dyDescent="0.2">
      <c r="B12" s="96" t="s">
        <v>257</v>
      </c>
    </row>
    <row r="13" spans="2:2" ht="15" x14ac:dyDescent="0.2">
      <c r="B13" s="96" t="s">
        <v>258</v>
      </c>
    </row>
    <row r="14" spans="2:2" ht="15" x14ac:dyDescent="0.2">
      <c r="B14" s="96" t="s">
        <v>259</v>
      </c>
    </row>
    <row r="15" spans="2:2" ht="15" x14ac:dyDescent="0.2">
      <c r="B15" s="96" t="s">
        <v>260</v>
      </c>
    </row>
    <row r="16" spans="2:2" ht="15" x14ac:dyDescent="0.2">
      <c r="B16" s="96" t="s">
        <v>261</v>
      </c>
    </row>
    <row r="17" spans="2:3" ht="15" x14ac:dyDescent="0.2">
      <c r="B17" s="96" t="s">
        <v>262</v>
      </c>
    </row>
    <row r="18" spans="2:3" ht="15" x14ac:dyDescent="0.2">
      <c r="B18" s="96" t="s">
        <v>263</v>
      </c>
    </row>
    <row r="19" spans="2:3" ht="15" x14ac:dyDescent="0.2">
      <c r="B19" s="96" t="s">
        <v>264</v>
      </c>
      <c r="C19" s="96"/>
    </row>
    <row r="20" spans="2:3" ht="15" x14ac:dyDescent="0.2">
      <c r="B20" s="96" t="s">
        <v>265</v>
      </c>
    </row>
    <row r="21" spans="2:3" ht="15" x14ac:dyDescent="0.2">
      <c r="B21" s="96" t="s">
        <v>266</v>
      </c>
    </row>
    <row r="22" spans="2:3" ht="15" x14ac:dyDescent="0.2">
      <c r="B22" s="96" t="s">
        <v>267</v>
      </c>
    </row>
    <row r="23" spans="2:3" ht="15" x14ac:dyDescent="0.2">
      <c r="B23" s="96" t="s">
        <v>268</v>
      </c>
      <c r="C23" s="97"/>
    </row>
    <row r="24" spans="2:3" ht="15" x14ac:dyDescent="0.2">
      <c r="B24" s="96" t="s">
        <v>269</v>
      </c>
    </row>
    <row r="25" spans="2:3" ht="15" x14ac:dyDescent="0.2">
      <c r="B25" s="96" t="s">
        <v>270</v>
      </c>
    </row>
    <row r="26" spans="2:3" ht="15" x14ac:dyDescent="0.2">
      <c r="B26" s="96" t="s">
        <v>271</v>
      </c>
    </row>
    <row r="27" spans="2:3" ht="15" x14ac:dyDescent="0.2">
      <c r="B27" s="96" t="s">
        <v>272</v>
      </c>
    </row>
    <row r="28" spans="2:3" ht="15" x14ac:dyDescent="0.2">
      <c r="B28" s="96" t="s">
        <v>273</v>
      </c>
    </row>
    <row r="29" spans="2:3" ht="15" x14ac:dyDescent="0.2">
      <c r="B29" s="96" t="s">
        <v>274</v>
      </c>
    </row>
    <row r="30" spans="2:3" ht="15" x14ac:dyDescent="0.2">
      <c r="B30" s="96" t="s">
        <v>275</v>
      </c>
    </row>
    <row r="31" spans="2:3" ht="15" x14ac:dyDescent="0.2">
      <c r="B31" s="96" t="s">
        <v>276</v>
      </c>
    </row>
    <row r="32" spans="2:3" ht="15" x14ac:dyDescent="0.2">
      <c r="B32" s="96" t="s">
        <v>277</v>
      </c>
    </row>
    <row r="33" spans="2:3" ht="15" x14ac:dyDescent="0.2">
      <c r="B33" s="96" t="s">
        <v>278</v>
      </c>
    </row>
    <row r="34" spans="2:3" ht="15" x14ac:dyDescent="0.2">
      <c r="B34" s="96" t="s">
        <v>279</v>
      </c>
    </row>
    <row r="35" spans="2:3" ht="15" x14ac:dyDescent="0.2">
      <c r="B35" s="96" t="s">
        <v>280</v>
      </c>
    </row>
    <row r="36" spans="2:3" ht="15" x14ac:dyDescent="0.2">
      <c r="B36" s="98"/>
    </row>
    <row r="37" spans="2:3" ht="14.25" x14ac:dyDescent="0.2">
      <c r="B37" s="95" t="s">
        <v>281</v>
      </c>
    </row>
    <row r="38" spans="2:3" ht="15" x14ac:dyDescent="0.2">
      <c r="B38" s="96" t="s">
        <v>282</v>
      </c>
      <c r="C38" s="96"/>
    </row>
    <row r="39" spans="2:3" ht="15" x14ac:dyDescent="0.2">
      <c r="B39" s="96" t="s">
        <v>283</v>
      </c>
    </row>
    <row r="40" spans="2:3" ht="15" x14ac:dyDescent="0.2">
      <c r="B40" s="96" t="s">
        <v>284</v>
      </c>
    </row>
    <row r="41" spans="2:3" ht="15" x14ac:dyDescent="0.2">
      <c r="B41" s="96" t="s">
        <v>285</v>
      </c>
      <c r="C41" s="96"/>
    </row>
    <row r="42" spans="2:3" ht="15" x14ac:dyDescent="0.2">
      <c r="B42" s="96" t="s">
        <v>286</v>
      </c>
    </row>
    <row r="43" spans="2:3" ht="15" x14ac:dyDescent="0.2">
      <c r="B43" s="96" t="s">
        <v>287</v>
      </c>
    </row>
    <row r="44" spans="2:3" ht="15" x14ac:dyDescent="0.2">
      <c r="B44" s="96" t="s">
        <v>288</v>
      </c>
    </row>
    <row r="45" spans="2:3" ht="15" x14ac:dyDescent="0.2">
      <c r="B45" s="96" t="s">
        <v>289</v>
      </c>
    </row>
    <row r="46" spans="2:3" ht="15" x14ac:dyDescent="0.2">
      <c r="B46" s="96" t="s">
        <v>290</v>
      </c>
    </row>
    <row r="47" spans="2:3" ht="15" x14ac:dyDescent="0.2">
      <c r="B47" s="96" t="s">
        <v>291</v>
      </c>
    </row>
    <row r="48" spans="2:3" ht="15" x14ac:dyDescent="0.2">
      <c r="B48" s="96" t="s">
        <v>292</v>
      </c>
    </row>
    <row r="49" spans="2:3" ht="17.25" x14ac:dyDescent="0.2">
      <c r="B49" s="96" t="s">
        <v>293</v>
      </c>
    </row>
    <row r="50" spans="2:3" ht="17.25" x14ac:dyDescent="0.2">
      <c r="B50" s="96" t="s">
        <v>294</v>
      </c>
    </row>
    <row r="51" spans="2:3" ht="17.25" x14ac:dyDescent="0.2">
      <c r="B51" s="96" t="s">
        <v>295</v>
      </c>
    </row>
    <row r="52" spans="2:3" ht="15" x14ac:dyDescent="0.2">
      <c r="B52" s="96" t="s">
        <v>296</v>
      </c>
    </row>
    <row r="53" spans="2:3" ht="15" x14ac:dyDescent="0.2">
      <c r="B53" s="96" t="s">
        <v>297</v>
      </c>
      <c r="C53" s="97"/>
    </row>
    <row r="54" spans="2:3" ht="15" x14ac:dyDescent="0.2">
      <c r="B54" s="96" t="s">
        <v>298</v>
      </c>
    </row>
    <row r="55" spans="2:3" ht="15" x14ac:dyDescent="0.2">
      <c r="B55" s="96" t="s">
        <v>299</v>
      </c>
    </row>
    <row r="56" spans="2:3" ht="15" x14ac:dyDescent="0.2">
      <c r="B56" s="96" t="s">
        <v>300</v>
      </c>
    </row>
    <row r="57" spans="2:3" ht="17.25" x14ac:dyDescent="0.2">
      <c r="B57" s="96" t="s">
        <v>301</v>
      </c>
    </row>
    <row r="58" spans="2:3" ht="17.25" x14ac:dyDescent="0.2">
      <c r="B58" s="96" t="s">
        <v>302</v>
      </c>
    </row>
    <row r="59" spans="2:3" ht="17.25" x14ac:dyDescent="0.2">
      <c r="B59" s="96" t="s">
        <v>303</v>
      </c>
    </row>
    <row r="60" spans="2:3" ht="17.25" x14ac:dyDescent="0.2">
      <c r="B60" s="96" t="s">
        <v>304</v>
      </c>
    </row>
    <row r="61" spans="2:3" ht="15" x14ac:dyDescent="0.2">
      <c r="B61" s="96" t="s">
        <v>305</v>
      </c>
      <c r="C61" s="97"/>
    </row>
    <row r="62" spans="2:3" ht="15" x14ac:dyDescent="0.2">
      <c r="B62" s="96" t="s">
        <v>306</v>
      </c>
      <c r="C62" s="97"/>
    </row>
    <row r="63" spans="2:3" ht="15" x14ac:dyDescent="0.2">
      <c r="B63" s="96" t="s">
        <v>307</v>
      </c>
    </row>
    <row r="64" spans="2:3" ht="15" x14ac:dyDescent="0.2">
      <c r="B64" s="96" t="s">
        <v>308</v>
      </c>
    </row>
    <row r="65" spans="2:2" ht="15" x14ac:dyDescent="0.2">
      <c r="B65" s="96" t="s">
        <v>309</v>
      </c>
    </row>
    <row r="66" spans="2:2" ht="15" x14ac:dyDescent="0.2">
      <c r="B66" s="96" t="s">
        <v>310</v>
      </c>
    </row>
    <row r="67" spans="2:2" ht="15" x14ac:dyDescent="0.2">
      <c r="B67" s="96" t="s">
        <v>311</v>
      </c>
    </row>
    <row r="68" spans="2:2" ht="15" x14ac:dyDescent="0.2">
      <c r="B68" s="96" t="s">
        <v>312</v>
      </c>
    </row>
    <row r="69" spans="2:2" ht="15" x14ac:dyDescent="0.2">
      <c r="B69" s="96"/>
    </row>
    <row r="70" spans="2:2" ht="14.25" x14ac:dyDescent="0.2">
      <c r="B70" s="95" t="s">
        <v>313</v>
      </c>
    </row>
    <row r="71" spans="2:2" ht="15" x14ac:dyDescent="0.2">
      <c r="B71" s="96" t="s">
        <v>314</v>
      </c>
    </row>
    <row r="72" spans="2:2" ht="15" x14ac:dyDescent="0.2">
      <c r="B72" s="96" t="s">
        <v>315</v>
      </c>
    </row>
    <row r="73" spans="2:2" ht="15" x14ac:dyDescent="0.2">
      <c r="B73" s="96" t="s">
        <v>316</v>
      </c>
    </row>
    <row r="74" spans="2:2" ht="15" x14ac:dyDescent="0.2">
      <c r="B74" s="96" t="s">
        <v>317</v>
      </c>
    </row>
    <row r="75" spans="2:2" ht="15" x14ac:dyDescent="0.2">
      <c r="B75" s="96" t="s">
        <v>318</v>
      </c>
    </row>
    <row r="76" spans="2:2" ht="15" x14ac:dyDescent="0.2">
      <c r="B76" s="96" t="s">
        <v>319</v>
      </c>
    </row>
    <row r="77" spans="2:2" ht="15" x14ac:dyDescent="0.2">
      <c r="B77" s="96" t="s">
        <v>320</v>
      </c>
    </row>
    <row r="78" spans="2:2" ht="15" x14ac:dyDescent="0.2">
      <c r="B78" s="96" t="s">
        <v>321</v>
      </c>
    </row>
    <row r="79" spans="2:2" ht="15" x14ac:dyDescent="0.2">
      <c r="B79" s="96" t="s">
        <v>322</v>
      </c>
    </row>
    <row r="80" spans="2:2" ht="15" x14ac:dyDescent="0.2">
      <c r="B80" s="96" t="s">
        <v>323</v>
      </c>
    </row>
    <row r="81" spans="2:3" ht="15" x14ac:dyDescent="0.2">
      <c r="B81" s="96" t="s">
        <v>324</v>
      </c>
    </row>
    <row r="82" spans="2:3" ht="15" x14ac:dyDescent="0.2">
      <c r="B82" s="96" t="s">
        <v>325</v>
      </c>
    </row>
    <row r="83" spans="2:3" ht="15" x14ac:dyDescent="0.2">
      <c r="B83" s="96" t="s">
        <v>326</v>
      </c>
    </row>
    <row r="84" spans="2:3" ht="15" x14ac:dyDescent="0.2">
      <c r="B84" s="96" t="s">
        <v>327</v>
      </c>
    </row>
    <row r="85" spans="2:3" ht="15" x14ac:dyDescent="0.2">
      <c r="B85" s="96" t="s">
        <v>328</v>
      </c>
    </row>
    <row r="86" spans="2:3" ht="15" x14ac:dyDescent="0.2">
      <c r="B86" s="96" t="s">
        <v>329</v>
      </c>
    </row>
    <row r="87" spans="2:3" ht="15" x14ac:dyDescent="0.2">
      <c r="B87" s="96" t="s">
        <v>330</v>
      </c>
    </row>
    <row r="88" spans="2:3" ht="15" x14ac:dyDescent="0.2">
      <c r="B88" s="96" t="s">
        <v>331</v>
      </c>
    </row>
    <row r="89" spans="2:3" ht="15" x14ac:dyDescent="0.2">
      <c r="B89" s="96" t="s">
        <v>332</v>
      </c>
    </row>
    <row r="90" spans="2:3" ht="15" x14ac:dyDescent="0.2">
      <c r="B90" s="96" t="s">
        <v>333</v>
      </c>
    </row>
    <row r="91" spans="2:3" ht="15" x14ac:dyDescent="0.2">
      <c r="B91" s="96" t="s">
        <v>334</v>
      </c>
    </row>
    <row r="92" spans="2:3" ht="15" x14ac:dyDescent="0.2">
      <c r="B92" s="96" t="s">
        <v>335</v>
      </c>
    </row>
    <row r="93" spans="2:3" ht="15" x14ac:dyDescent="0.2">
      <c r="B93" s="96" t="s">
        <v>336</v>
      </c>
    </row>
    <row r="94" spans="2:3" ht="15" x14ac:dyDescent="0.2">
      <c r="B94" s="96" t="s">
        <v>337</v>
      </c>
    </row>
    <row r="95" spans="2:3" ht="15" x14ac:dyDescent="0.2">
      <c r="B95" s="96" t="s">
        <v>338</v>
      </c>
      <c r="C95" s="97"/>
    </row>
    <row r="96" spans="2:3" ht="15" x14ac:dyDescent="0.2">
      <c r="B96" s="96" t="s">
        <v>339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2020-10-14T21:05:48Z</dcterms:modified>
</cp:coreProperties>
</file>
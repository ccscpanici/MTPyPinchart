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hrisP\Documents\github\python\TrashBin\"/>
    </mc:Choice>
  </mc:AlternateContent>
  <xr:revisionPtr revIDLastSave="0" documentId="13_ncr:1_{9D6547B2-FD5D-41C7-93C8-A2CF820ED60E}" xr6:coauthVersionLast="45" xr6:coauthVersionMax="45" xr10:uidLastSave="{00000000-0000-0000-0000-000000000000}"/>
  <bookViews>
    <workbookView xWindow="-120" yWindow="-120" windowWidth="29040" windowHeight="15840" activeTab="2" xr2:uid="{00000000-000D-0000-FFFF-FFFF00000000}"/>
  </bookViews>
  <sheets>
    <sheet name="Main Program" sheetId="1" r:id="rId1"/>
    <sheet name="PINCHART-1" sheetId="2" r:id="rId2"/>
    <sheet name="PINCHART-2" sheetId="3" r:id="rId3"/>
  </sheets>
  <functionGroups builtInGroupCount="19"/>
  <definedNames>
    <definedName name="_xlnm.Print_Area" localSheetId="1">'PINCHART-1'!$A$1:$AU$29</definedName>
    <definedName name="_xlnm.Print_Area" localSheetId="2">'PINCHART-2'!$A$1:$AU$29</definedName>
    <definedName name="_xlnm.Print_Titles" localSheetId="1">'PINCHART-1'!$A:$B,'PINCHART-1'!$2:$4</definedName>
    <definedName name="_xlnm.Print_Titles" localSheetId="2">'PINCHART-2'!$A:$B,'PINCHART-2'!$2:$4</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S29" i="3" l="1"/>
  <c r="AO29" i="3"/>
  <c r="U29" i="3"/>
  <c r="C29" i="3"/>
  <c r="AS28" i="3"/>
  <c r="AO28" i="3"/>
  <c r="U28" i="3"/>
  <c r="C28" i="3"/>
  <c r="AS27" i="3"/>
  <c r="AO27" i="3"/>
  <c r="U27" i="3"/>
  <c r="C27" i="3"/>
  <c r="AS26" i="3"/>
  <c r="AO26" i="3"/>
  <c r="U26" i="3"/>
  <c r="C26" i="3"/>
  <c r="AS25" i="3"/>
  <c r="AO25" i="3"/>
  <c r="U25" i="3"/>
  <c r="C25" i="3"/>
  <c r="AS24" i="3"/>
  <c r="AO24" i="3"/>
  <c r="U24" i="3"/>
  <c r="C24" i="3"/>
  <c r="AS23" i="3"/>
  <c r="AO23" i="3"/>
  <c r="U23" i="3"/>
  <c r="C23" i="3"/>
  <c r="AS22" i="3"/>
  <c r="AO22" i="3"/>
  <c r="U22" i="3"/>
  <c r="C22" i="3"/>
  <c r="AS21" i="3"/>
  <c r="AO21" i="3"/>
  <c r="U21" i="3"/>
  <c r="C21" i="3"/>
  <c r="AS20" i="3"/>
  <c r="AO20" i="3"/>
  <c r="U20" i="3"/>
  <c r="C20" i="3"/>
  <c r="AS19" i="3"/>
  <c r="AO19" i="3"/>
  <c r="U19" i="3"/>
  <c r="C19" i="3"/>
  <c r="AS18" i="3"/>
  <c r="AO18" i="3"/>
  <c r="U18" i="3"/>
  <c r="C18" i="3"/>
  <c r="AS17" i="3"/>
  <c r="AO17" i="3"/>
  <c r="U17" i="3"/>
  <c r="C17" i="3"/>
  <c r="AS16" i="3"/>
  <c r="AO16" i="3"/>
  <c r="U16" i="3"/>
  <c r="C16" i="3"/>
  <c r="AS15" i="3"/>
  <c r="AO15" i="3"/>
  <c r="U15" i="3"/>
  <c r="C15" i="3"/>
  <c r="AS14" i="3"/>
  <c r="AO14" i="3"/>
  <c r="U14" i="3"/>
  <c r="C14" i="3"/>
  <c r="AS13" i="3"/>
  <c r="AO13" i="3"/>
  <c r="U13" i="3"/>
  <c r="C13" i="3"/>
  <c r="AS12" i="3"/>
  <c r="AO12" i="3"/>
  <c r="U12" i="3"/>
  <c r="C12" i="3"/>
  <c r="AS11" i="3"/>
  <c r="AO11" i="3"/>
  <c r="U11" i="3"/>
  <c r="C11" i="3"/>
  <c r="AS10" i="3"/>
  <c r="AO10" i="3"/>
  <c r="U10" i="3"/>
  <c r="C10" i="3"/>
  <c r="AS9" i="3"/>
  <c r="AO9" i="3"/>
  <c r="U9" i="3"/>
  <c r="C9" i="3"/>
  <c r="AS8" i="3"/>
  <c r="AO8" i="3"/>
  <c r="U8" i="3"/>
  <c r="C8" i="3"/>
  <c r="AS7" i="3"/>
  <c r="AQ7" i="3"/>
  <c r="AQ8" i="3" s="1"/>
  <c r="AQ9" i="3" s="1"/>
  <c r="AQ10" i="3" s="1"/>
  <c r="AQ11" i="3" s="1"/>
  <c r="AQ12" i="3" s="1"/>
  <c r="AQ13" i="3" s="1"/>
  <c r="AQ14" i="3" s="1"/>
  <c r="AQ15" i="3" s="1"/>
  <c r="AQ16" i="3" s="1"/>
  <c r="AQ17" i="3" s="1"/>
  <c r="AQ18" i="3" s="1"/>
  <c r="AQ19" i="3" s="1"/>
  <c r="AQ20" i="3" s="1"/>
  <c r="AQ21" i="3" s="1"/>
  <c r="AQ22" i="3" s="1"/>
  <c r="AQ23" i="3" s="1"/>
  <c r="AQ24" i="3" s="1"/>
  <c r="AQ25" i="3" s="1"/>
  <c r="AQ26" i="3" s="1"/>
  <c r="AQ27" i="3" s="1"/>
  <c r="AQ28" i="3" s="1"/>
  <c r="AQ29" i="3" s="1"/>
  <c r="AO7" i="3"/>
  <c r="U7" i="3"/>
  <c r="C7" i="3"/>
  <c r="AU6" i="3"/>
  <c r="AU7" i="3" s="1"/>
  <c r="AU8" i="3" s="1"/>
  <c r="AU9" i="3" s="1"/>
  <c r="AU10" i="3" s="1"/>
  <c r="AU11" i="3" s="1"/>
  <c r="AU12" i="3" s="1"/>
  <c r="AU13" i="3" s="1"/>
  <c r="AU14" i="3" s="1"/>
  <c r="AU15" i="3" s="1"/>
  <c r="AU16" i="3" s="1"/>
  <c r="AU17" i="3" s="1"/>
  <c r="AU18" i="3" s="1"/>
  <c r="AU19" i="3" s="1"/>
  <c r="AU20" i="3" s="1"/>
  <c r="AU21" i="3" s="1"/>
  <c r="AU22" i="3" s="1"/>
  <c r="AU23" i="3" s="1"/>
  <c r="AU24" i="3" s="1"/>
  <c r="AU25" i="3" s="1"/>
  <c r="AU26" i="3" s="1"/>
  <c r="AU27" i="3" s="1"/>
  <c r="AU28" i="3" s="1"/>
  <c r="AU29" i="3" s="1"/>
  <c r="AS6" i="3"/>
  <c r="AQ6" i="3"/>
  <c r="AO6" i="3"/>
  <c r="C6" i="3"/>
  <c r="C5" i="3"/>
  <c r="AN29" i="3" a="1"/>
  <c r="AN28" i="3" a="1"/>
  <c r="AN27" i="3" a="1"/>
  <c r="AN26" i="3" a="1"/>
  <c r="AN25" i="3" a="1"/>
  <c r="AN24" i="3" a="1"/>
  <c r="AN23" i="3" a="1"/>
  <c r="AN22" i="3" a="1"/>
  <c r="AN21" i="3" a="1"/>
  <c r="AN20" i="3" a="1"/>
  <c r="AN19" i="3" a="1"/>
  <c r="AN18" i="3" a="1"/>
  <c r="AN17" i="3" a="1"/>
  <c r="AN16" i="3" a="1"/>
  <c r="AN15" i="3" a="1"/>
  <c r="AN14" i="3" a="1"/>
  <c r="AN13" i="3" a="1"/>
  <c r="AN12" i="3" a="1"/>
  <c r="AN11" i="3" a="1"/>
  <c r="AN10" i="3" a="1"/>
  <c r="AN9" i="3" a="1"/>
  <c r="AN8" i="3" a="1"/>
  <c r="AN7" i="3" a="1"/>
  <c r="AN6" i="3" a="1"/>
  <c r="AN5" i="3" a="1"/>
  <c r="T29" i="3" a="1"/>
  <c r="T28" i="3" a="1"/>
  <c r="T27" i="3" a="1"/>
  <c r="T26" i="3" a="1"/>
  <c r="T25" i="3" a="1"/>
  <c r="T24" i="3" a="1"/>
  <c r="T23" i="3" a="1"/>
  <c r="T22" i="3" a="1"/>
  <c r="T21" i="3" a="1"/>
  <c r="T20" i="3" a="1"/>
  <c r="T19" i="3" a="1"/>
  <c r="T18" i="3" a="1"/>
  <c r="T17" i="3" a="1"/>
  <c r="T16" i="3" a="1"/>
  <c r="T15" i="3" a="1"/>
  <c r="T14" i="3" a="1"/>
  <c r="T13" i="3" a="1"/>
  <c r="T12" i="3" a="1"/>
  <c r="T11" i="3" a="1"/>
  <c r="T10" i="3" a="1"/>
  <c r="T9" i="3" a="1"/>
  <c r="T8" i="3" a="1"/>
  <c r="T7" i="3" a="1"/>
  <c r="T6" i="3" a="1"/>
  <c r="T5" i="3" a="1"/>
  <c r="T14" i="3" l="1"/>
  <c r="AN27" i="3"/>
  <c r="AN5" i="3"/>
  <c r="T13" i="3"/>
  <c r="T19" i="3"/>
  <c r="AN8" i="3"/>
  <c r="AN26" i="3"/>
  <c r="T12" i="3"/>
  <c r="T18" i="3"/>
  <c r="T24" i="3"/>
  <c r="T26" i="3"/>
  <c r="T7" i="3"/>
  <c r="T25" i="3"/>
  <c r="T6" i="3"/>
  <c r="AN13" i="3"/>
  <c r="AN19" i="3"/>
  <c r="AN25" i="3"/>
  <c r="T8" i="3"/>
  <c r="AN9" i="3"/>
  <c r="AN21" i="3"/>
  <c r="AN14" i="3"/>
  <c r="AN20" i="3"/>
  <c r="AN7" i="3"/>
  <c r="T11" i="3"/>
  <c r="T17" i="3"/>
  <c r="T23" i="3"/>
  <c r="T29" i="3"/>
  <c r="AN10" i="3"/>
  <c r="AN6" i="3"/>
  <c r="AN24" i="3"/>
  <c r="AN18" i="3"/>
  <c r="T10" i="3"/>
  <c r="T16" i="3"/>
  <c r="T22" i="3"/>
  <c r="T28" i="3"/>
  <c r="AN11" i="3"/>
  <c r="AN23" i="3"/>
  <c r="AN29" i="3"/>
  <c r="AN16" i="3"/>
  <c r="AN12" i="3"/>
  <c r="AN17" i="3"/>
  <c r="T9" i="3"/>
  <c r="T15" i="3"/>
  <c r="T21" i="3"/>
  <c r="T27" i="3"/>
  <c r="AN22" i="3"/>
  <c r="AN28" i="3"/>
  <c r="T5" i="3"/>
  <c r="T20" i="3"/>
  <c r="AN15" i="3"/>
  <c r="AU6" i="2"/>
  <c r="AU7" i="2" s="1"/>
  <c r="AU8" i="2" s="1"/>
  <c r="AU9" i="2" s="1"/>
  <c r="AU10" i="2" s="1"/>
  <c r="AU11" i="2" s="1"/>
  <c r="AU12" i="2" s="1"/>
  <c r="AU13" i="2" s="1"/>
  <c r="AU14" i="2" s="1"/>
  <c r="AU15" i="2" s="1"/>
  <c r="AU16" i="2" s="1"/>
  <c r="AU17" i="2" s="1"/>
  <c r="AU18" i="2" s="1"/>
  <c r="AU19" i="2" s="1"/>
  <c r="AU20" i="2" s="1"/>
  <c r="AU21" i="2" s="1"/>
  <c r="AU22" i="2" s="1"/>
  <c r="AU23" i="2" s="1"/>
  <c r="AU24" i="2" s="1"/>
  <c r="AU25" i="2" s="1"/>
  <c r="AU26" i="2" s="1"/>
  <c r="AU27" i="2" s="1"/>
  <c r="AU28" i="2" s="1"/>
  <c r="AU29" i="2" s="1"/>
  <c r="AQ6" i="2"/>
  <c r="AQ7" i="2" s="1"/>
  <c r="AQ8" i="2" s="1"/>
  <c r="AQ9" i="2" s="1"/>
  <c r="AQ10" i="2" s="1"/>
  <c r="AQ11" i="2" s="1"/>
  <c r="AQ12" i="2" s="1"/>
  <c r="AQ13" i="2" s="1"/>
  <c r="AQ14" i="2" s="1"/>
  <c r="AQ15" i="2" s="1"/>
  <c r="AQ16" i="2" s="1"/>
  <c r="AQ17" i="2" s="1"/>
  <c r="AQ18" i="2" s="1"/>
  <c r="AQ19" i="2" s="1"/>
  <c r="AQ20" i="2" s="1"/>
  <c r="AQ21" i="2" s="1"/>
  <c r="AQ22" i="2" s="1"/>
  <c r="AQ23" i="2" s="1"/>
  <c r="AQ24" i="2" s="1"/>
  <c r="AQ25" i="2" s="1"/>
  <c r="AQ26" i="2" s="1"/>
  <c r="AQ27" i="2" s="1"/>
  <c r="AQ28" i="2" s="1"/>
  <c r="AQ29" i="2" s="1"/>
  <c r="AS8" i="2" l="1"/>
  <c r="AS9" i="2"/>
  <c r="AS10" i="2"/>
  <c r="AS11" i="2"/>
  <c r="AS12" i="2"/>
  <c r="AS13" i="2"/>
  <c r="AS14" i="2"/>
  <c r="AS15" i="2"/>
  <c r="AS16" i="2"/>
  <c r="AS17" i="2"/>
  <c r="AS18" i="2"/>
  <c r="AS19" i="2"/>
  <c r="AS20" i="2"/>
  <c r="AS21" i="2"/>
  <c r="AS22" i="2"/>
  <c r="AS23" i="2"/>
  <c r="AS24" i="2"/>
  <c r="AS25" i="2"/>
  <c r="AS26" i="2"/>
  <c r="AS27" i="2"/>
  <c r="AS28" i="2"/>
  <c r="AS29" i="2"/>
  <c r="AO8" i="2"/>
  <c r="AO9" i="2"/>
  <c r="AO10" i="2"/>
  <c r="AO11" i="2"/>
  <c r="AO12" i="2"/>
  <c r="AO13" i="2"/>
  <c r="AO14" i="2"/>
  <c r="AO15" i="2"/>
  <c r="AO16" i="2"/>
  <c r="AO17" i="2"/>
  <c r="AO18" i="2"/>
  <c r="AO19" i="2"/>
  <c r="AO20" i="2"/>
  <c r="AO21" i="2"/>
  <c r="AO22" i="2"/>
  <c r="AO23" i="2"/>
  <c r="AO24" i="2"/>
  <c r="AO25" i="2"/>
  <c r="AO26" i="2"/>
  <c r="AO27" i="2"/>
  <c r="AO28" i="2"/>
  <c r="AO29" i="2"/>
  <c r="U8" i="2"/>
  <c r="U9" i="2"/>
  <c r="U10" i="2"/>
  <c r="U11" i="2"/>
  <c r="U12" i="2"/>
  <c r="U13" i="2"/>
  <c r="U14" i="2"/>
  <c r="U15" i="2"/>
  <c r="U16" i="2"/>
  <c r="U17" i="2"/>
  <c r="U18" i="2"/>
  <c r="U19" i="2"/>
  <c r="U20" i="2"/>
  <c r="U21" i="2"/>
  <c r="U22" i="2"/>
  <c r="U23" i="2"/>
  <c r="U24" i="2"/>
  <c r="U25" i="2"/>
  <c r="U26" i="2"/>
  <c r="U27" i="2"/>
  <c r="U28" i="2"/>
  <c r="U29" i="2"/>
  <c r="AS7" i="2" l="1"/>
  <c r="AS6" i="2"/>
  <c r="AO7" i="2"/>
  <c r="AO6" i="2"/>
  <c r="C29" i="2"/>
  <c r="C28" i="2"/>
  <c r="C27" i="2"/>
  <c r="C26" i="2"/>
  <c r="C25" i="2"/>
  <c r="C24" i="2"/>
  <c r="C23" i="2"/>
  <c r="C22" i="2"/>
  <c r="C21" i="2"/>
  <c r="C20" i="2"/>
  <c r="C19" i="2"/>
  <c r="C18" i="2"/>
  <c r="C17" i="2"/>
  <c r="C16" i="2"/>
  <c r="C15" i="2"/>
  <c r="C14" i="2"/>
  <c r="C13" i="2"/>
  <c r="C12" i="2"/>
  <c r="C11" i="2"/>
  <c r="C10" i="2"/>
  <c r="C9" i="2"/>
  <c r="C8" i="2"/>
  <c r="C7" i="2"/>
  <c r="C6" i="2"/>
  <c r="C5" i="2"/>
  <c r="AN29" i="2" a="1"/>
  <c r="AN28" i="2" a="1"/>
  <c r="AN27" i="2" a="1"/>
  <c r="AN26" i="2" a="1"/>
  <c r="AN25" i="2" a="1"/>
  <c r="AN24" i="2" a="1"/>
  <c r="AN23" i="2" a="1"/>
  <c r="AN22" i="2" a="1"/>
  <c r="AN21" i="2" a="1"/>
  <c r="AN20" i="2" a="1"/>
  <c r="AN19" i="2" a="1"/>
  <c r="AN18" i="2" a="1"/>
  <c r="AN17" i="2" a="1"/>
  <c r="AN16" i="2" a="1"/>
  <c r="AN15" i="2" a="1"/>
  <c r="AN14" i="2" a="1"/>
  <c r="AN13" i="2" a="1"/>
  <c r="AN12" i="2" a="1"/>
  <c r="AN11" i="2" a="1"/>
  <c r="AN10" i="2" a="1"/>
  <c r="AN9" i="2" a="1"/>
  <c r="AN8" i="2" a="1"/>
  <c r="AN7" i="2" a="1"/>
  <c r="AN6" i="2" a="1"/>
  <c r="AN5" i="2" a="1"/>
  <c r="AN15" i="2" l="1"/>
  <c r="AN16" i="2"/>
  <c r="AN22" i="2"/>
  <c r="AN28" i="2"/>
  <c r="AN27" i="2"/>
  <c r="AN21" i="2"/>
  <c r="AN11" i="2"/>
  <c r="AN23" i="2"/>
  <c r="AN9" i="2"/>
  <c r="AN10" i="2"/>
  <c r="AN17" i="2"/>
  <c r="AN6" i="2"/>
  <c r="AN12" i="2"/>
  <c r="AN18" i="2"/>
  <c r="AN24" i="2"/>
  <c r="AN7" i="2"/>
  <c r="AN13" i="2"/>
  <c r="AN19" i="2"/>
  <c r="AN25" i="2"/>
  <c r="AN8" i="2"/>
  <c r="AN14" i="2"/>
  <c r="AN20" i="2"/>
  <c r="AN26" i="2"/>
  <c r="AN29" i="2"/>
  <c r="AN5" i="2"/>
  <c r="U7" i="2" l="1"/>
  <c r="T29" i="2" a="1"/>
  <c r="T28" i="2" a="1"/>
  <c r="T27" i="2" a="1"/>
  <c r="T26" i="2" a="1"/>
  <c r="T25" i="2" a="1"/>
  <c r="T24" i="2" a="1"/>
  <c r="T23" i="2" a="1"/>
  <c r="T22" i="2" a="1"/>
  <c r="T21" i="2" a="1"/>
  <c r="T20" i="2" a="1"/>
  <c r="T19" i="2" a="1"/>
  <c r="T18" i="2" a="1"/>
  <c r="T17" i="2" a="1"/>
  <c r="T16" i="2" a="1"/>
  <c r="T15" i="2" a="1"/>
  <c r="T14" i="2" a="1"/>
  <c r="T13" i="2" a="1"/>
  <c r="T12" i="2" a="1"/>
  <c r="T11" i="2" a="1"/>
  <c r="T10" i="2" a="1"/>
  <c r="T9" i="2" a="1"/>
  <c r="T8" i="2" a="1"/>
  <c r="T7" i="2" a="1"/>
  <c r="T6" i="2" a="1"/>
  <c r="T5" i="2" a="1"/>
  <c r="T7" i="2" l="1"/>
  <c r="T13" i="2"/>
  <c r="T24" i="2"/>
  <c r="T12" i="2"/>
  <c r="T18" i="2"/>
  <c r="T23" i="2"/>
  <c r="T5" i="2"/>
  <c r="T6" i="2"/>
  <c r="T11" i="2"/>
  <c r="T17" i="2"/>
  <c r="T28" i="2"/>
  <c r="T29" i="2"/>
  <c r="T10" i="2"/>
  <c r="T21" i="2"/>
  <c r="T22" i="2"/>
  <c r="T16" i="2"/>
  <c r="T27" i="2"/>
  <c r="T9" i="2"/>
  <c r="T15" i="2"/>
  <c r="T26" i="2"/>
  <c r="T8" i="2"/>
  <c r="T20" i="2"/>
  <c r="T25" i="2"/>
  <c r="T14" i="2"/>
  <c r="T19"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<sst xmlns="http://schemas.openxmlformats.org/spreadsheetml/2006/main" count="341" uniqueCount="108">
  <si>
    <t>Pinchart Information</t>
  </si>
  <si>
    <t>For a pinchart to be uploaded, downloaded, imported, or exported. The sheet has to have the word "pinchart" contained within the sheet name. For example, "PINCHART-CIPACIRCUIT1" would be a valid pinchart and would be uploaded/downloaded. The name is NOT case sensitive, for example, PiNChart-X would be valid and uploaded. All of the configuration is within the below cells. The paths HAVE to be valid, and the script path needs to point to the main.py script.</t>
  </si>
  <si>
    <t>Directions to utilize this new pin chart</t>
  </si>
  <si>
    <t>Install python 2.7 (32-bit)</t>
  </si>
  <si>
    <t>Install OpenOPC for python</t>
  </si>
  <si>
    <t>Install library dependencies</t>
  </si>
  <si>
    <t>System Configuration</t>
  </si>
  <si>
    <t>OPC Topic</t>
  </si>
  <si>
    <t>DO NOT MOVE THESE CELLS</t>
  </si>
  <si>
    <t>Python 2.7 Path</t>
  </si>
  <si>
    <t>C:\Python27\python.exe</t>
  </si>
  <si>
    <t>Python Script</t>
  </si>
  <si>
    <t>C:\CCS\PyPinChart\main.py</t>
  </si>
  <si>
    <t>PLC Operations
Upload - Uploads the data from the PLC into the Excel Pinchart File.
Download - Downloads the data from the PLC into the Excel Pinchart File.</t>
  </si>
  <si>
    <t>SLC File Import / Export Configuration</t>
  </si>
  <si>
    <t>PC5 File</t>
  </si>
  <si>
    <t>C:\Pinchart.PC5</t>
  </si>
  <si>
    <t>INT DATA</t>
  </si>
  <si>
    <t>DO NOT MOVE THESE CELLS.  USED FOR DATA TYPE DROP DOWN LISTS</t>
  </si>
  <si>
    <t>DINT DATA</t>
  </si>
  <si>
    <t>FLOAT DATA</t>
  </si>
  <si>
    <t>STRING DATA</t>
  </si>
  <si>
    <t>Step Description</t>
  </si>
  <si>
    <t>$HeaderRow$</t>
  </si>
  <si>
    <t>WORD ADDRESS</t>
  </si>
  <si>
    <t>Step #</t>
  </si>
  <si>
    <t>Import - Imports the data from the PC5 File into the Excel Sheet.
Export - Exports the data from the PINCHART file into the PC5 File Sheet</t>
  </si>
  <si>
    <t>HOLD FOR BUILD PRESSURE</t>
  </si>
  <si>
    <t>HOLD FOR CHEMICAL ADDITION</t>
  </si>
  <si>
    <t>HOLD TO FLUSH TOTAL</t>
  </si>
  <si>
    <t>HOLD TO RINSE TOTAL</t>
  </si>
  <si>
    <t>HOLD TO CHECK FLUX STEP TEMP MET</t>
  </si>
  <si>
    <t>HOLD TO TEMPERATURE</t>
  </si>
  <si>
    <t>HOLD TO TIME</t>
  </si>
  <si>
    <t>HOLD FOR END PRODUCTION POPUP</t>
  </si>
  <si>
    <t>HOLD FOR SOAK END/FLUSH POPUP</t>
  </si>
  <si>
    <t>HOLD FOR SOAK RECIRC POPUP</t>
  </si>
  <si>
    <t>GOTO STEP ON NO PB</t>
  </si>
  <si>
    <t>GOTO STEP ON YES PB</t>
  </si>
  <si>
    <t>HOLD FOR ACKNOWLEDGE PB</t>
  </si>
  <si>
    <t>HOLD FOR NO PB</t>
  </si>
  <si>
    <t>HOLD FOR YES PB</t>
  </si>
  <si>
    <t>CYCLE COMPLETE =1</t>
  </si>
  <si>
    <t>PROCESS</t>
  </si>
  <si>
    <t>DRAIN BALANCE TANK - SET STEP TIME</t>
  </si>
  <si>
    <t>SANITIZE WASH - SET STEP TIME</t>
  </si>
  <si>
    <t>SOAK WASH - SET STEP TIME</t>
  </si>
  <si>
    <t>SHORT CIP WASH - SET STEP TIME</t>
  </si>
  <si>
    <t>CIP WASH 4 - SET STEP TIME</t>
  </si>
  <si>
    <t>CIP WASH 3 - SET STEP TIME</t>
  </si>
  <si>
    <t>CIP WASH 2 - SET STEP TIME</t>
  </si>
  <si>
    <t>CIP WASH 1 - SET STEP TIME</t>
  </si>
  <si>
    <t>CHECK FLUX - SET TEMP/FLOW SETPOINTS</t>
  </si>
  <si>
    <t>SANITIZE WASH - SET TEMP/FLOW SETPOINTS</t>
  </si>
  <si>
    <t>SOAK WASH - SET TEMP/FLOW SETPOINTS</t>
  </si>
  <si>
    <t>SHORT CIP WASH - SET TEMP/FLOW SETPOINTS</t>
  </si>
  <si>
    <t>CIP WASH 4 - SET TEMP/FLOW SETPOINTS</t>
  </si>
  <si>
    <t>CIP WASH 3 - SET TEMP/FLOW SETPOINTS</t>
  </si>
  <si>
    <t>CIP WASH 2 - SET TEMP/FLOW SETPOINTS</t>
  </si>
  <si>
    <t>CIP WASH 1 - SET TEMP/FLOW SETPOINTS</t>
  </si>
  <si>
    <t>RO - Process Mode</t>
  </si>
  <si>
    <t>Timed Step</t>
  </si>
  <si>
    <t>UF_RO_POL</t>
  </si>
  <si>
    <t>$Config$</t>
  </si>
  <si>
    <t>Key</t>
  </si>
  <si>
    <t>Value</t>
  </si>
  <si>
    <t>ADDRESS OFFSET</t>
  </si>
  <si>
    <t>DATA ROW OFFSET</t>
  </si>
  <si>
    <t>DINT-32 BITS OFFSET</t>
  </si>
  <si>
    <t>INT-16 BITS OFFSET</t>
  </si>
  <si>
    <t>INT-16 DATA</t>
  </si>
  <si>
    <t>DINT-32 DATA</t>
  </si>
  <si>
    <t>This type will update the bit fields</t>
  </si>
  <si>
    <t>TITLE ROW OFFSET</t>
  </si>
  <si>
    <t>Description</t>
  </si>
  <si>
    <t>Column offset from data value</t>
  </si>
  <si>
    <t>Row offset from $HeaderRow$ Flag</t>
  </si>
  <si>
    <t>Column offset from data value. Column should be MSB</t>
  </si>
  <si>
    <t>RESERVED</t>
  </si>
  <si>
    <t>STEP 1</t>
  </si>
  <si>
    <t>STEP 2</t>
  </si>
  <si>
    <t>STEP 3</t>
  </si>
  <si>
    <t>STEP 4</t>
  </si>
  <si>
    <t>STEP 5</t>
  </si>
  <si>
    <t>STEP 6</t>
  </si>
  <si>
    <t>STEP 7</t>
  </si>
  <si>
    <t>STEP 8</t>
  </si>
  <si>
    <t>STEP 9</t>
  </si>
  <si>
    <t>STEP 10</t>
  </si>
  <si>
    <t>STEP 11</t>
  </si>
  <si>
    <t>STEP 12</t>
  </si>
  <si>
    <t>STEP 13</t>
  </si>
  <si>
    <t>STEP 14</t>
  </si>
  <si>
    <t>STEP 15</t>
  </si>
  <si>
    <t>STEP 16</t>
  </si>
  <si>
    <t>STEP 17</t>
  </si>
  <si>
    <t>STEP 18</t>
  </si>
  <si>
    <t>STEP 19</t>
  </si>
  <si>
    <t>STEP 20</t>
  </si>
  <si>
    <t>STEP 21</t>
  </si>
  <si>
    <t>STEP 22</t>
  </si>
  <si>
    <t>STEP 23</t>
  </si>
  <si>
    <t>STEP 24</t>
  </si>
  <si>
    <t>STEP 25</t>
  </si>
  <si>
    <t>N7</t>
  </si>
  <si>
    <t>:</t>
  </si>
  <si>
    <t>N21</t>
  </si>
  <si>
    <t>N27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</si>
</sst>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1"/>
      <color theme="1"/>
      <name val="Wingdings"/>
      <charset val="2"/>
    </font>
    <font>
      <b/>
      <sz val="11"/>
      <color rgb="FFFF0000"/>
      <name val="Wingdings 2"/>
      <family val="1"/>
      <charset val="2"/>
    </font>
    <font>
      <sz val="11"/>
      <color rgb="FFFF0000"/>
      <name val="Calibri"/>
      <family val="2"/>
      <scheme val="minor"/>
    </font>
    <font>
      <b/>
      <sz val="11"/>
      <color theme="1"/>
      <name val="Calibri"/>
      <family val="2"/>
      <scheme val="minor"/>
    </font>
    <font>
      <sz val="11"/>
      <color rgb="FF000000"/>
      <name val="Calibri"/>
      <family val="2"/>
    </font>
    <font>
      <sz val="11"/>
      <name val="Calibri"/>
      <family val="2"/>
      <scheme val="minor"/>
    </font>
    <font>
      <sz val="10"/>
      <name val="Arial"/>
      <family val="2"/>
    </font>
    <font>
      <sz val="8"/>
      <name val="Calibri"/>
      <family val="2"/>
      <scheme val="minor"/>
    </font>
  </fonts>
  <fills count="2">
    <fill>
      <patternFill patternType="none"/>
    </fill>
    <fill>
      <patternFill patternType="gray125"/>
    </fill>
  </fills>
  <borders count="3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style="medium">
        <color auto="1"/>
      </top>
      <bottom style="medium">
        <color auto="1"/>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s>
  <cellStyleXfs count="2">
    <xf numFmtId="0" fontId="0" fillId="0" borderId="0"/>
    <xf numFmtId="0" fontId="7" fillId="0" borderId="0"/>
  </cellStyleXfs>
  <cellXfs count="113">
    <xf numFmtId="0" fontId="0" fillId="0" borderId="0" xfId="0"/>
    <xf numFmtId="0" fontId="0" fillId="0" borderId="3" xfId="0" applyBorder="1" applyAlignment="1">
      <alignment textRotation="90"/>
    </xf>
    <xf numFmtId="0" fontId="0" fillId="0" borderId="3" xfId="0" applyBorder="1"/>
    <xf numFmtId="0" fontId="1" fillId="0" borderId="5" xfId="0" applyFont="1" applyBorder="1"/>
    <xf numFmtId="0" fontId="0" fillId="0" borderId="4" xfId="0" applyBorder="1"/>
    <xf numFmtId="0" fontId="2" fillId="0" borderId="5" xfId="0" applyFont="1" applyBorder="1"/>
    <xf numFmtId="0" fontId="0" fillId="0" borderId="15" xfId="0" applyBorder="1"/>
    <xf numFmtId="0" fontId="3" fillId="0" borderId="13" xfId="0" applyFont="1" applyBorder="1"/>
    <xf numFmtId="0" fontId="0" fillId="0" borderId="0" xfId="0" applyAlignment="1">
      <alignment horizontal="left" vertical="top" wrapText="1"/>
    </xf>
    <xf numFmtId="0" fontId="0" fillId="0" borderId="21" xfId="0" applyBorder="1" applyAlignment="1" applyProtection="1">
      <alignment horizontal="center" textRotation="90"/>
      <protection locked="0"/>
    </xf>
    <xf numFmtId="0" fontId="0" fillId="0" borderId="22" xfId="0" applyBorder="1" applyAlignment="1" applyProtection="1">
      <alignment horizontal="center" textRotation="90"/>
      <protection locked="0"/>
    </xf>
    <xf numFmtId="0" fontId="0" fillId="0" borderId="1" xfId="0" applyBorder="1" applyAlignment="1">
      <alignment horizontal="center"/>
    </xf>
    <xf numFmtId="0" fontId="0" fillId="0" borderId="8" xfId="0" applyBorder="1" applyAlignment="1">
      <alignment horizontal="center"/>
    </xf>
    <xf numFmtId="0" fontId="0" fillId="0" borderId="1" xfId="0" applyBorder="1" applyAlignment="1" applyProtection="1">
      <alignment horizontal="center"/>
      <protection locked="0"/>
    </xf>
    <xf numFmtId="0" fontId="0" fillId="0" borderId="8" xfId="0" applyBorder="1" applyAlignment="1" applyProtection="1">
      <alignment horizontal="center"/>
      <protection locked="0"/>
    </xf>
    <xf numFmtId="0" fontId="0" fillId="0" borderId="2" xfId="0" applyBorder="1" applyAlignment="1" applyProtection="1">
      <alignment horizontal="center"/>
      <protection locked="0"/>
    </xf>
    <xf numFmtId="0" fontId="0" fillId="0" borderId="5" xfId="0" applyBorder="1" applyAlignment="1">
      <alignment horizontal="center"/>
    </xf>
    <xf numFmtId="0" fontId="0" fillId="0" borderId="0" xfId="0" applyAlignment="1">
      <alignment horizontal="center"/>
    </xf>
    <xf numFmtId="0" fontId="0" fillId="0" borderId="0" xfId="0"/>
    <xf numFmtId="0" fontId="0" fillId="0" borderId="16" xfId="0" applyBorder="1"/>
    <xf numFmtId="0" fontId="0" fillId="0" borderId="18" xfId="0" applyBorder="1"/>
    <xf numFmtId="0" fontId="0" fillId="0" borderId="11" xfId="0" applyBorder="1"/>
    <xf numFmtId="0" fontId="0" fillId="0" borderId="13" xfId="0" applyBorder="1"/>
    <xf numFmtId="0" fontId="0" fillId="0" borderId="14" xfId="0" applyBorder="1"/>
    <xf numFmtId="0" fontId="0" fillId="0" borderId="17" xfId="0" applyBorder="1"/>
    <xf numFmtId="0" fontId="0" fillId="0" borderId="19" xfId="0" applyBorder="1"/>
    <xf numFmtId="0" fontId="0" fillId="0" borderId="20" xfId="0" applyBorder="1"/>
    <xf numFmtId="0" fontId="0" fillId="0" borderId="0" xfId="0"/>
    <xf numFmtId="0" fontId="0" fillId="0" borderId="20" xfId="0" applyBorder="1"/>
    <xf numFmtId="0" fontId="0" fillId="0" borderId="24" xfId="0" applyBorder="1"/>
    <xf numFmtId="0" fontId="0" fillId="0" borderId="25" xfId="0" applyBorder="1" applyAlignment="1"/>
    <xf numFmtId="0" fontId="0" fillId="0" borderId="29" xfId="0" applyBorder="1" applyAlignment="1">
      <alignment horizontal="center"/>
    </xf>
    <xf numFmtId="0" fontId="0" fillId="0" borderId="27" xfId="0" applyBorder="1"/>
    <xf numFmtId="0" fontId="0" fillId="0" borderId="30" xfId="0" applyBorder="1"/>
    <xf numFmtId="0" fontId="0" fillId="0" borderId="1" xfId="0" applyFill="1" applyBorder="1" applyAlignment="1" applyProtection="1">
      <alignment horizontal="center"/>
      <protection locked="0"/>
    </xf>
    <xf numFmtId="0" fontId="0" fillId="0" borderId="4" xfId="0" applyFill="1" applyBorder="1"/>
    <xf numFmtId="0" fontId="0" fillId="0" borderId="5" xfId="0" applyFill="1" applyBorder="1" applyAlignment="1">
      <alignment horizontal="center"/>
    </xf>
    <xf numFmtId="0" fontId="0" fillId="0" borderId="10" xfId="0" applyFill="1" applyBorder="1"/>
    <xf numFmtId="0" fontId="2" fillId="0" borderId="5" xfId="0" applyFont="1" applyFill="1" applyBorder="1"/>
    <xf numFmtId="0" fontId="0" fillId="0" borderId="8" xfId="0" applyFill="1" applyBorder="1" applyAlignment="1" applyProtection="1">
      <alignment horizontal="center"/>
      <protection locked="0"/>
    </xf>
    <xf numFmtId="0" fontId="0" fillId="0" borderId="2" xfId="0" applyFill="1" applyBorder="1" applyAlignment="1" applyProtection="1">
      <alignment horizontal="center"/>
      <protection locked="0"/>
    </xf>
    <xf numFmtId="0" fontId="0" fillId="0" borderId="0" xfId="0" applyFill="1"/>
    <xf numFmtId="0" fontId="6" fillId="0" borderId="21" xfId="0" applyFont="1" applyBorder="1" applyAlignment="1" applyProtection="1">
      <alignment horizontal="center" textRotation="90"/>
      <protection locked="0"/>
    </xf>
    <xf numFmtId="0" fontId="2" fillId="0" borderId="29" xfId="0" applyFont="1" applyBorder="1"/>
    <xf numFmtId="0" fontId="0" fillId="0" borderId="31" xfId="0" applyBorder="1" applyAlignment="1" applyProtection="1">
      <alignment horizontal="center"/>
      <protection locked="0"/>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0" fontId="0" fillId="0" borderId="24" xfId="0" applyBorder="1" applyAlignment="1" applyProtection="1">
      <alignment textRotation="90"/>
      <protection locked="0"/>
    </xf>
    <xf numFmtId="0" fontId="6" fillId="0" borderId="4" xfId="0" applyFont="1" applyFill="1" applyBorder="1"/>
    <xf numFmtId="0" fontId="6" fillId="0" borderId="5" xfId="0" applyFont="1" applyFill="1" applyBorder="1" applyAlignment="1">
      <alignment horizontal="center"/>
    </xf>
    <xf numFmtId="0" fontId="6" fillId="0" borderId="10" xfId="0" applyFont="1" applyFill="1" applyBorder="1"/>
    <xf numFmtId="0" fontId="6" fillId="0" borderId="1" xfId="0" applyFont="1" applyFill="1" applyBorder="1" applyAlignment="1" applyProtection="1">
      <alignment horizontal="center"/>
      <protection locked="0"/>
    </xf>
    <xf numFmtId="0" fontId="6" fillId="0" borderId="8" xfId="0" applyFont="1" applyFill="1" applyBorder="1" applyAlignment="1" applyProtection="1">
      <alignment horizontal="center"/>
      <protection locked="0"/>
    </xf>
    <xf numFmtId="0" fontId="6" fillId="0" borderId="2" xfId="0" applyFont="1" applyFill="1" applyBorder="1" applyAlignment="1" applyProtection="1">
      <alignment horizontal="center"/>
      <protection locked="0"/>
    </xf>
    <xf numFmtId="0" fontId="6" fillId="0" borderId="0" xfId="0" applyFont="1" applyFill="1"/>
    <xf numFmtId="0" fontId="0" fillId="0" borderId="2" xfId="0" applyBorder="1" applyAlignment="1">
      <alignment horizontal="center"/>
    </xf>
    <xf numFmtId="0" fontId="0" fillId="0" borderId="16" xfId="0" applyBorder="1"/>
    <xf numFmtId="0" fontId="0" fillId="0" borderId="18" xfId="0" applyBorder="1"/>
    <xf numFmtId="0" fontId="0" fillId="0" borderId="11" xfId="0" applyBorder="1"/>
    <xf numFmtId="0" fontId="0" fillId="0" borderId="13" xfId="0" applyBorder="1"/>
    <xf numFmtId="0" fontId="0" fillId="0" borderId="14" xfId="0" applyBorder="1"/>
    <xf numFmtId="0" fontId="0" fillId="0" borderId="17" xfId="0" applyBorder="1"/>
    <xf numFmtId="0" fontId="0" fillId="0" borderId="19" xfId="0" applyBorder="1"/>
    <xf numFmtId="0" fontId="0" fillId="0" borderId="0" xfId="0" applyFill="1" applyBorder="1"/>
    <xf numFmtId="0" fontId="0" fillId="0" borderId="15" xfId="0" applyFill="1" applyBorder="1"/>
    <xf numFmtId="0" fontId="0" fillId="0" borderId="0" xfId="0" applyBorder="1"/>
    <xf numFmtId="0" fontId="0" fillId="0" borderId="0" xfId="0"/>
    <xf numFmtId="0" fontId="0" fillId="0" borderId="16" xfId="0" applyBorder="1"/>
    <xf numFmtId="0" fontId="0" fillId="0" borderId="17" xfId="0" applyBorder="1"/>
    <xf numFmtId="0" fontId="0" fillId="0" borderId="10" xfId="0" applyBorder="1"/>
    <xf numFmtId="0" fontId="0" fillId="0" borderId="25" xfId="0" applyBorder="1"/>
    <xf numFmtId="0" fontId="0" fillId="0" borderId="9" xfId="0" applyBorder="1" applyAlignment="1" applyProtection="1">
      <alignment horizontal="right"/>
      <protection locked="0"/>
    </xf>
    <xf numFmtId="0" fontId="0" fillId="0" borderId="9" xfId="0" applyBorder="1" applyAlignment="1">
      <alignment horizontal="right"/>
    </xf>
    <xf numFmtId="0" fontId="0" fillId="0" borderId="9" xfId="0" applyFill="1" applyBorder="1" applyAlignment="1">
      <alignment horizontal="right"/>
    </xf>
    <xf numFmtId="0" fontId="0" fillId="0" borderId="28" xfId="0" applyFill="1" applyBorder="1" applyAlignment="1">
      <alignment horizontal="right"/>
    </xf>
    <xf numFmtId="0" fontId="0" fillId="0" borderId="10" xfId="0" applyBorder="1" applyAlignment="1">
      <alignment horizontal="center"/>
    </xf>
    <xf numFmtId="0" fontId="0" fillId="0" borderId="10" xfId="0" applyFill="1" applyBorder="1" applyAlignment="1">
      <alignment horizontal="center"/>
    </xf>
    <xf numFmtId="0" fontId="6" fillId="0" borderId="10" xfId="0" applyFont="1" applyFill="1" applyBorder="1" applyAlignment="1">
      <alignment horizontal="center"/>
    </xf>
    <xf numFmtId="0" fontId="0" fillId="0" borderId="30" xfId="0" applyBorder="1" applyAlignment="1">
      <alignment horizontal="center"/>
    </xf>
    <xf numFmtId="0" fontId="0" fillId="0" borderId="0" xfId="0" applyAlignment="1">
      <alignment horizontal="center"/>
    </xf>
    <xf numFmtId="0" fontId="0" fillId="0" borderId="0" xfId="0"/>
    <xf numFmtId="0" fontId="0" fillId="0" borderId="25" xfId="0" applyBorder="1"/>
    <xf numFmtId="0" fontId="0" fillId="0" borderId="25" xfId="0" applyBorder="1" applyAlignment="1"/>
    <xf numFmtId="0" fontId="0" fillId="0" borderId="10" xfId="0" applyBorder="1"/>
    <xf numFmtId="0" fontId="0" fillId="0" borderId="24" xfId="0" applyBorder="1"/>
    <xf numFmtId="0" fontId="0" fillId="0" borderId="0" xfId="0" applyAlignment="1">
      <alignment horizontal="center"/>
    </xf>
    <xf numFmtId="0" fontId="0" fillId="0" borderId="18" xfId="0" applyBorder="1" applyAlignment="1">
      <alignment horizontal="left" vertical="top" wrapText="1"/>
    </xf>
    <xf numFmtId="0" fontId="0" fillId="0" borderId="0" xfId="0"/>
    <xf numFmtId="0" fontId="0" fillId="0" borderId="16" xfId="0" applyBorder="1"/>
    <xf numFmtId="0" fontId="0" fillId="0" borderId="18" xfId="0" applyBorder="1"/>
    <xf numFmtId="0" fontId="0" fillId="0" borderId="11" xfId="0" applyBorder="1"/>
    <xf numFmtId="0" fontId="0" fillId="0" borderId="20" xfId="0" applyBorder="1" applyAlignment="1">
      <alignment horizontal="left" vertical="top" wrapText="1"/>
    </xf>
    <xf numFmtId="0" fontId="0" fillId="0" borderId="13" xfId="0" applyBorder="1"/>
    <xf numFmtId="0" fontId="0" fillId="0" borderId="14" xfId="0" applyBorder="1"/>
    <xf numFmtId="0" fontId="0" fillId="0" borderId="17" xfId="0" applyBorder="1"/>
    <xf numFmtId="0" fontId="0" fillId="0" borderId="19" xfId="0" applyBorder="1"/>
    <xf numFmtId="0" fontId="0" fillId="0" borderId="19" xfId="0" applyBorder="1" applyAlignment="1">
      <alignment horizontal="center"/>
    </xf>
    <xf numFmtId="0" fontId="4" fillId="0" borderId="25" xfId="0" applyFont="1" applyBorder="1"/>
    <xf numFmtId="0" fontId="0" fillId="0" borderId="25" xfId="0" applyBorder="1"/>
    <xf numFmtId="0" fontId="0" fillId="0" borderId="25" xfId="0" applyBorder="1" applyAlignment="1"/>
    <xf numFmtId="0" fontId="0" fillId="0" borderId="7" xfId="0" applyBorder="1" applyAlignment="1">
      <alignment horizontal="center"/>
    </xf>
    <xf numFmtId="0" fontId="0" fillId="0" borderId="5" xfId="0" applyBorder="1"/>
    <xf numFmtId="0" fontId="0" fillId="0" borderId="10" xfId="0" applyBorder="1"/>
    <xf numFmtId="0" fontId="0" fillId="0" borderId="2" xfId="0" applyBorder="1"/>
    <xf numFmtId="0" fontId="0" fillId="0" borderId="6" xfId="0" applyBorder="1" applyAlignment="1">
      <alignment horizontal="center"/>
    </xf>
    <xf numFmtId="0" fontId="0" fillId="0" borderId="12" xfId="0" applyBorder="1"/>
    <xf numFmtId="0" fontId="0" fillId="0" borderId="34" xfId="0" applyBorder="1"/>
    <xf numFmtId="0" fontId="0" fillId="0" borderId="26" xfId="0" applyBorder="1" applyAlignment="1">
      <alignment wrapText="1"/>
    </xf>
    <xf numFmtId="0" fontId="0" fillId="0" borderId="23" xfId="0" applyBorder="1"/>
    <xf numFmtId="0" fontId="0" fillId="0" borderId="24" xfId="0" applyBorder="1"/>
    <xf numFmtId="0" fontId="0" fillId="0" borderId="6" xfId="0" applyBorder="1" applyAlignment="1">
      <alignment wrapText="1"/>
    </xf>
    <xf numFmtId="0" fontId="0" fillId="0" borderId="25" xfId="0" applyBorder="1" applyAlignment="1">
      <alignment wrapText="1"/>
    </xf>
    <xf numFmtId="0" fontId="0" fillId="0" borderId="20" xfId="0" applyBorder="1" applyAlignment="1">
      <alignment wrapText="1"/>
    </xf>
  </cellXfs>
  <cellStyles count="2">
    <cellStyle name="Normal" xfId="0" builtinId="0"/>
    <cellStyle name="Normal 2" xfId="1" xr:uid="{4B7966B9-05E9-4018-8454-D6B8F80F3D5A}"/>
  </cellStyles>
  <dxfs count="2">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323850</xdr:colOff>
          <xdr:row>13</xdr:row>
          <xdr:rowOff>161925</xdr:rowOff>
        </xdr:from>
        <xdr:to>
          <xdr:col>10</xdr:col>
          <xdr:colOff>361950</xdr:colOff>
          <xdr:row>16</xdr:row>
          <xdr:rowOff>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342900</xdr:colOff>
          <xdr:row>11</xdr:row>
          <xdr:rowOff>85725</xdr:rowOff>
        </xdr:from>
        <xdr:to>
          <xdr:col>10</xdr:col>
          <xdr:colOff>381000</xdr:colOff>
          <xdr:row>13</xdr:row>
          <xdr:rowOff>114300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304800</xdr:colOff>
          <xdr:row>20</xdr:row>
          <xdr:rowOff>123825</xdr:rowOff>
        </xdr:from>
        <xdr:to>
          <xdr:col>10</xdr:col>
          <xdr:colOff>342900</xdr:colOff>
          <xdr:row>22</xdr:row>
          <xdr:rowOff>152400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314325</xdr:colOff>
          <xdr:row>23</xdr:row>
          <xdr:rowOff>9525</xdr:rowOff>
        </xdr:from>
        <xdr:to>
          <xdr:col>10</xdr:col>
          <xdr:colOff>352425</xdr:colOff>
          <xdr:row>25</xdr:row>
          <xdr:rowOff>38100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9088" y="313764"/>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100853</xdr:colOff>
      <xdr:row>1</xdr:row>
      <xdr:rowOff>112058</xdr:rowOff>
    </xdr:from>
    <xdr:to>
      <xdr:col>1</xdr:col>
      <xdr:colOff>1739153</xdr:colOff>
      <xdr:row>1</xdr:row>
      <xdr:rowOff>688320</xdr:rowOff>
    </xdr:to>
    <xdr:pic>
      <xdr:nvPicPr>
        <xdr:cNvPr id="2" name="Picture 1" descr="cfr_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48528" y="312083"/>
          <a:ext cx="1638300" cy="5762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M46"/>
  <sheetViews>
    <sheetView zoomScale="85" zoomScaleNormal="85" workbookViewId="0">
      <selection activeCell="C33" sqref="C33"/>
    </sheetView>
  </sheetViews>
  <sheetFormatPr defaultRowHeight="15" x14ac:dyDescent="0.25"/>
  <cols>
    <col min="1" max="1" width="9.140625" style="18" customWidth="1"/>
    <col min="2" max="2" width="21.85546875" style="18" customWidth="1"/>
    <col min="3" max="3" width="68.5703125" style="18" bestFit="1" customWidth="1"/>
    <col min="4" max="11" width="9.140625" style="18" customWidth="1"/>
    <col min="12" max="12" width="6.42578125" style="18" customWidth="1"/>
    <col min="13" max="13" width="41.42578125" style="18" customWidth="1"/>
    <col min="14" max="17" width="9.140625" style="18" customWidth="1"/>
    <col min="18" max="16384" width="9.140625" style="18"/>
  </cols>
  <sheetData>
    <row r="1" spans="1:13" x14ac:dyDescent="0.25">
      <c r="A1" s="85"/>
      <c r="B1" s="85"/>
    </row>
    <row r="2" spans="1:13" ht="15.75" customHeight="1" thickBot="1" x14ac:dyDescent="0.3">
      <c r="B2" t="s">
        <v>0</v>
      </c>
    </row>
    <row r="3" spans="1:13" ht="14.25" customHeight="1" thickBot="1" x14ac:dyDescent="0.3">
      <c r="B3" s="91" t="s">
        <v>1</v>
      </c>
      <c r="C3" s="92"/>
      <c r="D3" s="92"/>
      <c r="E3" s="92"/>
      <c r="F3" s="92"/>
      <c r="G3" s="92"/>
      <c r="H3" s="92"/>
      <c r="I3" s="92"/>
      <c r="J3" s="92"/>
      <c r="K3" s="93"/>
      <c r="L3" t="s">
        <v>2</v>
      </c>
    </row>
    <row r="4" spans="1:13" ht="14.25" customHeight="1" thickBot="1" x14ac:dyDescent="0.3">
      <c r="B4" s="88"/>
      <c r="C4" s="87"/>
      <c r="D4" s="87"/>
      <c r="E4" s="87"/>
      <c r="F4" s="87"/>
      <c r="G4" s="87"/>
      <c r="H4" s="87"/>
      <c r="I4" s="87"/>
      <c r="J4" s="87"/>
      <c r="K4" s="94"/>
      <c r="L4">
        <v>1</v>
      </c>
      <c r="M4" t="s">
        <v>3</v>
      </c>
    </row>
    <row r="5" spans="1:13" ht="14.25" customHeight="1" thickBot="1" x14ac:dyDescent="0.3">
      <c r="B5" s="88"/>
      <c r="C5" s="87"/>
      <c r="D5" s="87"/>
      <c r="E5" s="87"/>
      <c r="F5" s="87"/>
      <c r="G5" s="87"/>
      <c r="H5" s="87"/>
      <c r="I5" s="87"/>
      <c r="J5" s="87"/>
      <c r="K5" s="94"/>
      <c r="L5">
        <v>2</v>
      </c>
      <c r="M5" t="s">
        <v>4</v>
      </c>
    </row>
    <row r="6" spans="1:13" ht="14.25" customHeight="1" thickBot="1" x14ac:dyDescent="0.3">
      <c r="B6" s="89"/>
      <c r="C6" s="90"/>
      <c r="D6" s="90"/>
      <c r="E6" s="90"/>
      <c r="F6" s="90"/>
      <c r="G6" s="90"/>
      <c r="H6" s="90"/>
      <c r="I6" s="90"/>
      <c r="J6" s="90"/>
      <c r="K6" s="95"/>
      <c r="L6">
        <v>3</v>
      </c>
      <c r="M6" t="s">
        <v>5</v>
      </c>
    </row>
    <row r="7" spans="1:13" ht="15.75" customHeight="1" x14ac:dyDescent="0.25">
      <c r="B7" s="8"/>
      <c r="C7" s="8"/>
      <c r="D7" s="8"/>
      <c r="E7" s="8"/>
      <c r="F7" s="8"/>
      <c r="G7" s="8"/>
      <c r="H7" s="8"/>
      <c r="I7" s="8"/>
      <c r="J7" s="8"/>
      <c r="K7" s="8"/>
    </row>
    <row r="8" spans="1:13" ht="15.75" customHeight="1" thickBot="1" x14ac:dyDescent="0.3">
      <c r="B8" t="s">
        <v>6</v>
      </c>
    </row>
    <row r="9" spans="1:13" x14ac:dyDescent="0.25">
      <c r="B9" s="6" t="s">
        <v>7</v>
      </c>
      <c r="C9" s="7" t="s">
        <v>62</v>
      </c>
      <c r="D9" s="22" t="s">
        <v>8</v>
      </c>
      <c r="E9" s="22"/>
      <c r="F9" s="22"/>
      <c r="G9" s="22"/>
      <c r="H9" s="22"/>
      <c r="I9" s="22"/>
      <c r="J9" s="22"/>
      <c r="K9" s="23"/>
    </row>
    <row r="10" spans="1:13" x14ac:dyDescent="0.25">
      <c r="B10" s="19" t="s">
        <v>9</v>
      </c>
      <c r="C10" t="s">
        <v>10</v>
      </c>
      <c r="D10" t="s">
        <v>8</v>
      </c>
      <c r="K10" s="24"/>
    </row>
    <row r="11" spans="1:13" x14ac:dyDescent="0.25">
      <c r="B11" s="19" t="s">
        <v>11</v>
      </c>
      <c r="C11" t="s">
        <v>12</v>
      </c>
      <c r="D11" t="s">
        <v>8</v>
      </c>
      <c r="K11" s="24"/>
    </row>
    <row r="12" spans="1:13" ht="15.75" customHeight="1" thickBot="1" x14ac:dyDescent="0.3">
      <c r="B12" s="86" t="s">
        <v>13</v>
      </c>
      <c r="C12" s="87"/>
      <c r="D12" s="87"/>
      <c r="E12" s="87"/>
      <c r="F12" s="87"/>
      <c r="G12" s="87"/>
      <c r="H12" s="87"/>
      <c r="I12" s="96"/>
      <c r="J12" s="87"/>
      <c r="K12" s="94"/>
    </row>
    <row r="13" spans="1:13" x14ac:dyDescent="0.25">
      <c r="B13" s="88"/>
      <c r="C13" s="87"/>
      <c r="D13" s="87"/>
      <c r="E13" s="87"/>
      <c r="F13" s="87"/>
      <c r="G13" s="87"/>
      <c r="H13" s="87"/>
      <c r="I13" s="87"/>
      <c r="J13" s="87"/>
      <c r="K13" s="94"/>
    </row>
    <row r="14" spans="1:13" x14ac:dyDescent="0.25">
      <c r="B14" s="88"/>
      <c r="C14" s="87"/>
      <c r="D14" s="87"/>
      <c r="E14" s="87"/>
      <c r="F14" s="87"/>
      <c r="G14" s="87"/>
      <c r="H14" s="87"/>
      <c r="I14" s="87"/>
      <c r="J14" s="87"/>
      <c r="K14" s="94"/>
    </row>
    <row r="15" spans="1:13" x14ac:dyDescent="0.25">
      <c r="B15" s="88"/>
      <c r="C15" s="87"/>
      <c r="D15" s="87"/>
      <c r="E15" s="87"/>
      <c r="F15" s="87"/>
      <c r="G15" s="87"/>
      <c r="H15" s="87"/>
      <c r="I15" s="87"/>
      <c r="J15" s="87"/>
      <c r="K15" s="94"/>
    </row>
    <row r="16" spans="1:13" x14ac:dyDescent="0.25">
      <c r="B16" s="88"/>
      <c r="C16" s="87"/>
      <c r="D16" s="87"/>
      <c r="E16" s="87"/>
      <c r="F16" s="87"/>
      <c r="G16" s="87"/>
      <c r="H16" s="87"/>
      <c r="I16" s="87"/>
      <c r="J16" s="87"/>
      <c r="K16" s="94"/>
    </row>
    <row r="17" spans="2:11" ht="15.75" customHeight="1" thickBot="1" x14ac:dyDescent="0.3">
      <c r="B17" s="89"/>
      <c r="C17" s="90"/>
      <c r="D17" s="90"/>
      <c r="E17" s="90"/>
      <c r="F17" s="90"/>
      <c r="G17" s="90"/>
      <c r="H17" s="90"/>
      <c r="I17" s="90"/>
      <c r="J17" s="90"/>
      <c r="K17" s="95"/>
    </row>
    <row r="19" spans="2:11" ht="15.75" customHeight="1" thickBot="1" x14ac:dyDescent="0.3">
      <c r="B19" t="s">
        <v>14</v>
      </c>
    </row>
    <row r="20" spans="2:11" x14ac:dyDescent="0.25">
      <c r="B20" s="6" t="s">
        <v>15</v>
      </c>
      <c r="C20" s="22" t="s">
        <v>16</v>
      </c>
      <c r="D20" s="22" t="s">
        <v>8</v>
      </c>
      <c r="E20" s="22"/>
      <c r="F20" s="22"/>
      <c r="G20" s="22"/>
      <c r="H20" s="22"/>
      <c r="I20" s="22"/>
      <c r="J20" s="22"/>
      <c r="K20" s="23"/>
    </row>
    <row r="21" spans="2:11" ht="15" customHeight="1" thickBot="1" x14ac:dyDescent="0.3">
      <c r="B21" s="86" t="s">
        <v>26</v>
      </c>
      <c r="C21" s="87"/>
      <c r="D21" s="87"/>
      <c r="E21" s="87"/>
      <c r="F21" s="87"/>
      <c r="G21" s="87"/>
      <c r="H21" s="87"/>
      <c r="I21" s="96"/>
      <c r="J21" s="87"/>
      <c r="K21" s="94"/>
    </row>
    <row r="22" spans="2:11" x14ac:dyDescent="0.25">
      <c r="B22" s="88"/>
      <c r="C22" s="87"/>
      <c r="D22" s="87"/>
      <c r="E22" s="87"/>
      <c r="F22" s="87"/>
      <c r="G22" s="87"/>
      <c r="H22" s="87"/>
      <c r="I22" s="87"/>
      <c r="J22" s="87"/>
      <c r="K22" s="94"/>
    </row>
    <row r="23" spans="2:11" x14ac:dyDescent="0.25">
      <c r="B23" s="88"/>
      <c r="C23" s="87"/>
      <c r="D23" s="87"/>
      <c r="E23" s="87"/>
      <c r="F23" s="87"/>
      <c r="G23" s="87"/>
      <c r="H23" s="87"/>
      <c r="I23" s="87"/>
      <c r="J23" s="87"/>
      <c r="K23" s="94"/>
    </row>
    <row r="24" spans="2:11" x14ac:dyDescent="0.25">
      <c r="B24" s="88"/>
      <c r="C24" s="87"/>
      <c r="D24" s="87"/>
      <c r="E24" s="87"/>
      <c r="F24" s="87"/>
      <c r="G24" s="87"/>
      <c r="H24" s="87"/>
      <c r="I24" s="87"/>
      <c r="J24" s="87"/>
      <c r="K24" s="94"/>
    </row>
    <row r="25" spans="2:11" x14ac:dyDescent="0.25">
      <c r="B25" s="88"/>
      <c r="C25" s="87"/>
      <c r="D25" s="87"/>
      <c r="E25" s="87"/>
      <c r="F25" s="87"/>
      <c r="G25" s="87"/>
      <c r="H25" s="87"/>
      <c r="I25" s="87"/>
      <c r="J25" s="87"/>
      <c r="K25" s="94"/>
    </row>
    <row r="26" spans="2:11" ht="15.75" customHeight="1" thickBot="1" x14ac:dyDescent="0.3">
      <c r="B26" s="89"/>
      <c r="C26" s="90"/>
      <c r="D26" s="90"/>
      <c r="E26" s="90"/>
      <c r="F26" s="90"/>
      <c r="G26" s="90"/>
      <c r="H26" s="90"/>
      <c r="I26" s="90"/>
      <c r="J26" s="90"/>
      <c r="K26" s="95"/>
    </row>
    <row r="28" spans="2:11" ht="15.75" customHeight="1" thickBot="1" x14ac:dyDescent="0.3"/>
    <row r="29" spans="2:11" x14ac:dyDescent="0.25">
      <c r="B29" s="6" t="s">
        <v>17</v>
      </c>
      <c r="C29" s="22"/>
      <c r="D29" s="22" t="s">
        <v>18</v>
      </c>
      <c r="E29" s="22"/>
      <c r="F29" s="22"/>
      <c r="G29" s="22"/>
      <c r="H29" s="22"/>
      <c r="I29" s="22"/>
      <c r="J29" s="22"/>
      <c r="K29" s="23"/>
    </row>
    <row r="30" spans="2:11" x14ac:dyDescent="0.25">
      <c r="B30" s="19" t="s">
        <v>70</v>
      </c>
      <c r="D30" s="18" t="s">
        <v>72</v>
      </c>
      <c r="K30" s="24"/>
    </row>
    <row r="31" spans="2:11" x14ac:dyDescent="0.25">
      <c r="B31" s="19" t="s">
        <v>19</v>
      </c>
      <c r="K31" s="24"/>
    </row>
    <row r="32" spans="2:11" s="66" customFormat="1" x14ac:dyDescent="0.25">
      <c r="B32" s="67" t="s">
        <v>71</v>
      </c>
      <c r="D32" s="66" t="s">
        <v>72</v>
      </c>
      <c r="K32" s="68"/>
    </row>
    <row r="33" spans="2:11" s="66" customFormat="1" x14ac:dyDescent="0.25">
      <c r="B33" s="67" t="s">
        <v>20</v>
      </c>
      <c r="K33" s="68"/>
    </row>
    <row r="34" spans="2:11" ht="15.75" customHeight="1" thickBot="1" x14ac:dyDescent="0.3">
      <c r="B34" s="20" t="s">
        <v>21</v>
      </c>
      <c r="C34" s="21"/>
      <c r="D34" s="21"/>
      <c r="E34" s="21"/>
      <c r="F34" s="21"/>
      <c r="G34" s="21"/>
      <c r="H34" s="21"/>
      <c r="I34" s="21"/>
      <c r="J34" s="21"/>
      <c r="K34" s="25"/>
    </row>
    <row r="35" spans="2:11" ht="15.75" thickBot="1" x14ac:dyDescent="0.3"/>
    <row r="36" spans="2:11" x14ac:dyDescent="0.25">
      <c r="B36" s="64" t="s">
        <v>63</v>
      </c>
      <c r="C36" s="59" t="s">
        <v>64</v>
      </c>
      <c r="D36" s="59" t="s">
        <v>65</v>
      </c>
      <c r="E36" s="59" t="s">
        <v>74</v>
      </c>
      <c r="F36" s="59"/>
      <c r="G36" s="59"/>
      <c r="H36" s="59"/>
      <c r="I36" s="59"/>
      <c r="J36" s="59"/>
      <c r="K36" s="60"/>
    </row>
    <row r="37" spans="2:11" x14ac:dyDescent="0.25">
      <c r="B37" s="56"/>
      <c r="C37" s="65" t="s">
        <v>66</v>
      </c>
      <c r="D37" s="65">
        <v>1</v>
      </c>
      <c r="E37" s="65" t="s">
        <v>75</v>
      </c>
      <c r="F37" s="65"/>
      <c r="G37" s="65"/>
      <c r="H37" s="65"/>
      <c r="I37" s="65"/>
      <c r="J37" s="65"/>
      <c r="K37" s="61"/>
    </row>
    <row r="38" spans="2:11" x14ac:dyDescent="0.25">
      <c r="B38" s="56"/>
      <c r="C38" s="65" t="s">
        <v>67</v>
      </c>
      <c r="D38" s="65">
        <v>2</v>
      </c>
      <c r="E38" s="65" t="s">
        <v>76</v>
      </c>
      <c r="F38" s="65"/>
      <c r="G38" s="65"/>
      <c r="H38" s="65"/>
      <c r="I38" s="65"/>
      <c r="J38" s="65"/>
      <c r="K38" s="61"/>
    </row>
    <row r="39" spans="2:11" x14ac:dyDescent="0.25">
      <c r="B39" s="56"/>
      <c r="C39" s="63" t="s">
        <v>68</v>
      </c>
      <c r="D39" s="65">
        <v>-32</v>
      </c>
      <c r="E39" s="63" t="s">
        <v>77</v>
      </c>
      <c r="F39" s="65"/>
      <c r="G39" s="65"/>
      <c r="H39" s="65"/>
      <c r="I39" s="65"/>
      <c r="J39" s="65"/>
      <c r="K39" s="61"/>
    </row>
    <row r="40" spans="2:11" x14ac:dyDescent="0.25">
      <c r="B40" s="56"/>
      <c r="C40" s="63" t="s">
        <v>69</v>
      </c>
      <c r="D40" s="63">
        <v>-16</v>
      </c>
      <c r="E40" s="63" t="s">
        <v>77</v>
      </c>
      <c r="F40" s="65"/>
      <c r="G40" s="65"/>
      <c r="H40" s="65"/>
      <c r="I40" s="65"/>
      <c r="J40" s="65"/>
      <c r="K40" s="61"/>
    </row>
    <row r="41" spans="2:11" x14ac:dyDescent="0.25">
      <c r="B41" s="56"/>
      <c r="C41" s="63" t="s">
        <v>73</v>
      </c>
      <c r="D41" s="63">
        <v>-1</v>
      </c>
      <c r="E41" s="63" t="s">
        <v>78</v>
      </c>
      <c r="F41" s="65"/>
      <c r="G41" s="65"/>
      <c r="H41" s="65"/>
      <c r="I41" s="65"/>
      <c r="J41" s="65"/>
      <c r="K41" s="61"/>
    </row>
    <row r="42" spans="2:11" x14ac:dyDescent="0.25">
      <c r="B42" s="56"/>
      <c r="C42" s="65"/>
      <c r="D42" s="65"/>
      <c r="E42" s="65"/>
      <c r="F42" s="65"/>
      <c r="G42" s="65"/>
      <c r="H42" s="65"/>
      <c r="I42" s="65"/>
      <c r="J42" s="65"/>
      <c r="K42" s="61"/>
    </row>
    <row r="43" spans="2:11" x14ac:dyDescent="0.25">
      <c r="B43" s="56"/>
      <c r="C43" s="65"/>
      <c r="D43" s="65"/>
      <c r="E43" s="65"/>
      <c r="F43" s="65"/>
      <c r="G43" s="65"/>
      <c r="H43" s="65"/>
      <c r="I43" s="65"/>
      <c r="J43" s="65"/>
      <c r="K43" s="61"/>
    </row>
    <row r="44" spans="2:11" x14ac:dyDescent="0.25">
      <c r="B44" s="56"/>
      <c r="C44" s="65"/>
      <c r="D44" s="65"/>
      <c r="E44" s="65"/>
      <c r="F44" s="65"/>
      <c r="G44" s="65"/>
      <c r="H44" s="65"/>
      <c r="I44" s="65"/>
      <c r="J44" s="65"/>
      <c r="K44" s="61"/>
    </row>
    <row r="45" spans="2:11" x14ac:dyDescent="0.25">
      <c r="B45" s="56"/>
      <c r="C45" s="65"/>
      <c r="D45" s="65"/>
      <c r="E45" s="65"/>
      <c r="F45" s="65"/>
      <c r="G45" s="65"/>
      <c r="H45" s="65"/>
      <c r="I45" s="65"/>
      <c r="J45" s="65"/>
      <c r="K45" s="61"/>
    </row>
    <row r="46" spans="2:11" ht="15.75" thickBot="1" x14ac:dyDescent="0.3">
      <c r="B46" s="57"/>
      <c r="C46" s="58"/>
      <c r="D46" s="58"/>
      <c r="E46" s="58"/>
      <c r="F46" s="58"/>
      <c r="G46" s="58"/>
      <c r="H46" s="58"/>
      <c r="I46" s="58"/>
      <c r="J46" s="58"/>
      <c r="K46" s="62"/>
    </row>
  </sheetData>
  <mergeCells count="6">
    <mergeCell ref="A1:B1"/>
    <mergeCell ref="B12:H17"/>
    <mergeCell ref="B21:H26"/>
    <mergeCell ref="B3:K6"/>
    <mergeCell ref="I21:K26"/>
    <mergeCell ref="I12:K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wnloadButton_Click">
                <anchor moveWithCells="1" sizeWithCells="1">
                  <from>
                    <xdr:col>8</xdr:col>
                    <xdr:colOff>323850</xdr:colOff>
                    <xdr:row>13</xdr:row>
                    <xdr:rowOff>161925</xdr:rowOff>
                  </from>
                  <to>
                    <xdr:col>10</xdr:col>
                    <xdr:colOff>361950</xdr:colOff>
                    <xdr:row>16</xdr:row>
                    <xdr:rowOff>0</xdr:rowOff>
                  </to>
                </anchor>
              </controlPr>
            </control>
          </mc:Choice>
        </mc:AlternateContent>
        <mc:AlternateContent xmlns:mc="http://schemas.openxmlformats.org/markup-compatibility/2006">
          <mc:Choice Requires="x14">
            <control shapeId="3074" r:id="rId5" name="Button 2">
              <controlPr defaultSize="0" print="0" autoFill="0" autoPict="0" macro="[0]!UploadButton_Click">
                <anchor moveWithCells="1" sizeWithCells="1">
                  <from>
                    <xdr:col>8</xdr:col>
                    <xdr:colOff>342900</xdr:colOff>
                    <xdr:row>11</xdr:row>
                    <xdr:rowOff>85725</xdr:rowOff>
                  </from>
                  <to>
                    <xdr:col>10</xdr:col>
                    <xdr:colOff>381000</xdr:colOff>
                    <xdr:row>13</xdr:row>
                    <xdr:rowOff>114300</xdr:rowOff>
                  </to>
                </anchor>
              </controlPr>
            </control>
          </mc:Choice>
        </mc:AlternateContent>
        <mc:AlternateContent xmlns:mc="http://schemas.openxmlformats.org/markup-compatibility/2006">
          <mc:Choice Requires="x14">
            <control shapeId="3075" r:id="rId6" name="Button 3">
              <controlPr defaultSize="0" print="0" autoFill="0" autoPict="0" macro="[0]!ImportButton_Click">
                <anchor moveWithCells="1" sizeWithCells="1">
                  <from>
                    <xdr:col>8</xdr:col>
                    <xdr:colOff>304800</xdr:colOff>
                    <xdr:row>20</xdr:row>
                    <xdr:rowOff>123825</xdr:rowOff>
                  </from>
                  <to>
                    <xdr:col>10</xdr:col>
                    <xdr:colOff>342900</xdr:colOff>
                    <xdr:row>22</xdr:row>
                    <xdr:rowOff>152400</xdr:rowOff>
                  </to>
                </anchor>
              </controlPr>
            </control>
          </mc:Choice>
        </mc:AlternateContent>
        <mc:AlternateContent xmlns:mc="http://schemas.openxmlformats.org/markup-compatibility/2006">
          <mc:Choice Requires="x14">
            <control shapeId="3076" r:id="rId7" name="Button 4">
              <controlPr defaultSize="0" print="0" autoFill="0" autoPict="0" macro="[0]!ExportButton_Click">
                <anchor moveWithCells="1" sizeWithCells="1">
                  <from>
                    <xdr:col>8</xdr:col>
                    <xdr:colOff>314325</xdr:colOff>
                    <xdr:row>23</xdr:row>
                    <xdr:rowOff>9525</xdr:rowOff>
                  </from>
                  <to>
                    <xdr:col>10</xdr:col>
                    <xdr:colOff>352425</xdr:colOff>
                    <xdr:row>25</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U29"/>
  <sheetViews>
    <sheetView zoomScale="80" zoomScaleNormal="80" workbookViewId="0">
      <pane xSplit="2" ySplit="3" topLeftCell="C4" activePane="bottomRight" state="frozen"/>
      <selection pane="topRight" activeCell="C1" sqref="C1"/>
      <selection pane="bottomLeft" activeCell="A4" sqref="A4"/>
      <selection pane="bottomRight" activeCell="AR5" sqref="AR5:AR29"/>
    </sheetView>
  </sheetViews>
  <sheetFormatPr defaultRowHeight="15" x14ac:dyDescent="0.25"/>
  <cols>
    <col min="1" max="1" width="6.7109375" style="18" bestFit="1" customWidth="1"/>
    <col min="2" max="2" width="45" style="18" bestFit="1" customWidth="1"/>
    <col min="3" max="3" width="3.5703125" style="18" customWidth="1"/>
    <col min="4" max="19" width="3" style="17" customWidth="1"/>
    <col min="20" max="20" width="13.5703125" style="18" customWidth="1"/>
    <col min="21" max="21" width="11.42578125" style="18" customWidth="1"/>
    <col min="22" max="22" width="3.140625" style="17" customWidth="1"/>
    <col min="23" max="23" width="3.42578125" style="18" customWidth="1"/>
    <col min="24" max="39" width="3" style="17" customWidth="1"/>
    <col min="40" max="40" width="13.85546875" style="27" customWidth="1"/>
    <col min="41" max="41" width="14" style="27" customWidth="1"/>
    <col min="42" max="42" width="3.140625" style="17" bestFit="1" customWidth="1"/>
    <col min="43" max="43" width="4" style="27" customWidth="1"/>
    <col min="44" max="44" width="10.7109375" style="27" bestFit="1" customWidth="1"/>
    <col min="45" max="45" width="12.140625" style="27" customWidth="1"/>
    <col min="46" max="46" width="3.140625" style="17" bestFit="1" customWidth="1"/>
    <col min="47" max="47" width="5.42578125" style="27" customWidth="1"/>
  </cols>
  <sheetData>
    <row r="1" spans="1:47" ht="15.75" customHeight="1" thickBot="1" x14ac:dyDescent="0.3">
      <c r="A1" s="97" t="s">
        <v>60</v>
      </c>
      <c r="B1" s="98"/>
      <c r="C1" s="30"/>
      <c r="D1" s="99"/>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99"/>
      <c r="AQ1" s="99"/>
      <c r="AR1" s="98"/>
      <c r="AS1" s="98"/>
      <c r="AT1" s="98"/>
      <c r="AU1" s="98"/>
    </row>
    <row r="2" spans="1:47" ht="226.5" thickBot="1" x14ac:dyDescent="0.3">
      <c r="A2" s="1"/>
      <c r="B2" s="2" t="s">
        <v>43</v>
      </c>
      <c r="C2" s="47" t="s">
        <v>61</v>
      </c>
      <c r="D2" s="42" t="s">
        <v>27</v>
      </c>
      <c r="E2" s="42" t="s">
        <v>28</v>
      </c>
      <c r="F2" s="42" t="s">
        <v>29</v>
      </c>
      <c r="G2" s="42" t="s">
        <v>30</v>
      </c>
      <c r="H2" s="42" t="s">
        <v>31</v>
      </c>
      <c r="I2" s="42" t="s">
        <v>32</v>
      </c>
      <c r="J2" s="42" t="s">
        <v>33</v>
      </c>
      <c r="K2" s="42" t="s">
        <v>34</v>
      </c>
      <c r="L2" s="42" t="s">
        <v>35</v>
      </c>
      <c r="M2" s="42" t="s">
        <v>36</v>
      </c>
      <c r="N2" s="42" t="s">
        <v>37</v>
      </c>
      <c r="O2" s="42" t="s">
        <v>38</v>
      </c>
      <c r="P2" s="42" t="s">
        <v>39</v>
      </c>
      <c r="Q2" s="9" t="s">
        <v>40</v>
      </c>
      <c r="R2" s="9" t="s">
        <v>41</v>
      </c>
      <c r="S2" s="10" t="s">
        <v>42</v>
      </c>
      <c r="T2" s="2"/>
      <c r="U2" s="107"/>
      <c r="V2" s="108"/>
      <c r="W2" s="109"/>
      <c r="X2" s="9" t="s">
        <v>44</v>
      </c>
      <c r="Y2" s="9" t="s">
        <v>45</v>
      </c>
      <c r="Z2" s="9" t="s">
        <v>46</v>
      </c>
      <c r="AA2" s="9" t="s">
        <v>47</v>
      </c>
      <c r="AB2" s="9" t="s">
        <v>48</v>
      </c>
      <c r="AC2" s="9" t="s">
        <v>49</v>
      </c>
      <c r="AD2" s="9" t="s">
        <v>50</v>
      </c>
      <c r="AE2" s="9" t="s">
        <v>51</v>
      </c>
      <c r="AF2" s="9" t="s">
        <v>52</v>
      </c>
      <c r="AG2" s="9" t="s">
        <v>53</v>
      </c>
      <c r="AH2" s="9" t="s">
        <v>54</v>
      </c>
      <c r="AI2" s="9" t="s">
        <v>55</v>
      </c>
      <c r="AJ2" s="9" t="s">
        <v>56</v>
      </c>
      <c r="AK2" s="9" t="s">
        <v>57</v>
      </c>
      <c r="AL2" s="9" t="s">
        <v>58</v>
      </c>
      <c r="AM2" s="10" t="s">
        <v>59</v>
      </c>
      <c r="AN2" s="2"/>
      <c r="AO2" s="107"/>
      <c r="AP2" s="108"/>
      <c r="AQ2" s="109"/>
      <c r="AR2" s="2"/>
      <c r="AS2" s="110"/>
      <c r="AT2" s="105"/>
      <c r="AU2" s="106"/>
    </row>
    <row r="3" spans="1:47" ht="15.75" customHeight="1" thickBot="1" x14ac:dyDescent="0.3">
      <c r="A3" s="26" t="s">
        <v>23</v>
      </c>
      <c r="B3" s="70"/>
      <c r="C3" s="47"/>
      <c r="D3" s="108"/>
      <c r="E3" s="108"/>
      <c r="F3" s="108"/>
      <c r="G3" s="108"/>
      <c r="H3" s="108"/>
      <c r="I3" s="108"/>
      <c r="J3" s="108"/>
      <c r="K3" s="108"/>
      <c r="L3" s="108"/>
      <c r="M3" s="108"/>
      <c r="N3" s="108"/>
      <c r="O3" s="108"/>
      <c r="P3" s="108"/>
      <c r="Q3" s="108"/>
      <c r="R3" s="108"/>
      <c r="S3" s="109"/>
      <c r="T3" s="26" t="s">
        <v>70</v>
      </c>
      <c r="U3" s="111" t="s">
        <v>24</v>
      </c>
      <c r="V3" s="108"/>
      <c r="W3" s="109"/>
      <c r="X3" s="108"/>
      <c r="Y3" s="108"/>
      <c r="Z3" s="108"/>
      <c r="AA3" s="108"/>
      <c r="AB3" s="108"/>
      <c r="AC3" s="108"/>
      <c r="AD3" s="108"/>
      <c r="AE3" s="108"/>
      <c r="AF3" s="108"/>
      <c r="AG3" s="108"/>
      <c r="AH3" s="108"/>
      <c r="AI3" s="108"/>
      <c r="AJ3" s="108"/>
      <c r="AK3" s="108"/>
      <c r="AL3" s="108"/>
      <c r="AM3" s="109"/>
      <c r="AN3" s="28" t="s">
        <v>70</v>
      </c>
      <c r="AO3" s="112" t="s">
        <v>24</v>
      </c>
      <c r="AP3" s="108"/>
      <c r="AQ3" s="109"/>
      <c r="AR3" s="29" t="s">
        <v>17</v>
      </c>
      <c r="AS3" s="111" t="s">
        <v>24</v>
      </c>
      <c r="AT3" s="108"/>
      <c r="AU3" s="109"/>
    </row>
    <row r="4" spans="1:47" x14ac:dyDescent="0.25">
      <c r="A4" s="4" t="s">
        <v>25</v>
      </c>
      <c r="B4" s="4" t="s">
        <v>22</v>
      </c>
      <c r="C4" s="3"/>
      <c r="D4" s="11">
        <v>15</v>
      </c>
      <c r="E4" s="11">
        <v>14</v>
      </c>
      <c r="F4" s="11">
        <v>13</v>
      </c>
      <c r="G4" s="11">
        <v>12</v>
      </c>
      <c r="H4" s="11">
        <v>11</v>
      </c>
      <c r="I4" s="11">
        <v>10</v>
      </c>
      <c r="J4" s="11">
        <v>9</v>
      </c>
      <c r="K4" s="11">
        <v>8</v>
      </c>
      <c r="L4" s="11">
        <v>7</v>
      </c>
      <c r="M4" s="11">
        <v>6</v>
      </c>
      <c r="N4" s="11">
        <v>5</v>
      </c>
      <c r="O4" s="11">
        <v>4</v>
      </c>
      <c r="P4" s="11">
        <v>3</v>
      </c>
      <c r="Q4" s="11">
        <v>2</v>
      </c>
      <c r="R4" s="11">
        <v>1</v>
      </c>
      <c r="S4" s="12">
        <v>0</v>
      </c>
      <c r="T4" s="4"/>
      <c r="U4" s="100"/>
      <c r="V4" s="101"/>
      <c r="W4" s="102"/>
      <c r="X4" s="55">
        <v>15</v>
      </c>
      <c r="Y4" s="11">
        <v>14</v>
      </c>
      <c r="Z4" s="11">
        <v>13</v>
      </c>
      <c r="AA4" s="11">
        <v>12</v>
      </c>
      <c r="AB4" s="11">
        <v>11</v>
      </c>
      <c r="AC4" s="11">
        <v>10</v>
      </c>
      <c r="AD4" s="11">
        <v>9</v>
      </c>
      <c r="AE4" s="11">
        <v>8</v>
      </c>
      <c r="AF4" s="11">
        <v>7</v>
      </c>
      <c r="AG4" s="11">
        <v>6</v>
      </c>
      <c r="AH4" s="11">
        <v>5</v>
      </c>
      <c r="AI4" s="11">
        <v>4</v>
      </c>
      <c r="AJ4" s="11">
        <v>3</v>
      </c>
      <c r="AK4" s="11">
        <v>2</v>
      </c>
      <c r="AL4" s="11">
        <v>1</v>
      </c>
      <c r="AM4" s="12">
        <v>0</v>
      </c>
      <c r="AN4" s="4"/>
      <c r="AO4" s="100"/>
      <c r="AP4" s="101"/>
      <c r="AQ4" s="103"/>
      <c r="AR4" s="4"/>
      <c r="AS4" s="104"/>
      <c r="AT4" s="105"/>
      <c r="AU4" s="106"/>
    </row>
    <row r="5" spans="1:47" x14ac:dyDescent="0.25">
      <c r="A5" s="4">
        <v>0</v>
      </c>
      <c r="B5" s="4" t="s">
        <v>79</v>
      </c>
      <c r="C5" s="5" t="str">
        <f>IF(J5=1, "P", "")</f>
        <v/>
      </c>
      <c r="D5" s="13"/>
      <c r="E5" s="13"/>
      <c r="F5" s="13"/>
      <c r="G5" s="13"/>
      <c r="H5" s="13"/>
      <c r="I5" s="13"/>
      <c r="J5" s="13"/>
      <c r="K5" s="13"/>
      <c r="L5" s="13"/>
      <c r="M5" s="13"/>
      <c r="N5" s="13"/>
      <c r="O5" s="13"/>
      <c r="P5" s="13"/>
      <c r="Q5" s="13"/>
      <c r="R5" s="13"/>
      <c r="S5" s="14"/>
      <c r="T5" s="4">
        <f t="array" ref="T5">Bin2DecRange($D5:$S5)</f>
        <v>0</v>
      </c>
      <c r="U5" s="71" t="s">
        <v>104</v>
      </c>
      <c r="V5" s="16" t="s">
        <v>105</v>
      </c>
      <c r="W5" s="69">
        <v>0</v>
      </c>
      <c r="X5" s="15"/>
      <c r="Y5" s="13"/>
      <c r="Z5" s="13"/>
      <c r="AA5" s="13"/>
      <c r="AB5" s="13"/>
      <c r="AC5" s="13"/>
      <c r="AD5" s="13"/>
      <c r="AE5" s="13"/>
      <c r="AF5" s="13"/>
      <c r="AG5" s="13"/>
      <c r="AH5" s="13"/>
      <c r="AI5" s="13"/>
      <c r="AJ5" s="13"/>
      <c r="AK5" s="13"/>
      <c r="AL5" s="13"/>
      <c r="AM5" s="14"/>
      <c r="AN5" s="4" cm="1">
        <f t="array" ref="AN5">Bin2DecRange($X5:$AM5)</f>
        <v>0</v>
      </c>
      <c r="AO5" s="71" t="s">
        <v>106</v>
      </c>
      <c r="AP5" s="16" t="s">
        <v>105</v>
      </c>
      <c r="AQ5" s="16">
        <v>0</v>
      </c>
      <c r="AR5" s="4">
        <v>9160</v>
      </c>
      <c r="AS5" s="71" t="s">
        <v>107</v>
      </c>
      <c r="AT5" s="16" t="s">
        <v>105</v>
      </c>
      <c r="AU5" s="75">
        <v>0</v>
      </c>
    </row>
    <row r="6" spans="1:47" x14ac:dyDescent="0.25">
      <c r="A6" s="4">
        <v>1</v>
      </c>
      <c r="B6" s="4" t="s">
        <v>80</v>
      </c>
      <c r="C6" s="5" t="str">
        <f t="shared" ref="C6:C29" si="0">IF(J6=1, "P", "")</f>
        <v/>
      </c>
      <c r="D6" s="13"/>
      <c r="E6" s="13"/>
      <c r="F6" s="13"/>
      <c r="G6" s="13"/>
      <c r="H6" s="13"/>
      <c r="I6" s="13"/>
      <c r="J6" s="13"/>
      <c r="K6" s="13"/>
      <c r="L6" s="13"/>
      <c r="M6" s="13"/>
      <c r="N6" s="13"/>
      <c r="O6" s="13"/>
      <c r="P6" s="13"/>
      <c r="Q6" s="13"/>
      <c r="R6" s="13"/>
      <c r="S6" s="14"/>
      <c r="T6" s="4">
        <f t="array" ref="T6">Bin2DecRange($D6:$S6)</f>
        <v>0</v>
      </c>
      <c r="U6" s="71" t="s">
        <v>104</v>
      </c>
      <c r="V6" s="16" t="s">
        <v>105</v>
      </c>
      <c r="W6" s="69">
        <v>1</v>
      </c>
      <c r="X6" s="15"/>
      <c r="Y6" s="13"/>
      <c r="Z6" s="13"/>
      <c r="AA6" s="13"/>
      <c r="AB6" s="13"/>
      <c r="AC6" s="13"/>
      <c r="AD6" s="13"/>
      <c r="AE6" s="13"/>
      <c r="AF6" s="13"/>
      <c r="AG6" s="13"/>
      <c r="AH6" s="13"/>
      <c r="AI6" s="13"/>
      <c r="AJ6" s="13"/>
      <c r="AK6" s="13"/>
      <c r="AL6" s="13"/>
      <c r="AM6" s="14"/>
      <c r="AN6" s="4" cm="1">
        <f t="array" ref="AN6">Bin2DecRange($X6:$AM6)</f>
        <v>0</v>
      </c>
      <c r="AO6" s="72" t="str">
        <f t="shared" ref="AO6:AO29" si="1">AO$5</f>
        <v>N21</v>
      </c>
      <c r="AP6" s="16" t="s">
        <v>105</v>
      </c>
      <c r="AQ6" s="16">
        <f>AQ5+1</f>
        <v>1</v>
      </c>
      <c r="AR6" s="4">
        <v>8</v>
      </c>
      <c r="AS6" s="72" t="str">
        <f t="shared" ref="AS6:AS29" si="2">AS$5</f>
        <v>N27</v>
      </c>
      <c r="AT6" s="16" t="s">
        <v>105</v>
      </c>
      <c r="AU6" s="75">
        <f>AU5+1</f>
        <v>1</v>
      </c>
    </row>
    <row r="7" spans="1:47" s="41" customFormat="1" x14ac:dyDescent="0.25">
      <c r="A7" s="35">
        <v>2</v>
      </c>
      <c r="B7" s="4" t="s">
        <v>81</v>
      </c>
      <c r="C7" s="38" t="str">
        <f t="shared" si="0"/>
        <v/>
      </c>
      <c r="D7" s="34"/>
      <c r="E7" s="34"/>
      <c r="F7" s="34">
        <v>1</v>
      </c>
      <c r="G7" s="34"/>
      <c r="H7" s="34"/>
      <c r="I7" s="34"/>
      <c r="J7" s="34"/>
      <c r="K7" s="34"/>
      <c r="L7" s="34"/>
      <c r="M7" s="34"/>
      <c r="N7" s="34"/>
      <c r="O7" s="34"/>
      <c r="P7" s="34"/>
      <c r="Q7" s="34"/>
      <c r="R7" s="34"/>
      <c r="S7" s="39"/>
      <c r="T7" s="35">
        <f t="array" ref="T7">Bin2DecRange($D7:$S7)</f>
        <v>8192</v>
      </c>
      <c r="U7" s="73" t="str">
        <f t="shared" ref="U7:U29" si="3">U$5</f>
        <v>N7</v>
      </c>
      <c r="V7" s="36" t="s">
        <v>105</v>
      </c>
      <c r="W7" s="37">
        <v>2</v>
      </c>
      <c r="X7" s="40"/>
      <c r="Y7" s="34"/>
      <c r="Z7" s="34"/>
      <c r="AA7" s="34"/>
      <c r="AB7" s="34"/>
      <c r="AC7" s="34"/>
      <c r="AD7" s="34"/>
      <c r="AE7" s="34"/>
      <c r="AF7" s="34"/>
      <c r="AG7" s="34"/>
      <c r="AH7" s="34"/>
      <c r="AI7" s="34"/>
      <c r="AJ7" s="34"/>
      <c r="AK7" s="34"/>
      <c r="AL7" s="34"/>
      <c r="AM7" s="39"/>
      <c r="AN7" s="35" cm="1">
        <f t="array" ref="AN7">Bin2DecRange($X7:$AM7)</f>
        <v>0</v>
      </c>
      <c r="AO7" s="73" t="str">
        <f t="shared" si="1"/>
        <v>N21</v>
      </c>
      <c r="AP7" s="36" t="s">
        <v>105</v>
      </c>
      <c r="AQ7" s="36">
        <f t="shared" ref="AQ7:AQ29" si="4">AQ6+1</f>
        <v>2</v>
      </c>
      <c r="AR7" s="35">
        <v>0</v>
      </c>
      <c r="AS7" s="73" t="str">
        <f t="shared" si="2"/>
        <v>N27</v>
      </c>
      <c r="AT7" s="36" t="s">
        <v>105</v>
      </c>
      <c r="AU7" s="76">
        <f t="shared" ref="AU7:AU29" si="5">AU6+1</f>
        <v>2</v>
      </c>
    </row>
    <row r="8" spans="1:47" s="41" customFormat="1" x14ac:dyDescent="0.25">
      <c r="A8" s="35">
        <v>3</v>
      </c>
      <c r="B8" s="4" t="s">
        <v>82</v>
      </c>
      <c r="C8" s="38" t="str">
        <f t="shared" si="0"/>
        <v/>
      </c>
      <c r="D8" s="34"/>
      <c r="E8" s="34"/>
      <c r="F8" s="34">
        <v>1</v>
      </c>
      <c r="G8" s="34">
        <v>1</v>
      </c>
      <c r="H8" s="34"/>
      <c r="I8" s="34"/>
      <c r="J8" s="34"/>
      <c r="K8" s="34"/>
      <c r="L8" s="34">
        <v>1</v>
      </c>
      <c r="M8" s="34"/>
      <c r="N8" s="34">
        <v>1</v>
      </c>
      <c r="O8" s="34"/>
      <c r="P8" s="34"/>
      <c r="Q8" s="34"/>
      <c r="R8" s="34">
        <v>1</v>
      </c>
      <c r="S8" s="39"/>
      <c r="T8" s="35">
        <f t="array" ref="T8">Bin2DecRange($D8:$S8)</f>
        <v>12450</v>
      </c>
      <c r="U8" s="73" t="str">
        <f t="shared" si="3"/>
        <v>N7</v>
      </c>
      <c r="V8" s="36" t="s">
        <v>105</v>
      </c>
      <c r="W8" s="37">
        <v>3</v>
      </c>
      <c r="X8" s="40"/>
      <c r="Y8" s="34"/>
      <c r="Z8" s="34"/>
      <c r="AA8" s="34">
        <v>1</v>
      </c>
      <c r="AB8" s="34">
        <v>1</v>
      </c>
      <c r="AC8" s="34">
        <v>1</v>
      </c>
      <c r="AD8" s="34"/>
      <c r="AE8" s="34"/>
      <c r="AF8" s="34"/>
      <c r="AG8" s="34"/>
      <c r="AH8" s="34"/>
      <c r="AI8" s="34"/>
      <c r="AJ8" s="34"/>
      <c r="AK8" s="34"/>
      <c r="AL8" s="34"/>
      <c r="AM8" s="39"/>
      <c r="AN8" s="35" cm="1">
        <f t="array" ref="AN8">Bin2DecRange($X8:$AM8)</f>
        <v>7168</v>
      </c>
      <c r="AO8" s="73" t="str">
        <f t="shared" si="1"/>
        <v>N21</v>
      </c>
      <c r="AP8" s="36" t="s">
        <v>105</v>
      </c>
      <c r="AQ8" s="36">
        <f t="shared" si="4"/>
        <v>3</v>
      </c>
      <c r="AR8" s="35">
        <v>0</v>
      </c>
      <c r="AS8" s="73" t="str">
        <f t="shared" si="2"/>
        <v>N27</v>
      </c>
      <c r="AT8" s="36" t="s">
        <v>105</v>
      </c>
      <c r="AU8" s="76">
        <f t="shared" si="5"/>
        <v>3</v>
      </c>
    </row>
    <row r="9" spans="1:47" x14ac:dyDescent="0.25">
      <c r="A9" s="4">
        <v>4</v>
      </c>
      <c r="B9" s="4" t="s">
        <v>83</v>
      </c>
      <c r="C9" s="5" t="str">
        <f t="shared" si="0"/>
        <v>P</v>
      </c>
      <c r="D9" s="13"/>
      <c r="E9" s="13"/>
      <c r="F9" s="13">
        <v>1</v>
      </c>
      <c r="G9" s="13">
        <v>1</v>
      </c>
      <c r="H9" s="13">
        <v>1</v>
      </c>
      <c r="I9" s="13">
        <v>1</v>
      </c>
      <c r="J9" s="13">
        <v>1</v>
      </c>
      <c r="K9" s="13"/>
      <c r="L9" s="13"/>
      <c r="M9" s="13"/>
      <c r="N9" s="13"/>
      <c r="O9" s="13"/>
      <c r="P9" s="13"/>
      <c r="Q9" s="13"/>
      <c r="R9" s="13">
        <v>1</v>
      </c>
      <c r="S9" s="14"/>
      <c r="T9" s="4">
        <f t="array" ref="T9">Bin2DecRange($D9:$S9)</f>
        <v>15874</v>
      </c>
      <c r="U9" s="73" t="str">
        <f t="shared" si="3"/>
        <v>N7</v>
      </c>
      <c r="V9" s="16" t="s">
        <v>105</v>
      </c>
      <c r="W9" s="69">
        <v>4</v>
      </c>
      <c r="X9" s="15"/>
      <c r="Y9" s="13"/>
      <c r="Z9" s="13"/>
      <c r="AA9" s="13"/>
      <c r="AB9" s="13"/>
      <c r="AC9" s="13"/>
      <c r="AD9" s="13"/>
      <c r="AE9" s="13"/>
      <c r="AF9" s="13"/>
      <c r="AG9" s="13"/>
      <c r="AH9" s="13"/>
      <c r="AI9" s="13"/>
      <c r="AJ9" s="13"/>
      <c r="AK9" s="13"/>
      <c r="AL9" s="13"/>
      <c r="AM9" s="14"/>
      <c r="AN9" s="4" cm="1">
        <f t="array" ref="AN9">Bin2DecRange($X9:$AM9)</f>
        <v>0</v>
      </c>
      <c r="AO9" s="73" t="str">
        <f t="shared" si="1"/>
        <v>N21</v>
      </c>
      <c r="AP9" s="16" t="s">
        <v>105</v>
      </c>
      <c r="AQ9" s="16">
        <f t="shared" si="4"/>
        <v>4</v>
      </c>
      <c r="AR9" s="4">
        <v>0</v>
      </c>
      <c r="AS9" s="73" t="str">
        <f t="shared" si="2"/>
        <v>N27</v>
      </c>
      <c r="AT9" s="16" t="s">
        <v>105</v>
      </c>
      <c r="AU9" s="75">
        <f t="shared" si="5"/>
        <v>4</v>
      </c>
    </row>
    <row r="10" spans="1:47" x14ac:dyDescent="0.25">
      <c r="A10" s="4">
        <v>5</v>
      </c>
      <c r="B10" s="4" t="s">
        <v>84</v>
      </c>
      <c r="C10" s="5" t="str">
        <f t="shared" si="0"/>
        <v/>
      </c>
      <c r="D10" s="13"/>
      <c r="E10" s="13"/>
      <c r="F10" s="13"/>
      <c r="G10" s="13"/>
      <c r="H10" s="13">
        <v>1</v>
      </c>
      <c r="I10" s="13"/>
      <c r="J10" s="13"/>
      <c r="K10" s="13"/>
      <c r="L10" s="13"/>
      <c r="M10" s="13"/>
      <c r="N10" s="13"/>
      <c r="O10" s="13"/>
      <c r="P10" s="13"/>
      <c r="Q10" s="13"/>
      <c r="R10" s="13"/>
      <c r="S10" s="14"/>
      <c r="T10" s="4">
        <f t="array" ref="T10">Bin2DecRange($D10:$S10)</f>
        <v>2048</v>
      </c>
      <c r="U10" s="73" t="str">
        <f t="shared" si="3"/>
        <v>N7</v>
      </c>
      <c r="V10" s="16" t="s">
        <v>105</v>
      </c>
      <c r="W10" s="69">
        <v>5</v>
      </c>
      <c r="X10" s="15"/>
      <c r="Y10" s="13"/>
      <c r="Z10" s="13"/>
      <c r="AA10" s="13"/>
      <c r="AB10" s="13"/>
      <c r="AC10" s="13"/>
      <c r="AD10" s="13"/>
      <c r="AE10" s="13"/>
      <c r="AF10" s="13"/>
      <c r="AG10" s="13"/>
      <c r="AH10" s="13"/>
      <c r="AI10" s="13"/>
      <c r="AJ10" s="13"/>
      <c r="AK10" s="13"/>
      <c r="AL10" s="13"/>
      <c r="AM10" s="14"/>
      <c r="AN10" s="4" cm="1">
        <f t="array" ref="AN10">Bin2DecRange($X10:$AM10)</f>
        <v>0</v>
      </c>
      <c r="AO10" s="73" t="str">
        <f t="shared" si="1"/>
        <v>N21</v>
      </c>
      <c r="AP10" s="16" t="s">
        <v>105</v>
      </c>
      <c r="AQ10" s="16">
        <f t="shared" si="4"/>
        <v>5</v>
      </c>
      <c r="AR10" s="4">
        <v>50</v>
      </c>
      <c r="AS10" s="73" t="str">
        <f t="shared" si="2"/>
        <v>N27</v>
      </c>
      <c r="AT10" s="16" t="s">
        <v>105</v>
      </c>
      <c r="AU10" s="75">
        <f t="shared" si="5"/>
        <v>5</v>
      </c>
    </row>
    <row r="11" spans="1:47" x14ac:dyDescent="0.25">
      <c r="A11" s="4">
        <v>6</v>
      </c>
      <c r="B11" s="4" t="s">
        <v>85</v>
      </c>
      <c r="C11" s="5" t="str">
        <f t="shared" si="0"/>
        <v/>
      </c>
      <c r="D11" s="13"/>
      <c r="E11" s="13"/>
      <c r="F11" s="13"/>
      <c r="G11" s="13"/>
      <c r="H11" s="13"/>
      <c r="I11" s="13"/>
      <c r="J11" s="13"/>
      <c r="K11" s="13"/>
      <c r="L11" s="13"/>
      <c r="M11" s="13"/>
      <c r="N11" s="13"/>
      <c r="O11" s="13"/>
      <c r="P11" s="13"/>
      <c r="Q11" s="13"/>
      <c r="R11" s="13"/>
      <c r="S11" s="14"/>
      <c r="T11" s="4">
        <f t="array" ref="T11">Bin2DecRange($D11:$S11)</f>
        <v>0</v>
      </c>
      <c r="U11" s="73" t="str">
        <f t="shared" si="3"/>
        <v>N7</v>
      </c>
      <c r="V11" s="16" t="s">
        <v>105</v>
      </c>
      <c r="W11" s="69">
        <v>6</v>
      </c>
      <c r="X11" s="15"/>
      <c r="Y11" s="13"/>
      <c r="Z11" s="13"/>
      <c r="AA11" s="13"/>
      <c r="AB11" s="13"/>
      <c r="AC11" s="13"/>
      <c r="AD11" s="13"/>
      <c r="AE11" s="13"/>
      <c r="AF11" s="13"/>
      <c r="AG11" s="13"/>
      <c r="AH11" s="13"/>
      <c r="AI11" s="13"/>
      <c r="AJ11" s="13"/>
      <c r="AK11" s="13"/>
      <c r="AL11" s="13"/>
      <c r="AM11" s="14"/>
      <c r="AN11" s="4" cm="1">
        <f t="array" ref="AN11">Bin2DecRange($X11:$AM11)</f>
        <v>0</v>
      </c>
      <c r="AO11" s="73" t="str">
        <f t="shared" si="1"/>
        <v>N21</v>
      </c>
      <c r="AP11" s="16" t="s">
        <v>105</v>
      </c>
      <c r="AQ11" s="16">
        <f t="shared" si="4"/>
        <v>6</v>
      </c>
      <c r="AR11" s="4">
        <v>50</v>
      </c>
      <c r="AS11" s="73" t="str">
        <f t="shared" si="2"/>
        <v>N27</v>
      </c>
      <c r="AT11" s="16" t="s">
        <v>105</v>
      </c>
      <c r="AU11" s="75">
        <f t="shared" si="5"/>
        <v>6</v>
      </c>
    </row>
    <row r="12" spans="1:47" x14ac:dyDescent="0.25">
      <c r="A12" s="4">
        <v>7</v>
      </c>
      <c r="B12" s="4" t="s">
        <v>86</v>
      </c>
      <c r="C12" s="5" t="str">
        <f t="shared" si="0"/>
        <v/>
      </c>
      <c r="D12" s="13"/>
      <c r="E12" s="13"/>
      <c r="F12" s="13"/>
      <c r="G12" s="13"/>
      <c r="H12" s="13"/>
      <c r="I12" s="13"/>
      <c r="J12" s="13"/>
      <c r="K12" s="13"/>
      <c r="L12" s="13">
        <v>1</v>
      </c>
      <c r="M12" s="13"/>
      <c r="N12" s="13"/>
      <c r="O12" s="13"/>
      <c r="P12" s="13"/>
      <c r="Q12" s="13"/>
      <c r="R12" s="13"/>
      <c r="S12" s="14"/>
      <c r="T12" s="4">
        <f t="array" ref="T12">Bin2DecRange($D12:$S12)</f>
        <v>128</v>
      </c>
      <c r="U12" s="73" t="str">
        <f t="shared" si="3"/>
        <v>N7</v>
      </c>
      <c r="V12" s="16" t="s">
        <v>105</v>
      </c>
      <c r="W12" s="69">
        <v>7</v>
      </c>
      <c r="X12" s="15"/>
      <c r="Y12" s="13"/>
      <c r="Z12" s="13"/>
      <c r="AA12" s="13"/>
      <c r="AB12" s="13"/>
      <c r="AC12" s="13"/>
      <c r="AD12" s="13"/>
      <c r="AE12" s="13"/>
      <c r="AF12" s="13"/>
      <c r="AG12" s="13"/>
      <c r="AH12" s="13"/>
      <c r="AI12" s="13"/>
      <c r="AJ12" s="13"/>
      <c r="AK12" s="13"/>
      <c r="AL12" s="13"/>
      <c r="AM12" s="14"/>
      <c r="AN12" s="4" cm="1">
        <f t="array" ref="AN12">Bin2DecRange($X12:$AM12)</f>
        <v>0</v>
      </c>
      <c r="AO12" s="73" t="str">
        <f t="shared" si="1"/>
        <v>N21</v>
      </c>
      <c r="AP12" s="16" t="s">
        <v>105</v>
      </c>
      <c r="AQ12" s="16">
        <f t="shared" si="4"/>
        <v>7</v>
      </c>
      <c r="AR12" s="4">
        <v>50</v>
      </c>
      <c r="AS12" s="73" t="str">
        <f t="shared" si="2"/>
        <v>N27</v>
      </c>
      <c r="AT12" s="16" t="s">
        <v>105</v>
      </c>
      <c r="AU12" s="75">
        <f t="shared" si="5"/>
        <v>7</v>
      </c>
    </row>
    <row r="13" spans="1:47" s="41" customFormat="1" x14ac:dyDescent="0.25">
      <c r="A13" s="35">
        <v>8</v>
      </c>
      <c r="B13" s="4" t="s">
        <v>87</v>
      </c>
      <c r="C13" s="38" t="str">
        <f t="shared" si="0"/>
        <v/>
      </c>
      <c r="D13" s="34"/>
      <c r="E13" s="34"/>
      <c r="F13" s="34"/>
      <c r="G13" s="34"/>
      <c r="H13" s="34"/>
      <c r="I13" s="34">
        <v>1</v>
      </c>
      <c r="J13" s="34"/>
      <c r="K13" s="34"/>
      <c r="L13" s="34">
        <v>1</v>
      </c>
      <c r="M13" s="34"/>
      <c r="N13" s="34"/>
      <c r="O13" s="34"/>
      <c r="P13" s="34"/>
      <c r="Q13" s="34"/>
      <c r="R13" s="34">
        <v>1</v>
      </c>
      <c r="S13" s="39"/>
      <c r="T13" s="35">
        <f t="array" ref="T13">Bin2DecRange($D13:$S13)</f>
        <v>1154</v>
      </c>
      <c r="U13" s="73" t="str">
        <f t="shared" si="3"/>
        <v>N7</v>
      </c>
      <c r="V13" s="36" t="s">
        <v>105</v>
      </c>
      <c r="W13" s="37">
        <v>8</v>
      </c>
      <c r="X13" s="40"/>
      <c r="Y13" s="34"/>
      <c r="Z13" s="34"/>
      <c r="AA13" s="34"/>
      <c r="AB13" s="34"/>
      <c r="AC13" s="34"/>
      <c r="AD13" s="34"/>
      <c r="AE13" s="34"/>
      <c r="AF13" s="34"/>
      <c r="AG13" s="34"/>
      <c r="AH13" s="34"/>
      <c r="AI13" s="34"/>
      <c r="AJ13" s="34"/>
      <c r="AK13" s="34"/>
      <c r="AL13" s="34"/>
      <c r="AM13" s="39"/>
      <c r="AN13" s="35" cm="1">
        <f t="array" ref="AN13">Bin2DecRange($X13:$AM13)</f>
        <v>0</v>
      </c>
      <c r="AO13" s="73" t="str">
        <f t="shared" si="1"/>
        <v>N21</v>
      </c>
      <c r="AP13" s="36" t="s">
        <v>105</v>
      </c>
      <c r="AQ13" s="36">
        <f t="shared" si="4"/>
        <v>8</v>
      </c>
      <c r="AR13" s="35">
        <v>50</v>
      </c>
      <c r="AS13" s="73" t="str">
        <f t="shared" si="2"/>
        <v>N27</v>
      </c>
      <c r="AT13" s="36" t="s">
        <v>105</v>
      </c>
      <c r="AU13" s="76">
        <f t="shared" si="5"/>
        <v>8</v>
      </c>
    </row>
    <row r="14" spans="1:47" s="54" customFormat="1" x14ac:dyDescent="0.25">
      <c r="A14" s="48">
        <v>9</v>
      </c>
      <c r="B14" s="4" t="s">
        <v>88</v>
      </c>
      <c r="C14" s="38" t="str">
        <f t="shared" si="0"/>
        <v/>
      </c>
      <c r="D14" s="51"/>
      <c r="E14" s="51"/>
      <c r="F14" s="51"/>
      <c r="G14" s="51"/>
      <c r="H14" s="51"/>
      <c r="I14" s="51"/>
      <c r="J14" s="51"/>
      <c r="K14" s="51">
        <v>1</v>
      </c>
      <c r="L14" s="51"/>
      <c r="M14" s="51"/>
      <c r="N14" s="51"/>
      <c r="O14" s="51">
        <v>1</v>
      </c>
      <c r="P14" s="51">
        <v>1</v>
      </c>
      <c r="Q14" s="51"/>
      <c r="R14" s="51"/>
      <c r="S14" s="52"/>
      <c r="T14" s="48">
        <f t="array" ref="T14">Bin2DecRange($D14:$S14)</f>
        <v>280</v>
      </c>
      <c r="U14" s="73" t="str">
        <f t="shared" si="3"/>
        <v>N7</v>
      </c>
      <c r="V14" s="49" t="s">
        <v>105</v>
      </c>
      <c r="W14" s="50">
        <v>9</v>
      </c>
      <c r="X14" s="53"/>
      <c r="Y14" s="51"/>
      <c r="Z14" s="51"/>
      <c r="AA14" s="51"/>
      <c r="AB14" s="51"/>
      <c r="AC14" s="51"/>
      <c r="AD14" s="51"/>
      <c r="AE14" s="51"/>
      <c r="AF14" s="51"/>
      <c r="AG14" s="51"/>
      <c r="AH14" s="51"/>
      <c r="AI14" s="51"/>
      <c r="AJ14" s="51"/>
      <c r="AK14" s="51"/>
      <c r="AL14" s="51"/>
      <c r="AM14" s="52"/>
      <c r="AN14" s="48" cm="1">
        <f t="array" ref="AN14">Bin2DecRange($X14:$AM14)</f>
        <v>0</v>
      </c>
      <c r="AO14" s="73" t="str">
        <f t="shared" si="1"/>
        <v>N21</v>
      </c>
      <c r="AP14" s="49" t="s">
        <v>105</v>
      </c>
      <c r="AQ14" s="49">
        <f t="shared" si="4"/>
        <v>9</v>
      </c>
      <c r="AR14" s="48">
        <v>50</v>
      </c>
      <c r="AS14" s="73" t="str">
        <f t="shared" si="2"/>
        <v>N27</v>
      </c>
      <c r="AT14" s="49" t="s">
        <v>105</v>
      </c>
      <c r="AU14" s="77">
        <f t="shared" si="5"/>
        <v>9</v>
      </c>
    </row>
    <row r="15" spans="1:47" s="41" customFormat="1" x14ac:dyDescent="0.25">
      <c r="A15" s="35">
        <v>10</v>
      </c>
      <c r="B15" s="4" t="s">
        <v>89</v>
      </c>
      <c r="C15" s="38" t="str">
        <f t="shared" si="0"/>
        <v/>
      </c>
      <c r="D15" s="34"/>
      <c r="E15" s="34"/>
      <c r="F15" s="34"/>
      <c r="G15" s="34"/>
      <c r="H15" s="34"/>
      <c r="I15" s="34"/>
      <c r="J15" s="34"/>
      <c r="K15" s="34"/>
      <c r="L15" s="34"/>
      <c r="M15" s="34"/>
      <c r="N15" s="34"/>
      <c r="O15" s="34"/>
      <c r="P15" s="34"/>
      <c r="Q15" s="34"/>
      <c r="R15" s="34"/>
      <c r="S15" s="39"/>
      <c r="T15" s="35">
        <f t="array" ref="T15">Bin2DecRange($D15:$S15)</f>
        <v>0</v>
      </c>
      <c r="U15" s="73" t="str">
        <f t="shared" si="3"/>
        <v>N7</v>
      </c>
      <c r="V15" s="36" t="s">
        <v>105</v>
      </c>
      <c r="W15" s="37">
        <v>10</v>
      </c>
      <c r="X15" s="40"/>
      <c r="Y15" s="34"/>
      <c r="Z15" s="34"/>
      <c r="AA15" s="34"/>
      <c r="AB15" s="34"/>
      <c r="AC15" s="34"/>
      <c r="AD15" s="34"/>
      <c r="AE15" s="34"/>
      <c r="AF15" s="34"/>
      <c r="AG15" s="34"/>
      <c r="AH15" s="34"/>
      <c r="AI15" s="34"/>
      <c r="AJ15" s="34"/>
      <c r="AK15" s="34"/>
      <c r="AL15" s="34"/>
      <c r="AM15" s="39"/>
      <c r="AN15" s="35" cm="1">
        <f t="array" ref="AN15">Bin2DecRange($X15:$AM15)</f>
        <v>0</v>
      </c>
      <c r="AO15" s="73" t="str">
        <f t="shared" si="1"/>
        <v>N21</v>
      </c>
      <c r="AP15" s="36" t="s">
        <v>105</v>
      </c>
      <c r="AQ15" s="36">
        <f t="shared" si="4"/>
        <v>10</v>
      </c>
      <c r="AR15" s="35">
        <v>0</v>
      </c>
      <c r="AS15" s="73" t="str">
        <f t="shared" si="2"/>
        <v>N27</v>
      </c>
      <c r="AT15" s="36" t="s">
        <v>105</v>
      </c>
      <c r="AU15" s="76">
        <f t="shared" si="5"/>
        <v>10</v>
      </c>
    </row>
    <row r="16" spans="1:47" x14ac:dyDescent="0.25">
      <c r="A16" s="4">
        <v>11</v>
      </c>
      <c r="B16" s="4" t="s">
        <v>90</v>
      </c>
      <c r="C16" s="5" t="str">
        <f t="shared" si="0"/>
        <v/>
      </c>
      <c r="D16" s="13"/>
      <c r="E16" s="13"/>
      <c r="F16" s="13"/>
      <c r="G16" s="13"/>
      <c r="H16" s="13"/>
      <c r="I16" s="13"/>
      <c r="J16" s="13"/>
      <c r="K16" s="13"/>
      <c r="L16" s="13"/>
      <c r="M16" s="13"/>
      <c r="N16" s="13"/>
      <c r="O16" s="13"/>
      <c r="P16" s="13"/>
      <c r="Q16" s="13"/>
      <c r="R16" s="13"/>
      <c r="S16" s="14"/>
      <c r="T16" s="4">
        <f t="array" ref="T16">Bin2DecRange($D16:$S16)</f>
        <v>0</v>
      </c>
      <c r="U16" s="73" t="str">
        <f t="shared" si="3"/>
        <v>N7</v>
      </c>
      <c r="V16" s="16" t="s">
        <v>105</v>
      </c>
      <c r="W16" s="69">
        <v>11</v>
      </c>
      <c r="X16" s="15"/>
      <c r="Y16" s="13"/>
      <c r="Z16" s="13"/>
      <c r="AA16" s="13"/>
      <c r="AB16" s="13"/>
      <c r="AC16" s="13"/>
      <c r="AD16" s="13"/>
      <c r="AE16" s="13"/>
      <c r="AF16" s="13"/>
      <c r="AG16" s="13"/>
      <c r="AH16" s="13"/>
      <c r="AI16" s="13"/>
      <c r="AJ16" s="13"/>
      <c r="AK16" s="13"/>
      <c r="AL16" s="13"/>
      <c r="AM16" s="14"/>
      <c r="AN16" s="4" cm="1">
        <f t="array" ref="AN16">Bin2DecRange($X16:$AM16)</f>
        <v>0</v>
      </c>
      <c r="AO16" s="73" t="str">
        <f t="shared" si="1"/>
        <v>N21</v>
      </c>
      <c r="AP16" s="16" t="s">
        <v>105</v>
      </c>
      <c r="AQ16" s="16">
        <f t="shared" si="4"/>
        <v>11</v>
      </c>
      <c r="AR16" s="4">
        <v>50</v>
      </c>
      <c r="AS16" s="73" t="str">
        <f t="shared" si="2"/>
        <v>N27</v>
      </c>
      <c r="AT16" s="16" t="s">
        <v>105</v>
      </c>
      <c r="AU16" s="75">
        <f t="shared" si="5"/>
        <v>11</v>
      </c>
    </row>
    <row r="17" spans="1:47" x14ac:dyDescent="0.25">
      <c r="A17" s="4">
        <v>12</v>
      </c>
      <c r="B17" s="4" t="s">
        <v>91</v>
      </c>
      <c r="C17" s="5" t="str">
        <f t="shared" si="0"/>
        <v/>
      </c>
      <c r="D17" s="13"/>
      <c r="E17" s="13"/>
      <c r="F17" s="13"/>
      <c r="G17" s="13"/>
      <c r="H17" s="13"/>
      <c r="I17" s="13"/>
      <c r="J17" s="13"/>
      <c r="K17" s="13"/>
      <c r="L17" s="13"/>
      <c r="M17" s="13">
        <v>1</v>
      </c>
      <c r="N17" s="13">
        <v>1</v>
      </c>
      <c r="O17" s="13"/>
      <c r="P17" s="13"/>
      <c r="Q17" s="13">
        <v>1</v>
      </c>
      <c r="R17" s="13"/>
      <c r="S17" s="14"/>
      <c r="T17" s="4">
        <f t="array" ref="T17">Bin2DecRange($D17:$S17)</f>
        <v>100</v>
      </c>
      <c r="U17" s="73" t="str">
        <f t="shared" si="3"/>
        <v>N7</v>
      </c>
      <c r="V17" s="16" t="s">
        <v>105</v>
      </c>
      <c r="W17" s="69">
        <v>12</v>
      </c>
      <c r="X17" s="15"/>
      <c r="Y17" s="13"/>
      <c r="Z17" s="13"/>
      <c r="AA17" s="13"/>
      <c r="AB17" s="13"/>
      <c r="AC17" s="13"/>
      <c r="AD17" s="13"/>
      <c r="AE17" s="13"/>
      <c r="AF17" s="13"/>
      <c r="AG17" s="13"/>
      <c r="AH17" s="13"/>
      <c r="AI17" s="13"/>
      <c r="AJ17" s="13"/>
      <c r="AK17" s="13"/>
      <c r="AL17" s="13"/>
      <c r="AM17" s="14"/>
      <c r="AN17" s="4" cm="1">
        <f t="array" ref="AN17">Bin2DecRange($X17:$AM17)</f>
        <v>0</v>
      </c>
      <c r="AO17" s="73" t="str">
        <f t="shared" si="1"/>
        <v>N21</v>
      </c>
      <c r="AP17" s="16" t="s">
        <v>105</v>
      </c>
      <c r="AQ17" s="16">
        <f t="shared" si="4"/>
        <v>12</v>
      </c>
      <c r="AR17" s="4">
        <v>280</v>
      </c>
      <c r="AS17" s="73" t="str">
        <f t="shared" si="2"/>
        <v>N27</v>
      </c>
      <c r="AT17" s="16" t="s">
        <v>105</v>
      </c>
      <c r="AU17" s="75">
        <f t="shared" si="5"/>
        <v>12</v>
      </c>
    </row>
    <row r="18" spans="1:47" x14ac:dyDescent="0.25">
      <c r="A18" s="4">
        <v>13</v>
      </c>
      <c r="B18" s="4" t="s">
        <v>92</v>
      </c>
      <c r="C18" s="5" t="str">
        <f t="shared" si="0"/>
        <v/>
      </c>
      <c r="D18" s="13"/>
      <c r="E18" s="13"/>
      <c r="F18" s="13"/>
      <c r="G18" s="13"/>
      <c r="H18" s="13"/>
      <c r="I18" s="13"/>
      <c r="J18" s="13"/>
      <c r="K18" s="13"/>
      <c r="L18" s="13"/>
      <c r="M18" s="13">
        <v>1</v>
      </c>
      <c r="N18" s="13">
        <v>1</v>
      </c>
      <c r="O18" s="13"/>
      <c r="P18" s="13">
        <v>1</v>
      </c>
      <c r="Q18" s="13">
        <v>1</v>
      </c>
      <c r="R18" s="13">
        <v>1</v>
      </c>
      <c r="S18" s="14"/>
      <c r="T18" s="4">
        <f t="array" ref="T18">Bin2DecRange($D18:$S18)</f>
        <v>110</v>
      </c>
      <c r="U18" s="73" t="str">
        <f t="shared" si="3"/>
        <v>N7</v>
      </c>
      <c r="V18" s="16" t="s">
        <v>105</v>
      </c>
      <c r="W18" s="69">
        <v>13</v>
      </c>
      <c r="X18" s="15"/>
      <c r="Y18" s="13"/>
      <c r="Z18" s="13"/>
      <c r="AA18" s="13"/>
      <c r="AB18" s="13"/>
      <c r="AC18" s="13"/>
      <c r="AD18" s="13"/>
      <c r="AE18" s="13"/>
      <c r="AF18" s="13"/>
      <c r="AG18" s="13"/>
      <c r="AH18" s="13"/>
      <c r="AI18" s="13"/>
      <c r="AJ18" s="13"/>
      <c r="AK18" s="13"/>
      <c r="AL18" s="13"/>
      <c r="AM18" s="14"/>
      <c r="AN18" s="4" cm="1">
        <f t="array" ref="AN18">Bin2DecRange($X18:$AM18)</f>
        <v>0</v>
      </c>
      <c r="AO18" s="73" t="str">
        <f t="shared" si="1"/>
        <v>N21</v>
      </c>
      <c r="AP18" s="16" t="s">
        <v>105</v>
      </c>
      <c r="AQ18" s="16">
        <f t="shared" si="4"/>
        <v>13</v>
      </c>
      <c r="AR18" s="4">
        <v>0</v>
      </c>
      <c r="AS18" s="73" t="str">
        <f t="shared" si="2"/>
        <v>N27</v>
      </c>
      <c r="AT18" s="16" t="s">
        <v>105</v>
      </c>
      <c r="AU18" s="75">
        <f t="shared" si="5"/>
        <v>13</v>
      </c>
    </row>
    <row r="19" spans="1:47" x14ac:dyDescent="0.25">
      <c r="A19" s="4">
        <v>14</v>
      </c>
      <c r="B19" s="4" t="s">
        <v>93</v>
      </c>
      <c r="C19" s="5" t="str">
        <f t="shared" si="0"/>
        <v/>
      </c>
      <c r="D19" s="13"/>
      <c r="E19" s="13"/>
      <c r="F19" s="13"/>
      <c r="G19" s="13"/>
      <c r="H19" s="13"/>
      <c r="I19" s="13"/>
      <c r="J19" s="13"/>
      <c r="K19" s="13"/>
      <c r="L19" s="13"/>
      <c r="M19" s="13"/>
      <c r="N19" s="13"/>
      <c r="O19" s="13"/>
      <c r="P19" s="13"/>
      <c r="Q19" s="13"/>
      <c r="R19" s="13"/>
      <c r="S19" s="14"/>
      <c r="T19" s="4">
        <f t="array" ref="T19">Bin2DecRange($D19:$S19)</f>
        <v>0</v>
      </c>
      <c r="U19" s="73" t="str">
        <f t="shared" si="3"/>
        <v>N7</v>
      </c>
      <c r="V19" s="16" t="s">
        <v>105</v>
      </c>
      <c r="W19" s="69">
        <v>14</v>
      </c>
      <c r="X19" s="15"/>
      <c r="Y19" s="13"/>
      <c r="Z19" s="13"/>
      <c r="AA19" s="13"/>
      <c r="AB19" s="13"/>
      <c r="AC19" s="13"/>
      <c r="AD19" s="13"/>
      <c r="AE19" s="13"/>
      <c r="AF19" s="13"/>
      <c r="AG19" s="13"/>
      <c r="AH19" s="13"/>
      <c r="AI19" s="13"/>
      <c r="AJ19" s="13"/>
      <c r="AK19" s="13"/>
      <c r="AL19" s="13"/>
      <c r="AM19" s="14"/>
      <c r="AN19" s="4" cm="1">
        <f t="array" ref="AN19">Bin2DecRange($X19:$AM19)</f>
        <v>0</v>
      </c>
      <c r="AO19" s="73" t="str">
        <f t="shared" si="1"/>
        <v>N21</v>
      </c>
      <c r="AP19" s="16" t="s">
        <v>105</v>
      </c>
      <c r="AQ19" s="16">
        <f t="shared" si="4"/>
        <v>14</v>
      </c>
      <c r="AR19" s="4">
        <v>0</v>
      </c>
      <c r="AS19" s="73" t="str">
        <f t="shared" si="2"/>
        <v>N27</v>
      </c>
      <c r="AT19" s="16" t="s">
        <v>105</v>
      </c>
      <c r="AU19" s="75">
        <f t="shared" si="5"/>
        <v>14</v>
      </c>
    </row>
    <row r="20" spans="1:47" x14ac:dyDescent="0.25">
      <c r="A20" s="4">
        <v>15</v>
      </c>
      <c r="B20" s="4" t="s">
        <v>94</v>
      </c>
      <c r="C20" s="5" t="str">
        <f t="shared" si="0"/>
        <v/>
      </c>
      <c r="D20" s="13"/>
      <c r="E20" s="13"/>
      <c r="F20" s="13"/>
      <c r="G20" s="13"/>
      <c r="H20" s="13"/>
      <c r="I20" s="13"/>
      <c r="J20" s="13"/>
      <c r="K20" s="13"/>
      <c r="L20" s="13">
        <v>1</v>
      </c>
      <c r="M20" s="13"/>
      <c r="N20" s="13">
        <v>1</v>
      </c>
      <c r="O20" s="13">
        <v>1</v>
      </c>
      <c r="P20" s="13"/>
      <c r="Q20" s="13"/>
      <c r="R20" s="13"/>
      <c r="S20" s="14"/>
      <c r="T20" s="4">
        <f t="array" ref="T20">Bin2DecRange($D20:$S20)</f>
        <v>176</v>
      </c>
      <c r="U20" s="73" t="str">
        <f t="shared" si="3"/>
        <v>N7</v>
      </c>
      <c r="V20" s="16" t="s">
        <v>105</v>
      </c>
      <c r="W20" s="69">
        <v>15</v>
      </c>
      <c r="X20" s="15"/>
      <c r="Y20" s="13"/>
      <c r="Z20" s="13"/>
      <c r="AA20" s="13"/>
      <c r="AB20" s="13"/>
      <c r="AC20" s="13"/>
      <c r="AD20" s="13"/>
      <c r="AE20" s="13"/>
      <c r="AF20" s="13"/>
      <c r="AG20" s="13"/>
      <c r="AH20" s="13"/>
      <c r="AI20" s="13"/>
      <c r="AJ20" s="13"/>
      <c r="AK20" s="13"/>
      <c r="AL20" s="13"/>
      <c r="AM20" s="14"/>
      <c r="AN20" s="4" cm="1">
        <f t="array" ref="AN20">Bin2DecRange($X20:$AM20)</f>
        <v>0</v>
      </c>
      <c r="AO20" s="73" t="str">
        <f t="shared" si="1"/>
        <v>N21</v>
      </c>
      <c r="AP20" s="16" t="s">
        <v>105</v>
      </c>
      <c r="AQ20" s="16">
        <f t="shared" si="4"/>
        <v>15</v>
      </c>
      <c r="AR20" s="4">
        <v>0</v>
      </c>
      <c r="AS20" s="73" t="str">
        <f t="shared" si="2"/>
        <v>N27</v>
      </c>
      <c r="AT20" s="16" t="s">
        <v>105</v>
      </c>
      <c r="AU20" s="75">
        <f t="shared" si="5"/>
        <v>15</v>
      </c>
    </row>
    <row r="21" spans="1:47" x14ac:dyDescent="0.25">
      <c r="A21" s="4">
        <v>16</v>
      </c>
      <c r="B21" s="4" t="s">
        <v>95</v>
      </c>
      <c r="C21" s="5" t="str">
        <f t="shared" si="0"/>
        <v/>
      </c>
      <c r="D21" s="13"/>
      <c r="E21" s="13"/>
      <c r="F21" s="13"/>
      <c r="G21" s="13"/>
      <c r="H21" s="13"/>
      <c r="I21" s="13"/>
      <c r="J21" s="13"/>
      <c r="K21" s="13">
        <v>1</v>
      </c>
      <c r="L21" s="13">
        <v>1</v>
      </c>
      <c r="M21" s="13"/>
      <c r="N21" s="13"/>
      <c r="O21" s="13"/>
      <c r="P21" s="13"/>
      <c r="Q21" s="13">
        <v>1</v>
      </c>
      <c r="R21" s="13">
        <v>1</v>
      </c>
      <c r="S21" s="14"/>
      <c r="T21" s="4">
        <f t="array" ref="T21">Bin2DecRange($D21:$S21)</f>
        <v>390</v>
      </c>
      <c r="U21" s="73" t="str">
        <f t="shared" si="3"/>
        <v>N7</v>
      </c>
      <c r="V21" s="16" t="s">
        <v>105</v>
      </c>
      <c r="W21" s="69">
        <v>16</v>
      </c>
      <c r="X21" s="15"/>
      <c r="Y21" s="13"/>
      <c r="Z21" s="13"/>
      <c r="AA21" s="13"/>
      <c r="AB21" s="13"/>
      <c r="AC21" s="13"/>
      <c r="AD21" s="13"/>
      <c r="AE21" s="13"/>
      <c r="AF21" s="13"/>
      <c r="AG21" s="13"/>
      <c r="AH21" s="13"/>
      <c r="AI21" s="13"/>
      <c r="AJ21" s="13"/>
      <c r="AK21" s="13"/>
      <c r="AL21" s="13"/>
      <c r="AM21" s="14"/>
      <c r="AN21" s="4" cm="1">
        <f t="array" ref="AN21">Bin2DecRange($X21:$AM21)</f>
        <v>0</v>
      </c>
      <c r="AO21" s="73" t="str">
        <f t="shared" si="1"/>
        <v>N21</v>
      </c>
      <c r="AP21" s="16" t="s">
        <v>105</v>
      </c>
      <c r="AQ21" s="16">
        <f t="shared" si="4"/>
        <v>16</v>
      </c>
      <c r="AR21" s="4">
        <v>0</v>
      </c>
      <c r="AS21" s="73" t="str">
        <f t="shared" si="2"/>
        <v>N27</v>
      </c>
      <c r="AT21" s="16" t="s">
        <v>105</v>
      </c>
      <c r="AU21" s="75">
        <f t="shared" si="5"/>
        <v>16</v>
      </c>
    </row>
    <row r="22" spans="1:47" x14ac:dyDescent="0.25">
      <c r="A22" s="4">
        <v>17</v>
      </c>
      <c r="B22" s="4" t="s">
        <v>96</v>
      </c>
      <c r="C22" s="5" t="str">
        <f t="shared" si="0"/>
        <v/>
      </c>
      <c r="D22" s="13"/>
      <c r="E22" s="13"/>
      <c r="F22" s="13"/>
      <c r="G22" s="13"/>
      <c r="H22" s="13"/>
      <c r="I22" s="13"/>
      <c r="J22" s="13"/>
      <c r="K22" s="13">
        <v>1</v>
      </c>
      <c r="L22" s="13">
        <v>1</v>
      </c>
      <c r="M22" s="13"/>
      <c r="N22" s="13"/>
      <c r="O22" s="13"/>
      <c r="P22" s="13"/>
      <c r="Q22" s="13">
        <v>1</v>
      </c>
      <c r="R22" s="13">
        <v>1</v>
      </c>
      <c r="S22" s="14">
        <v>1</v>
      </c>
      <c r="T22" s="4">
        <f t="array" ref="T22">Bin2DecRange($D22:$S22)</f>
        <v>391</v>
      </c>
      <c r="U22" s="73" t="str">
        <f t="shared" si="3"/>
        <v>N7</v>
      </c>
      <c r="V22" s="16" t="s">
        <v>105</v>
      </c>
      <c r="W22" s="69">
        <v>17</v>
      </c>
      <c r="X22" s="15"/>
      <c r="Y22" s="13"/>
      <c r="Z22" s="13"/>
      <c r="AA22" s="13"/>
      <c r="AB22" s="13"/>
      <c r="AC22" s="13"/>
      <c r="AD22" s="13"/>
      <c r="AE22" s="13"/>
      <c r="AF22" s="13"/>
      <c r="AG22" s="13"/>
      <c r="AH22" s="13"/>
      <c r="AI22" s="13"/>
      <c r="AJ22" s="13"/>
      <c r="AK22" s="13"/>
      <c r="AL22" s="13"/>
      <c r="AM22" s="14"/>
      <c r="AN22" s="4" cm="1">
        <f t="array" ref="AN22">Bin2DecRange($X22:$AM22)</f>
        <v>0</v>
      </c>
      <c r="AO22" s="73" t="str">
        <f t="shared" si="1"/>
        <v>N21</v>
      </c>
      <c r="AP22" s="16" t="s">
        <v>105</v>
      </c>
      <c r="AQ22" s="16">
        <f t="shared" si="4"/>
        <v>17</v>
      </c>
      <c r="AR22" s="4">
        <v>0</v>
      </c>
      <c r="AS22" s="73" t="str">
        <f t="shared" si="2"/>
        <v>N27</v>
      </c>
      <c r="AT22" s="16" t="s">
        <v>105</v>
      </c>
      <c r="AU22" s="75">
        <f t="shared" si="5"/>
        <v>17</v>
      </c>
    </row>
    <row r="23" spans="1:47" x14ac:dyDescent="0.25">
      <c r="A23" s="4">
        <v>18</v>
      </c>
      <c r="B23" s="4" t="s">
        <v>97</v>
      </c>
      <c r="C23" s="5" t="str">
        <f t="shared" si="0"/>
        <v/>
      </c>
      <c r="D23" s="13"/>
      <c r="E23" s="13"/>
      <c r="F23" s="13"/>
      <c r="G23" s="13"/>
      <c r="H23" s="13"/>
      <c r="I23" s="13">
        <v>1</v>
      </c>
      <c r="J23" s="13"/>
      <c r="K23" s="13"/>
      <c r="L23" s="13"/>
      <c r="M23" s="13">
        <v>1</v>
      </c>
      <c r="N23" s="13">
        <v>1</v>
      </c>
      <c r="O23" s="13">
        <v>1</v>
      </c>
      <c r="P23" s="13">
        <v>1</v>
      </c>
      <c r="Q23" s="13">
        <v>1</v>
      </c>
      <c r="R23" s="13">
        <v>1</v>
      </c>
      <c r="S23" s="14"/>
      <c r="T23" s="4">
        <f t="array" ref="T23">Bin2DecRange($D23:$S23)</f>
        <v>1150</v>
      </c>
      <c r="U23" s="73" t="str">
        <f t="shared" si="3"/>
        <v>N7</v>
      </c>
      <c r="V23" s="16" t="s">
        <v>105</v>
      </c>
      <c r="W23" s="69">
        <v>18</v>
      </c>
      <c r="X23" s="15"/>
      <c r="Y23" s="13"/>
      <c r="Z23" s="13"/>
      <c r="AA23" s="13"/>
      <c r="AB23" s="13"/>
      <c r="AC23" s="13"/>
      <c r="AD23" s="13"/>
      <c r="AE23" s="13"/>
      <c r="AF23" s="13"/>
      <c r="AG23" s="13"/>
      <c r="AH23" s="13"/>
      <c r="AI23" s="13"/>
      <c r="AJ23" s="13"/>
      <c r="AK23" s="13"/>
      <c r="AL23" s="13"/>
      <c r="AM23" s="14"/>
      <c r="AN23" s="4" cm="1">
        <f t="array" ref="AN23">Bin2DecRange($X23:$AM23)</f>
        <v>0</v>
      </c>
      <c r="AO23" s="73" t="str">
        <f t="shared" si="1"/>
        <v>N21</v>
      </c>
      <c r="AP23" s="16" t="s">
        <v>105</v>
      </c>
      <c r="AQ23" s="16">
        <f t="shared" si="4"/>
        <v>18</v>
      </c>
      <c r="AR23" s="4">
        <v>0</v>
      </c>
      <c r="AS23" s="73" t="str">
        <f t="shared" si="2"/>
        <v>N27</v>
      </c>
      <c r="AT23" s="16" t="s">
        <v>105</v>
      </c>
      <c r="AU23" s="75">
        <f t="shared" si="5"/>
        <v>18</v>
      </c>
    </row>
    <row r="24" spans="1:47" x14ac:dyDescent="0.25">
      <c r="A24" s="4">
        <v>19</v>
      </c>
      <c r="B24" s="4" t="s">
        <v>98</v>
      </c>
      <c r="C24" s="5" t="str">
        <f t="shared" si="0"/>
        <v/>
      </c>
      <c r="D24" s="13"/>
      <c r="E24" s="13"/>
      <c r="F24" s="13"/>
      <c r="G24" s="13"/>
      <c r="H24" s="13"/>
      <c r="I24" s="13"/>
      <c r="J24" s="13"/>
      <c r="K24" s="13"/>
      <c r="L24" s="13"/>
      <c r="M24" s="13"/>
      <c r="N24" s="13"/>
      <c r="O24" s="13"/>
      <c r="P24" s="13"/>
      <c r="Q24" s="13"/>
      <c r="R24" s="13"/>
      <c r="S24" s="14"/>
      <c r="T24" s="4">
        <f t="array" ref="T24">Bin2DecRange($D24:$S24)</f>
        <v>0</v>
      </c>
      <c r="U24" s="73" t="str">
        <f t="shared" si="3"/>
        <v>N7</v>
      </c>
      <c r="V24" s="16" t="s">
        <v>105</v>
      </c>
      <c r="W24" s="69">
        <v>19</v>
      </c>
      <c r="X24" s="15"/>
      <c r="Y24" s="13"/>
      <c r="Z24" s="13"/>
      <c r="AA24" s="13"/>
      <c r="AB24" s="13"/>
      <c r="AC24" s="13"/>
      <c r="AD24" s="13"/>
      <c r="AE24" s="13"/>
      <c r="AF24" s="13"/>
      <c r="AG24" s="13"/>
      <c r="AH24" s="13"/>
      <c r="AI24" s="13"/>
      <c r="AJ24" s="13"/>
      <c r="AK24" s="13"/>
      <c r="AL24" s="13"/>
      <c r="AM24" s="14"/>
      <c r="AN24" s="4" cm="1">
        <f t="array" ref="AN24">Bin2DecRange($X24:$AM24)</f>
        <v>0</v>
      </c>
      <c r="AO24" s="73" t="str">
        <f t="shared" si="1"/>
        <v>N21</v>
      </c>
      <c r="AP24" s="16" t="s">
        <v>105</v>
      </c>
      <c r="AQ24" s="16">
        <f t="shared" si="4"/>
        <v>19</v>
      </c>
      <c r="AR24" s="4">
        <v>0</v>
      </c>
      <c r="AS24" s="73" t="str">
        <f t="shared" si="2"/>
        <v>N27</v>
      </c>
      <c r="AT24" s="16" t="s">
        <v>105</v>
      </c>
      <c r="AU24" s="75">
        <f t="shared" si="5"/>
        <v>19</v>
      </c>
    </row>
    <row r="25" spans="1:47" x14ac:dyDescent="0.25">
      <c r="A25" s="4">
        <v>20</v>
      </c>
      <c r="B25" s="4" t="s">
        <v>99</v>
      </c>
      <c r="C25" s="5" t="str">
        <f t="shared" si="0"/>
        <v/>
      </c>
      <c r="D25" s="13"/>
      <c r="E25" s="13"/>
      <c r="F25" s="13"/>
      <c r="G25" s="13"/>
      <c r="H25" s="13"/>
      <c r="I25" s="13"/>
      <c r="J25" s="13"/>
      <c r="K25" s="13"/>
      <c r="L25" s="13"/>
      <c r="M25" s="13"/>
      <c r="N25" s="13"/>
      <c r="O25" s="13"/>
      <c r="P25" s="13"/>
      <c r="Q25" s="13"/>
      <c r="R25" s="13"/>
      <c r="S25" s="14"/>
      <c r="T25" s="4">
        <f t="array" ref="T25">Bin2DecRange($D25:$S25)</f>
        <v>0</v>
      </c>
      <c r="U25" s="73" t="str">
        <f t="shared" si="3"/>
        <v>N7</v>
      </c>
      <c r="V25" s="16" t="s">
        <v>105</v>
      </c>
      <c r="W25" s="69">
        <v>20</v>
      </c>
      <c r="X25" s="15"/>
      <c r="Y25" s="13"/>
      <c r="Z25" s="13"/>
      <c r="AA25" s="13"/>
      <c r="AB25" s="13"/>
      <c r="AC25" s="13"/>
      <c r="AD25" s="13"/>
      <c r="AE25" s="13"/>
      <c r="AF25" s="13"/>
      <c r="AG25" s="13"/>
      <c r="AH25" s="13"/>
      <c r="AI25" s="13"/>
      <c r="AJ25" s="13"/>
      <c r="AK25" s="13"/>
      <c r="AL25" s="13"/>
      <c r="AM25" s="14"/>
      <c r="AN25" s="4" cm="1">
        <f t="array" ref="AN25">Bin2DecRange($X25:$AM25)</f>
        <v>0</v>
      </c>
      <c r="AO25" s="73" t="str">
        <f t="shared" si="1"/>
        <v>N21</v>
      </c>
      <c r="AP25" s="16" t="s">
        <v>105</v>
      </c>
      <c r="AQ25" s="16">
        <f t="shared" si="4"/>
        <v>20</v>
      </c>
      <c r="AR25" s="4">
        <v>9160</v>
      </c>
      <c r="AS25" s="73" t="str">
        <f t="shared" si="2"/>
        <v>N27</v>
      </c>
      <c r="AT25" s="16" t="s">
        <v>105</v>
      </c>
      <c r="AU25" s="75">
        <f t="shared" si="5"/>
        <v>20</v>
      </c>
    </row>
    <row r="26" spans="1:47" x14ac:dyDescent="0.25">
      <c r="A26" s="4">
        <v>21</v>
      </c>
      <c r="B26" s="4" t="s">
        <v>100</v>
      </c>
      <c r="C26" s="5" t="str">
        <f t="shared" si="0"/>
        <v/>
      </c>
      <c r="D26" s="13"/>
      <c r="E26" s="13"/>
      <c r="F26" s="13"/>
      <c r="G26" s="13"/>
      <c r="H26" s="13"/>
      <c r="I26" s="13"/>
      <c r="J26" s="13"/>
      <c r="K26" s="13"/>
      <c r="L26" s="13"/>
      <c r="M26" s="13"/>
      <c r="N26" s="13"/>
      <c r="O26" s="13"/>
      <c r="P26" s="13"/>
      <c r="Q26" s="13"/>
      <c r="R26" s="13"/>
      <c r="S26" s="14"/>
      <c r="T26" s="4">
        <f t="array" ref="T26">Bin2DecRange($D26:$S26)</f>
        <v>0</v>
      </c>
      <c r="U26" s="73" t="str">
        <f t="shared" si="3"/>
        <v>N7</v>
      </c>
      <c r="V26" s="16" t="s">
        <v>105</v>
      </c>
      <c r="W26" s="69">
        <v>21</v>
      </c>
      <c r="X26" s="15"/>
      <c r="Y26" s="13"/>
      <c r="Z26" s="13"/>
      <c r="AA26" s="13"/>
      <c r="AB26" s="13"/>
      <c r="AC26" s="13"/>
      <c r="AD26" s="13"/>
      <c r="AE26" s="13"/>
      <c r="AF26" s="13"/>
      <c r="AG26" s="13"/>
      <c r="AH26" s="13"/>
      <c r="AI26" s="13"/>
      <c r="AJ26" s="13"/>
      <c r="AK26" s="13"/>
      <c r="AL26" s="13"/>
      <c r="AM26" s="14"/>
      <c r="AN26" s="4" cm="1">
        <f t="array" ref="AN26">Bin2DecRange($X26:$AM26)</f>
        <v>0</v>
      </c>
      <c r="AO26" s="73" t="str">
        <f t="shared" si="1"/>
        <v>N21</v>
      </c>
      <c r="AP26" s="16" t="s">
        <v>105</v>
      </c>
      <c r="AQ26" s="16">
        <f t="shared" si="4"/>
        <v>21</v>
      </c>
      <c r="AR26" s="4">
        <v>8</v>
      </c>
      <c r="AS26" s="73" t="str">
        <f t="shared" si="2"/>
        <v>N27</v>
      </c>
      <c r="AT26" s="16" t="s">
        <v>105</v>
      </c>
      <c r="AU26" s="75">
        <f t="shared" si="5"/>
        <v>21</v>
      </c>
    </row>
    <row r="27" spans="1:47" x14ac:dyDescent="0.25">
      <c r="A27" s="4">
        <v>22</v>
      </c>
      <c r="B27" s="4" t="s">
        <v>101</v>
      </c>
      <c r="C27" s="5" t="str">
        <f t="shared" si="0"/>
        <v/>
      </c>
      <c r="D27" s="13"/>
      <c r="E27" s="13"/>
      <c r="F27" s="13"/>
      <c r="G27" s="13"/>
      <c r="H27" s="13"/>
      <c r="I27" s="13"/>
      <c r="J27" s="13"/>
      <c r="K27" s="13"/>
      <c r="L27" s="13"/>
      <c r="M27" s="13"/>
      <c r="N27" s="13"/>
      <c r="O27" s="13"/>
      <c r="P27" s="13"/>
      <c r="Q27" s="13"/>
      <c r="R27" s="13"/>
      <c r="S27" s="14"/>
      <c r="T27" s="4">
        <f t="array" ref="T27">Bin2DecRange($D27:$S27)</f>
        <v>0</v>
      </c>
      <c r="U27" s="73" t="str">
        <f t="shared" si="3"/>
        <v>N7</v>
      </c>
      <c r="V27" s="16" t="s">
        <v>105</v>
      </c>
      <c r="W27" s="69">
        <v>22</v>
      </c>
      <c r="X27" s="15"/>
      <c r="Y27" s="13"/>
      <c r="Z27" s="13"/>
      <c r="AA27" s="13"/>
      <c r="AB27" s="13"/>
      <c r="AC27" s="13"/>
      <c r="AD27" s="13"/>
      <c r="AE27" s="13"/>
      <c r="AF27" s="13"/>
      <c r="AG27" s="13"/>
      <c r="AH27" s="13"/>
      <c r="AI27" s="13"/>
      <c r="AJ27" s="13"/>
      <c r="AK27" s="13"/>
      <c r="AL27" s="13"/>
      <c r="AM27" s="14"/>
      <c r="AN27" s="4" cm="1">
        <f t="array" ref="AN27">Bin2DecRange($X27:$AM27)</f>
        <v>0</v>
      </c>
      <c r="AO27" s="73" t="str">
        <f t="shared" si="1"/>
        <v>N21</v>
      </c>
      <c r="AP27" s="16" t="s">
        <v>105</v>
      </c>
      <c r="AQ27" s="16">
        <f t="shared" si="4"/>
        <v>22</v>
      </c>
      <c r="AR27" s="4">
        <v>0</v>
      </c>
      <c r="AS27" s="73" t="str">
        <f t="shared" si="2"/>
        <v>N27</v>
      </c>
      <c r="AT27" s="16" t="s">
        <v>105</v>
      </c>
      <c r="AU27" s="75">
        <f t="shared" si="5"/>
        <v>22</v>
      </c>
    </row>
    <row r="28" spans="1:47" x14ac:dyDescent="0.25">
      <c r="A28" s="4">
        <v>23</v>
      </c>
      <c r="B28" s="4" t="s">
        <v>102</v>
      </c>
      <c r="C28" s="5" t="str">
        <f t="shared" si="0"/>
        <v/>
      </c>
      <c r="D28" s="13"/>
      <c r="E28" s="13"/>
      <c r="F28" s="13"/>
      <c r="G28" s="13"/>
      <c r="H28" s="13"/>
      <c r="I28" s="13"/>
      <c r="J28" s="13"/>
      <c r="K28" s="13"/>
      <c r="L28" s="13"/>
      <c r="M28" s="13"/>
      <c r="N28" s="13"/>
      <c r="O28" s="13"/>
      <c r="P28" s="13"/>
      <c r="Q28" s="13"/>
      <c r="R28" s="13"/>
      <c r="S28" s="14"/>
      <c r="T28" s="4">
        <f t="array" ref="T28">Bin2DecRange($D28:$S28)</f>
        <v>0</v>
      </c>
      <c r="U28" s="73" t="str">
        <f t="shared" si="3"/>
        <v>N7</v>
      </c>
      <c r="V28" s="16" t="s">
        <v>105</v>
      </c>
      <c r="W28" s="69">
        <v>23</v>
      </c>
      <c r="X28" s="15"/>
      <c r="Y28" s="13"/>
      <c r="Z28" s="13"/>
      <c r="AA28" s="13"/>
      <c r="AB28" s="13"/>
      <c r="AC28" s="13"/>
      <c r="AD28" s="13"/>
      <c r="AE28" s="13"/>
      <c r="AF28" s="13"/>
      <c r="AG28" s="13"/>
      <c r="AH28" s="13"/>
      <c r="AI28" s="13"/>
      <c r="AJ28" s="13"/>
      <c r="AK28" s="13"/>
      <c r="AL28" s="13"/>
      <c r="AM28" s="14"/>
      <c r="AN28" s="4" cm="1">
        <f t="array" ref="AN28">Bin2DecRange($X28:$AM28)</f>
        <v>0</v>
      </c>
      <c r="AO28" s="73" t="str">
        <f t="shared" si="1"/>
        <v>N21</v>
      </c>
      <c r="AP28" s="16" t="s">
        <v>105</v>
      </c>
      <c r="AQ28" s="16">
        <f t="shared" si="4"/>
        <v>23</v>
      </c>
      <c r="AR28" s="4">
        <v>0</v>
      </c>
      <c r="AS28" s="73" t="str">
        <f t="shared" si="2"/>
        <v>N27</v>
      </c>
      <c r="AT28" s="16" t="s">
        <v>105</v>
      </c>
      <c r="AU28" s="75">
        <f t="shared" si="5"/>
        <v>23</v>
      </c>
    </row>
    <row r="29" spans="1:47" ht="15.75" customHeight="1" thickBot="1" x14ac:dyDescent="0.3">
      <c r="A29" s="32">
        <v>24</v>
      </c>
      <c r="B29" s="32" t="s">
        <v>103</v>
      </c>
      <c r="C29" s="43" t="str">
        <f t="shared" si="0"/>
        <v/>
      </c>
      <c r="D29" s="44"/>
      <c r="E29" s="44"/>
      <c r="F29" s="44"/>
      <c r="G29" s="44"/>
      <c r="H29" s="44"/>
      <c r="I29" s="44"/>
      <c r="J29" s="44"/>
      <c r="K29" s="44"/>
      <c r="L29" s="44"/>
      <c r="M29" s="44"/>
      <c r="N29" s="44"/>
      <c r="O29" s="44"/>
      <c r="P29" s="44"/>
      <c r="Q29" s="44"/>
      <c r="R29" s="44"/>
      <c r="S29" s="45"/>
      <c r="T29" s="32">
        <f t="array" ref="T29">Bin2DecRange($D29:$S29)</f>
        <v>0</v>
      </c>
      <c r="U29" s="74" t="str">
        <f t="shared" si="3"/>
        <v>N7</v>
      </c>
      <c r="V29" s="31" t="s">
        <v>105</v>
      </c>
      <c r="W29" s="33">
        <v>24</v>
      </c>
      <c r="X29" s="46"/>
      <c r="Y29" s="44"/>
      <c r="Z29" s="44"/>
      <c r="AA29" s="44"/>
      <c r="AB29" s="44"/>
      <c r="AC29" s="44"/>
      <c r="AD29" s="44"/>
      <c r="AE29" s="44"/>
      <c r="AF29" s="44"/>
      <c r="AG29" s="44"/>
      <c r="AH29" s="44"/>
      <c r="AI29" s="44"/>
      <c r="AJ29" s="44"/>
      <c r="AK29" s="44"/>
      <c r="AL29" s="44"/>
      <c r="AM29" s="45"/>
      <c r="AN29" s="32" cm="1">
        <f t="array" ref="AN29">Bin2DecRange($X29:$AM29)</f>
        <v>0</v>
      </c>
      <c r="AO29" s="74" t="str">
        <f t="shared" si="1"/>
        <v>N21</v>
      </c>
      <c r="AP29" s="31" t="s">
        <v>105</v>
      </c>
      <c r="AQ29" s="31">
        <f t="shared" si="4"/>
        <v>24</v>
      </c>
      <c r="AR29" s="32">
        <v>0</v>
      </c>
      <c r="AS29" s="74" t="str">
        <f t="shared" si="2"/>
        <v>N27</v>
      </c>
      <c r="AT29" s="31" t="s">
        <v>105</v>
      </c>
      <c r="AU29" s="78">
        <f t="shared" si="5"/>
        <v>24</v>
      </c>
    </row>
  </sheetData>
  <mergeCells count="15">
    <mergeCell ref="A1:B1"/>
    <mergeCell ref="D1:W1"/>
    <mergeCell ref="X1:AQ1"/>
    <mergeCell ref="AR1:AU1"/>
    <mergeCell ref="U4:W4"/>
    <mergeCell ref="AO4:AQ4"/>
    <mergeCell ref="AS4:AU4"/>
    <mergeCell ref="U2:W2"/>
    <mergeCell ref="AO2:AQ2"/>
    <mergeCell ref="AS2:AU2"/>
    <mergeCell ref="D3:S3"/>
    <mergeCell ref="U3:W3"/>
    <mergeCell ref="X3:AM3"/>
    <mergeCell ref="AO3:AQ3"/>
    <mergeCell ref="AS3:AU3"/>
  </mergeCells>
  <phoneticPr fontId="8" type="noConversion"/>
  <conditionalFormatting sqref="C5:C29">
    <cfRule type="cellIs" dxfId="1"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1" manualBreakCount="1">
    <brk id="2" max="28" man="1"/>
  </colBreaks>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0E5C555-455B-48D2-84DC-510A0CE98FB4}">
          <x14:formula1>
            <xm:f>'Main Program'!$B$29:$B$34</xm:f>
          </x14:formula1>
          <xm:sqref>T3 AN3 AR3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36077B-1FA5-4827-868D-C75C9C55DFB2}">
  <sheetPr codeName="Sheet3"/>
  <dimension ref="A1:AU29"/>
  <sheetViews>
    <sheetView tabSelected="1" zoomScale="80" zoomScaleNormal="80" workbookViewId="0">
      <pane xSplit="2" ySplit="3" topLeftCell="C4" activePane="bottomRight" state="frozen"/>
      <selection pane="topRight" activeCell="C1" sqref="C1"/>
      <selection pane="bottomLeft" activeCell="A4" sqref="A4"/>
      <selection pane="bottomRight" activeCell="AB22" sqref="AB22"/>
    </sheetView>
  </sheetViews>
  <sheetFormatPr defaultRowHeight="15" x14ac:dyDescent="0.25"/>
  <cols>
    <col min="1" max="1" width="6.7109375" style="80" bestFit="1" customWidth="1"/>
    <col min="2" max="2" width="45" style="80" bestFit="1" customWidth="1"/>
    <col min="3" max="3" width="3.5703125" style="80" customWidth="1"/>
    <col min="4" max="19" width="3" style="79" customWidth="1"/>
    <col min="20" max="20" width="13.5703125" style="80" customWidth="1"/>
    <col min="21" max="21" width="11.42578125" style="80" customWidth="1"/>
    <col min="22" max="22" width="3.140625" style="79" customWidth="1"/>
    <col min="23" max="23" width="3.42578125" style="80" customWidth="1"/>
    <col min="24" max="39" width="3" style="79" customWidth="1"/>
    <col min="40" max="40" width="13.85546875" style="80" customWidth="1"/>
    <col min="41" max="41" width="14" style="80" customWidth="1"/>
    <col min="42" max="42" width="3.140625" style="79" bestFit="1" customWidth="1"/>
    <col min="43" max="43" width="4" style="80" customWidth="1"/>
    <col min="44" max="44" width="10.7109375" style="80" bestFit="1" customWidth="1"/>
    <col min="45" max="45" width="12.140625" style="80" customWidth="1"/>
    <col min="46" max="46" width="3.140625" style="79" bestFit="1" customWidth="1"/>
    <col min="47" max="47" width="5.42578125" style="80" customWidth="1"/>
    <col min="48" max="16384" width="9.140625" style="80"/>
  </cols>
  <sheetData>
    <row r="1" spans="1:47" ht="15.75" customHeight="1" thickBot="1" x14ac:dyDescent="0.3">
      <c r="A1" s="97" t="s">
        <v>60</v>
      </c>
      <c r="B1" s="98"/>
      <c r="C1" s="82"/>
      <c r="D1" s="99"/>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99"/>
      <c r="AQ1" s="99"/>
      <c r="AR1" s="98"/>
      <c r="AS1" s="98"/>
      <c r="AT1" s="98"/>
      <c r="AU1" s="98"/>
    </row>
    <row r="2" spans="1:47" ht="226.5" thickBot="1" x14ac:dyDescent="0.3">
      <c r="A2" s="1"/>
      <c r="B2" s="2" t="s">
        <v>43</v>
      </c>
      <c r="C2" s="47" t="s">
        <v>61</v>
      </c>
      <c r="D2" s="42" t="s">
        <v>27</v>
      </c>
      <c r="E2" s="42" t="s">
        <v>28</v>
      </c>
      <c r="F2" s="42" t="s">
        <v>29</v>
      </c>
      <c r="G2" s="42" t="s">
        <v>30</v>
      </c>
      <c r="H2" s="42" t="s">
        <v>31</v>
      </c>
      <c r="I2" s="42" t="s">
        <v>32</v>
      </c>
      <c r="J2" s="42" t="s">
        <v>33</v>
      </c>
      <c r="K2" s="42" t="s">
        <v>34</v>
      </c>
      <c r="L2" s="42" t="s">
        <v>35</v>
      </c>
      <c r="M2" s="42" t="s">
        <v>36</v>
      </c>
      <c r="N2" s="42" t="s">
        <v>37</v>
      </c>
      <c r="O2" s="42" t="s">
        <v>38</v>
      </c>
      <c r="P2" s="42" t="s">
        <v>39</v>
      </c>
      <c r="Q2" s="9" t="s">
        <v>40</v>
      </c>
      <c r="R2" s="9" t="s">
        <v>41</v>
      </c>
      <c r="S2" s="10" t="s">
        <v>42</v>
      </c>
      <c r="T2" s="2"/>
      <c r="U2" s="107"/>
      <c r="V2" s="108"/>
      <c r="W2" s="109"/>
      <c r="X2" s="9" t="s">
        <v>44</v>
      </c>
      <c r="Y2" s="9" t="s">
        <v>45</v>
      </c>
      <c r="Z2" s="9" t="s">
        <v>46</v>
      </c>
      <c r="AA2" s="9" t="s">
        <v>47</v>
      </c>
      <c r="AB2" s="9" t="s">
        <v>48</v>
      </c>
      <c r="AC2" s="9" t="s">
        <v>49</v>
      </c>
      <c r="AD2" s="9" t="s">
        <v>50</v>
      </c>
      <c r="AE2" s="9" t="s">
        <v>51</v>
      </c>
      <c r="AF2" s="9" t="s">
        <v>52</v>
      </c>
      <c r="AG2" s="9" t="s">
        <v>53</v>
      </c>
      <c r="AH2" s="9" t="s">
        <v>54</v>
      </c>
      <c r="AI2" s="9" t="s">
        <v>55</v>
      </c>
      <c r="AJ2" s="9" t="s">
        <v>56</v>
      </c>
      <c r="AK2" s="9" t="s">
        <v>57</v>
      </c>
      <c r="AL2" s="9" t="s">
        <v>58</v>
      </c>
      <c r="AM2" s="10" t="s">
        <v>59</v>
      </c>
      <c r="AN2" s="2"/>
      <c r="AO2" s="107"/>
      <c r="AP2" s="108"/>
      <c r="AQ2" s="109"/>
      <c r="AR2" s="2"/>
      <c r="AS2" s="110"/>
      <c r="AT2" s="105"/>
      <c r="AU2" s="106"/>
    </row>
    <row r="3" spans="1:47" ht="15.75" customHeight="1" thickBot="1" x14ac:dyDescent="0.3">
      <c r="A3" s="28" t="s">
        <v>23</v>
      </c>
      <c r="B3" s="81"/>
      <c r="C3" s="47"/>
      <c r="D3" s="108"/>
      <c r="E3" s="108"/>
      <c r="F3" s="108"/>
      <c r="G3" s="108"/>
      <c r="H3" s="108"/>
      <c r="I3" s="108"/>
      <c r="J3" s="108"/>
      <c r="K3" s="108"/>
      <c r="L3" s="108"/>
      <c r="M3" s="108"/>
      <c r="N3" s="108"/>
      <c r="O3" s="108"/>
      <c r="P3" s="108"/>
      <c r="Q3" s="108"/>
      <c r="R3" s="108"/>
      <c r="S3" s="109"/>
      <c r="T3" s="28" t="s">
        <v>70</v>
      </c>
      <c r="U3" s="111" t="s">
        <v>24</v>
      </c>
      <c r="V3" s="108"/>
      <c r="W3" s="109"/>
      <c r="X3" s="108"/>
      <c r="Y3" s="108"/>
      <c r="Z3" s="108"/>
      <c r="AA3" s="108"/>
      <c r="AB3" s="108"/>
      <c r="AC3" s="108"/>
      <c r="AD3" s="108"/>
      <c r="AE3" s="108"/>
      <c r="AF3" s="108"/>
      <c r="AG3" s="108"/>
      <c r="AH3" s="108"/>
      <c r="AI3" s="108"/>
      <c r="AJ3" s="108"/>
      <c r="AK3" s="108"/>
      <c r="AL3" s="108"/>
      <c r="AM3" s="109"/>
      <c r="AN3" s="28" t="s">
        <v>70</v>
      </c>
      <c r="AO3" s="112" t="s">
        <v>24</v>
      </c>
      <c r="AP3" s="108"/>
      <c r="AQ3" s="109"/>
      <c r="AR3" s="84" t="s">
        <v>17</v>
      </c>
      <c r="AS3" s="111" t="s">
        <v>24</v>
      </c>
      <c r="AT3" s="108"/>
      <c r="AU3" s="109"/>
    </row>
    <row r="4" spans="1:47" x14ac:dyDescent="0.25">
      <c r="A4" s="4" t="s">
        <v>25</v>
      </c>
      <c r="B4" s="4" t="s">
        <v>22</v>
      </c>
      <c r="C4" s="3"/>
      <c r="D4" s="11">
        <v>15</v>
      </c>
      <c r="E4" s="11">
        <v>14</v>
      </c>
      <c r="F4" s="11">
        <v>13</v>
      </c>
      <c r="G4" s="11">
        <v>12</v>
      </c>
      <c r="H4" s="11">
        <v>11</v>
      </c>
      <c r="I4" s="11">
        <v>10</v>
      </c>
      <c r="J4" s="11">
        <v>9</v>
      </c>
      <c r="K4" s="11">
        <v>8</v>
      </c>
      <c r="L4" s="11">
        <v>7</v>
      </c>
      <c r="M4" s="11">
        <v>6</v>
      </c>
      <c r="N4" s="11">
        <v>5</v>
      </c>
      <c r="O4" s="11">
        <v>4</v>
      </c>
      <c r="P4" s="11">
        <v>3</v>
      </c>
      <c r="Q4" s="11">
        <v>2</v>
      </c>
      <c r="R4" s="11">
        <v>1</v>
      </c>
      <c r="S4" s="12">
        <v>0</v>
      </c>
      <c r="T4" s="4"/>
      <c r="U4" s="100"/>
      <c r="V4" s="101"/>
      <c r="W4" s="102"/>
      <c r="X4" s="55">
        <v>15</v>
      </c>
      <c r="Y4" s="11">
        <v>14</v>
      </c>
      <c r="Z4" s="11">
        <v>13</v>
      </c>
      <c r="AA4" s="11">
        <v>12</v>
      </c>
      <c r="AB4" s="11">
        <v>11</v>
      </c>
      <c r="AC4" s="11">
        <v>10</v>
      </c>
      <c r="AD4" s="11">
        <v>9</v>
      </c>
      <c r="AE4" s="11">
        <v>8</v>
      </c>
      <c r="AF4" s="11">
        <v>7</v>
      </c>
      <c r="AG4" s="11">
        <v>6</v>
      </c>
      <c r="AH4" s="11">
        <v>5</v>
      </c>
      <c r="AI4" s="11">
        <v>4</v>
      </c>
      <c r="AJ4" s="11">
        <v>3</v>
      </c>
      <c r="AK4" s="11">
        <v>2</v>
      </c>
      <c r="AL4" s="11">
        <v>1</v>
      </c>
      <c r="AM4" s="12">
        <v>0</v>
      </c>
      <c r="AN4" s="4"/>
      <c r="AO4" s="100"/>
      <c r="AP4" s="101"/>
      <c r="AQ4" s="103"/>
      <c r="AR4" s="4"/>
      <c r="AS4" s="104"/>
      <c r="AT4" s="105"/>
      <c r="AU4" s="106"/>
    </row>
    <row r="5" spans="1:47" x14ac:dyDescent="0.25">
      <c r="A5" s="4">
        <v>0</v>
      </c>
      <c r="B5" s="4" t="s">
        <v>79</v>
      </c>
      <c r="C5" s="5" t="str">
        <f>IF(J5=1, "P", "")</f>
        <v/>
      </c>
      <c r="D5" s="13"/>
      <c r="E5" s="13"/>
      <c r="F5" s="13"/>
      <c r="G5" s="13"/>
      <c r="H5" s="13"/>
      <c r="I5" s="13"/>
      <c r="J5" s="13"/>
      <c r="K5" s="13"/>
      <c r="L5" s="13"/>
      <c r="M5" s="13"/>
      <c r="N5" s="13"/>
      <c r="O5" s="13"/>
      <c r="P5" s="13"/>
      <c r="Q5" s="13"/>
      <c r="R5" s="13"/>
      <c r="S5" s="14"/>
      <c r="T5" s="4">
        <f t="array" ref="T5">Bin2DecRange($D5:$S5)</f>
        <v>0</v>
      </c>
      <c r="U5" s="71" t="s">
        <v>104</v>
      </c>
      <c r="V5" s="16" t="s">
        <v>105</v>
      </c>
      <c r="W5" s="83">
        <v>0</v>
      </c>
      <c r="X5" s="15"/>
      <c r="Y5" s="13"/>
      <c r="Z5" s="13"/>
      <c r="AA5" s="13"/>
      <c r="AB5" s="13"/>
      <c r="AC5" s="13"/>
      <c r="AD5" s="13"/>
      <c r="AE5" s="13"/>
      <c r="AF5" s="13"/>
      <c r="AG5" s="13"/>
      <c r="AH5" s="13"/>
      <c r="AI5" s="13"/>
      <c r="AJ5" s="13"/>
      <c r="AK5" s="13"/>
      <c r="AL5" s="13"/>
      <c r="AM5" s="14"/>
      <c r="AN5" s="4" cm="1">
        <f t="array" ref="AN5">Bin2DecRange($X5:$AM5)</f>
        <v>0</v>
      </c>
      <c r="AO5" s="71" t="s">
        <v>106</v>
      </c>
      <c r="AP5" s="16" t="s">
        <v>105</v>
      </c>
      <c r="AQ5" s="16">
        <v>0</v>
      </c>
      <c r="AR5" s="4">
        <v>9160</v>
      </c>
      <c r="AS5" s="71" t="s">
        <v>107</v>
      </c>
      <c r="AT5" s="16" t="s">
        <v>105</v>
      </c>
      <c r="AU5" s="75">
        <v>0</v>
      </c>
    </row>
    <row r="6" spans="1:47" x14ac:dyDescent="0.25">
      <c r="A6" s="4">
        <v>1</v>
      </c>
      <c r="B6" s="4" t="s">
        <v>80</v>
      </c>
      <c r="C6" s="5" t="str">
        <f t="shared" ref="C6:C29" si="0">IF(J6=1, "P", "")</f>
        <v/>
      </c>
      <c r="D6" s="13"/>
      <c r="E6" s="13"/>
      <c r="F6" s="13"/>
      <c r="G6" s="13"/>
      <c r="H6" s="13"/>
      <c r="I6" s="13"/>
      <c r="J6" s="13"/>
      <c r="K6" s="13"/>
      <c r="L6" s="13"/>
      <c r="M6" s="13"/>
      <c r="N6" s="13"/>
      <c r="O6" s="13"/>
      <c r="P6" s="13"/>
      <c r="Q6" s="13"/>
      <c r="R6" s="13"/>
      <c r="S6" s="14"/>
      <c r="T6" s="4">
        <f t="array" ref="T6">Bin2DecRange($D6:$S6)</f>
        <v>0</v>
      </c>
      <c r="U6" s="71" t="s">
        <v>104</v>
      </c>
      <c r="V6" s="16" t="s">
        <v>105</v>
      </c>
      <c r="W6" s="83">
        <v>1</v>
      </c>
      <c r="X6" s="15"/>
      <c r="Y6" s="13"/>
      <c r="Z6" s="13"/>
      <c r="AA6" s="13"/>
      <c r="AB6" s="13"/>
      <c r="AC6" s="13"/>
      <c r="AD6" s="13"/>
      <c r="AE6" s="13"/>
      <c r="AF6" s="13"/>
      <c r="AG6" s="13"/>
      <c r="AH6" s="13"/>
      <c r="AI6" s="13"/>
      <c r="AJ6" s="13"/>
      <c r="AK6" s="13"/>
      <c r="AL6" s="13"/>
      <c r="AM6" s="14"/>
      <c r="AN6" s="4" cm="1">
        <f t="array" ref="AN6">Bin2DecRange($X6:$AM6)</f>
        <v>0</v>
      </c>
      <c r="AO6" s="72" t="str">
        <f t="shared" ref="AO6:AO29" si="1">AO$5</f>
        <v>N21</v>
      </c>
      <c r="AP6" s="16" t="s">
        <v>105</v>
      </c>
      <c r="AQ6" s="16">
        <f>AQ5+1</f>
        <v>1</v>
      </c>
      <c r="AR6" s="4">
        <v>8</v>
      </c>
      <c r="AS6" s="72" t="str">
        <f t="shared" ref="AS6:AS29" si="2">AS$5</f>
        <v>N27</v>
      </c>
      <c r="AT6" s="16" t="s">
        <v>105</v>
      </c>
      <c r="AU6" s="75">
        <f>AU5+1</f>
        <v>1</v>
      </c>
    </row>
    <row r="7" spans="1:47" s="41" customFormat="1" x14ac:dyDescent="0.25">
      <c r="A7" s="35">
        <v>2</v>
      </c>
      <c r="B7" s="4" t="s">
        <v>81</v>
      </c>
      <c r="C7" s="38" t="str">
        <f t="shared" si="0"/>
        <v/>
      </c>
      <c r="D7" s="34"/>
      <c r="E7" s="34"/>
      <c r="F7" s="34">
        <v>1</v>
      </c>
      <c r="G7" s="34"/>
      <c r="H7" s="34"/>
      <c r="I7" s="34"/>
      <c r="J7" s="34"/>
      <c r="K7" s="34"/>
      <c r="L7" s="34"/>
      <c r="M7" s="34"/>
      <c r="N7" s="34"/>
      <c r="O7" s="34"/>
      <c r="P7" s="34"/>
      <c r="Q7" s="34"/>
      <c r="R7" s="34"/>
      <c r="S7" s="39"/>
      <c r="T7" s="35">
        <f t="array" ref="T7">Bin2DecRange($D7:$S7)</f>
        <v>8192</v>
      </c>
      <c r="U7" s="73" t="str">
        <f t="shared" ref="U7:U29" si="3">U$5</f>
        <v>N7</v>
      </c>
      <c r="V7" s="36" t="s">
        <v>105</v>
      </c>
      <c r="W7" s="37">
        <v>2</v>
      </c>
      <c r="X7" s="40"/>
      <c r="Y7" s="34"/>
      <c r="Z7" s="34"/>
      <c r="AA7" s="34"/>
      <c r="AB7" s="34"/>
      <c r="AC7" s="34"/>
      <c r="AD7" s="34"/>
      <c r="AE7" s="34"/>
      <c r="AF7" s="34"/>
      <c r="AG7" s="34"/>
      <c r="AH7" s="34"/>
      <c r="AI7" s="34"/>
      <c r="AJ7" s="34"/>
      <c r="AK7" s="34"/>
      <c r="AL7" s="34"/>
      <c r="AM7" s="39"/>
      <c r="AN7" s="35" cm="1">
        <f t="array" ref="AN7">Bin2DecRange($X7:$AM7)</f>
        <v>0</v>
      </c>
      <c r="AO7" s="73" t="str">
        <f t="shared" si="1"/>
        <v>N21</v>
      </c>
      <c r="AP7" s="36" t="s">
        <v>105</v>
      </c>
      <c r="AQ7" s="36">
        <f t="shared" ref="AQ7:AQ29" si="4">AQ6+1</f>
        <v>2</v>
      </c>
      <c r="AR7" s="35">
        <v>0</v>
      </c>
      <c r="AS7" s="73" t="str">
        <f t="shared" si="2"/>
        <v>N27</v>
      </c>
      <c r="AT7" s="36" t="s">
        <v>105</v>
      </c>
      <c r="AU7" s="76">
        <f t="shared" ref="AU7:AU29" si="5">AU6+1</f>
        <v>2</v>
      </c>
    </row>
    <row r="8" spans="1:47" s="41" customFormat="1" x14ac:dyDescent="0.25">
      <c r="A8" s="35">
        <v>3</v>
      </c>
      <c r="B8" s="4" t="s">
        <v>82</v>
      </c>
      <c r="C8" s="38" t="str">
        <f t="shared" si="0"/>
        <v/>
      </c>
      <c r="D8" s="34"/>
      <c r="E8" s="34"/>
      <c r="F8" s="34">
        <v>1</v>
      </c>
      <c r="G8" s="34">
        <v>1</v>
      </c>
      <c r="H8" s="34"/>
      <c r="I8" s="34"/>
      <c r="J8" s="34"/>
      <c r="K8" s="34"/>
      <c r="L8" s="34">
        <v>1</v>
      </c>
      <c r="M8" s="34"/>
      <c r="N8" s="34">
        <v>1</v>
      </c>
      <c r="O8" s="34"/>
      <c r="P8" s="34"/>
      <c r="Q8" s="34"/>
      <c r="R8" s="34">
        <v>1</v>
      </c>
      <c r="S8" s="39"/>
      <c r="T8" s="35">
        <f t="array" ref="T8">Bin2DecRange($D8:$S8)</f>
        <v>12450</v>
      </c>
      <c r="U8" s="73" t="str">
        <f t="shared" si="3"/>
        <v>N7</v>
      </c>
      <c r="V8" s="36" t="s">
        <v>105</v>
      </c>
      <c r="W8" s="37">
        <v>3</v>
      </c>
      <c r="X8" s="40"/>
      <c r="Y8" s="34"/>
      <c r="Z8" s="34"/>
      <c r="AA8" s="34">
        <v>1</v>
      </c>
      <c r="AB8" s="34">
        <v>1</v>
      </c>
      <c r="AC8" s="34">
        <v>1</v>
      </c>
      <c r="AD8" s="34"/>
      <c r="AE8" s="34"/>
      <c r="AF8" s="34"/>
      <c r="AG8" s="34"/>
      <c r="AH8" s="34"/>
      <c r="AI8" s="34"/>
      <c r="AJ8" s="34"/>
      <c r="AK8" s="34"/>
      <c r="AL8" s="34"/>
      <c r="AM8" s="39"/>
      <c r="AN8" s="35" cm="1">
        <f t="array" ref="AN8">Bin2DecRange($X8:$AM8)</f>
        <v>7168</v>
      </c>
      <c r="AO8" s="73" t="str">
        <f t="shared" si="1"/>
        <v>N21</v>
      </c>
      <c r="AP8" s="36" t="s">
        <v>105</v>
      </c>
      <c r="AQ8" s="36">
        <f t="shared" si="4"/>
        <v>3</v>
      </c>
      <c r="AR8" s="35">
        <v>0</v>
      </c>
      <c r="AS8" s="73" t="str">
        <f t="shared" si="2"/>
        <v>N27</v>
      </c>
      <c r="AT8" s="36" t="s">
        <v>105</v>
      </c>
      <c r="AU8" s="76">
        <f t="shared" si="5"/>
        <v>3</v>
      </c>
    </row>
    <row r="9" spans="1:47" x14ac:dyDescent="0.25">
      <c r="A9" s="4">
        <v>4</v>
      </c>
      <c r="B9" s="4" t="s">
        <v>83</v>
      </c>
      <c r="C9" s="5" t="str">
        <f t="shared" si="0"/>
        <v>P</v>
      </c>
      <c r="D9" s="13"/>
      <c r="E9" s="13"/>
      <c r="F9" s="13">
        <v>1</v>
      </c>
      <c r="G9" s="13">
        <v>1</v>
      </c>
      <c r="H9" s="13">
        <v>1</v>
      </c>
      <c r="I9" s="13">
        <v>1</v>
      </c>
      <c r="J9" s="13">
        <v>1</v>
      </c>
      <c r="K9" s="13"/>
      <c r="L9" s="13"/>
      <c r="M9" s="13"/>
      <c r="N9" s="13"/>
      <c r="O9" s="13"/>
      <c r="P9" s="13"/>
      <c r="Q9" s="13"/>
      <c r="R9" s="13">
        <v>1</v>
      </c>
      <c r="S9" s="14"/>
      <c r="T9" s="4">
        <f t="array" ref="T9">Bin2DecRange($D9:$S9)</f>
        <v>15874</v>
      </c>
      <c r="U9" s="73" t="str">
        <f t="shared" si="3"/>
        <v>N7</v>
      </c>
      <c r="V9" s="16" t="s">
        <v>105</v>
      </c>
      <c r="W9" s="83">
        <v>4</v>
      </c>
      <c r="X9" s="15"/>
      <c r="Y9" s="13"/>
      <c r="Z9" s="13"/>
      <c r="AA9" s="13"/>
      <c r="AB9" s="13"/>
      <c r="AC9" s="13"/>
      <c r="AD9" s="13"/>
      <c r="AE9" s="13"/>
      <c r="AF9" s="13"/>
      <c r="AG9" s="13"/>
      <c r="AH9" s="13"/>
      <c r="AI9" s="13"/>
      <c r="AJ9" s="13"/>
      <c r="AK9" s="13"/>
      <c r="AL9" s="13"/>
      <c r="AM9" s="14"/>
      <c r="AN9" s="4" cm="1">
        <f t="array" ref="AN9">Bin2DecRange($X9:$AM9)</f>
        <v>0</v>
      </c>
      <c r="AO9" s="73" t="str">
        <f t="shared" si="1"/>
        <v>N21</v>
      </c>
      <c r="AP9" s="16" t="s">
        <v>105</v>
      </c>
      <c r="AQ9" s="16">
        <f t="shared" si="4"/>
        <v>4</v>
      </c>
      <c r="AR9" s="4">
        <v>0</v>
      </c>
      <c r="AS9" s="73" t="str">
        <f t="shared" si="2"/>
        <v>N27</v>
      </c>
      <c r="AT9" s="16" t="s">
        <v>105</v>
      </c>
      <c r="AU9" s="75">
        <f t="shared" si="5"/>
        <v>4</v>
      </c>
    </row>
    <row r="10" spans="1:47" x14ac:dyDescent="0.25">
      <c r="A10" s="4">
        <v>5</v>
      </c>
      <c r="B10" s="4" t="s">
        <v>84</v>
      </c>
      <c r="C10" s="5" t="str">
        <f t="shared" si="0"/>
        <v/>
      </c>
      <c r="D10" s="13"/>
      <c r="E10" s="13"/>
      <c r="F10" s="13"/>
      <c r="G10" s="13"/>
      <c r="H10" s="13">
        <v>1</v>
      </c>
      <c r="I10" s="13"/>
      <c r="J10" s="13"/>
      <c r="K10" s="13"/>
      <c r="L10" s="13"/>
      <c r="M10" s="13"/>
      <c r="N10" s="13"/>
      <c r="O10" s="13"/>
      <c r="P10" s="13"/>
      <c r="Q10" s="13"/>
      <c r="R10" s="13"/>
      <c r="S10" s="14"/>
      <c r="T10" s="4">
        <f t="array" ref="T10">Bin2DecRange($D10:$S10)</f>
        <v>2048</v>
      </c>
      <c r="U10" s="73" t="str">
        <f t="shared" si="3"/>
        <v>N7</v>
      </c>
      <c r="V10" s="16" t="s">
        <v>105</v>
      </c>
      <c r="W10" s="83">
        <v>5</v>
      </c>
      <c r="X10" s="15"/>
      <c r="Y10" s="13"/>
      <c r="Z10" s="13"/>
      <c r="AA10" s="13"/>
      <c r="AB10" s="13"/>
      <c r="AC10" s="13"/>
      <c r="AD10" s="13"/>
      <c r="AE10" s="13"/>
      <c r="AF10" s="13"/>
      <c r="AG10" s="13"/>
      <c r="AH10" s="13"/>
      <c r="AI10" s="13"/>
      <c r="AJ10" s="13"/>
      <c r="AK10" s="13"/>
      <c r="AL10" s="13"/>
      <c r="AM10" s="14"/>
      <c r="AN10" s="4" cm="1">
        <f t="array" ref="AN10">Bin2DecRange($X10:$AM10)</f>
        <v>0</v>
      </c>
      <c r="AO10" s="73" t="str">
        <f t="shared" si="1"/>
        <v>N21</v>
      </c>
      <c r="AP10" s="16" t="s">
        <v>105</v>
      </c>
      <c r="AQ10" s="16">
        <f t="shared" si="4"/>
        <v>5</v>
      </c>
      <c r="AR10" s="4">
        <v>50</v>
      </c>
      <c r="AS10" s="73" t="str">
        <f t="shared" si="2"/>
        <v>N27</v>
      </c>
      <c r="AT10" s="16" t="s">
        <v>105</v>
      </c>
      <c r="AU10" s="75">
        <f t="shared" si="5"/>
        <v>5</v>
      </c>
    </row>
    <row r="11" spans="1:47" x14ac:dyDescent="0.25">
      <c r="A11" s="4">
        <v>6</v>
      </c>
      <c r="B11" s="4" t="s">
        <v>85</v>
      </c>
      <c r="C11" s="5" t="str">
        <f t="shared" si="0"/>
        <v/>
      </c>
      <c r="D11" s="13"/>
      <c r="E11" s="13"/>
      <c r="F11" s="13"/>
      <c r="G11" s="13"/>
      <c r="H11" s="13"/>
      <c r="I11" s="13"/>
      <c r="J11" s="13"/>
      <c r="K11" s="13"/>
      <c r="L11" s="13"/>
      <c r="M11" s="13"/>
      <c r="N11" s="13"/>
      <c r="O11" s="13"/>
      <c r="P11" s="13"/>
      <c r="Q11" s="13"/>
      <c r="R11" s="13"/>
      <c r="S11" s="14"/>
      <c r="T11" s="4">
        <f t="array" ref="T11">Bin2DecRange($D11:$S11)</f>
        <v>0</v>
      </c>
      <c r="U11" s="73" t="str">
        <f t="shared" si="3"/>
        <v>N7</v>
      </c>
      <c r="V11" s="16" t="s">
        <v>105</v>
      </c>
      <c r="W11" s="83">
        <v>6</v>
      </c>
      <c r="X11" s="15"/>
      <c r="Y11" s="13"/>
      <c r="Z11" s="13"/>
      <c r="AA11" s="13"/>
      <c r="AB11" s="13"/>
      <c r="AC11" s="13"/>
      <c r="AD11" s="13"/>
      <c r="AE11" s="13"/>
      <c r="AF11" s="13"/>
      <c r="AG11" s="13"/>
      <c r="AH11" s="13"/>
      <c r="AI11" s="13"/>
      <c r="AJ11" s="13"/>
      <c r="AK11" s="13"/>
      <c r="AL11" s="13"/>
      <c r="AM11" s="14"/>
      <c r="AN11" s="4" cm="1">
        <f t="array" ref="AN11">Bin2DecRange($X11:$AM11)</f>
        <v>0</v>
      </c>
      <c r="AO11" s="73" t="str">
        <f t="shared" si="1"/>
        <v>N21</v>
      </c>
      <c r="AP11" s="16" t="s">
        <v>105</v>
      </c>
      <c r="AQ11" s="16">
        <f t="shared" si="4"/>
        <v>6</v>
      </c>
      <c r="AR11" s="4">
        <v>50</v>
      </c>
      <c r="AS11" s="73" t="str">
        <f t="shared" si="2"/>
        <v>N27</v>
      </c>
      <c r="AT11" s="16" t="s">
        <v>105</v>
      </c>
      <c r="AU11" s="75">
        <f t="shared" si="5"/>
        <v>6</v>
      </c>
    </row>
    <row r="12" spans="1:47" x14ac:dyDescent="0.25">
      <c r="A12" s="4">
        <v>7</v>
      </c>
      <c r="B12" s="4" t="s">
        <v>86</v>
      </c>
      <c r="C12" s="5" t="str">
        <f t="shared" si="0"/>
        <v/>
      </c>
      <c r="D12" s="13"/>
      <c r="E12" s="13"/>
      <c r="F12" s="13"/>
      <c r="G12" s="13"/>
      <c r="H12" s="13"/>
      <c r="I12" s="13"/>
      <c r="J12" s="13"/>
      <c r="K12" s="13"/>
      <c r="L12" s="13">
        <v>1</v>
      </c>
      <c r="M12" s="13"/>
      <c r="N12" s="13"/>
      <c r="O12" s="13"/>
      <c r="P12" s="13"/>
      <c r="Q12" s="13"/>
      <c r="R12" s="13"/>
      <c r="S12" s="14"/>
      <c r="T12" s="4">
        <f t="array" ref="T12">Bin2DecRange($D12:$S12)</f>
        <v>128</v>
      </c>
      <c r="U12" s="73" t="str">
        <f t="shared" si="3"/>
        <v>N7</v>
      </c>
      <c r="V12" s="16" t="s">
        <v>105</v>
      </c>
      <c r="W12" s="83">
        <v>7</v>
      </c>
      <c r="X12" s="15"/>
      <c r="Y12" s="13"/>
      <c r="Z12" s="13"/>
      <c r="AA12" s="13"/>
      <c r="AB12" s="13"/>
      <c r="AC12" s="13"/>
      <c r="AD12" s="13"/>
      <c r="AE12" s="13"/>
      <c r="AF12" s="13"/>
      <c r="AG12" s="13"/>
      <c r="AH12" s="13"/>
      <c r="AI12" s="13"/>
      <c r="AJ12" s="13"/>
      <c r="AK12" s="13"/>
      <c r="AL12" s="13"/>
      <c r="AM12" s="14"/>
      <c r="AN12" s="4" cm="1">
        <f t="array" ref="AN12">Bin2DecRange($X12:$AM12)</f>
        <v>0</v>
      </c>
      <c r="AO12" s="73" t="str">
        <f t="shared" si="1"/>
        <v>N21</v>
      </c>
      <c r="AP12" s="16" t="s">
        <v>105</v>
      </c>
      <c r="AQ12" s="16">
        <f t="shared" si="4"/>
        <v>7</v>
      </c>
      <c r="AR12" s="4">
        <v>50</v>
      </c>
      <c r="AS12" s="73" t="str">
        <f t="shared" si="2"/>
        <v>N27</v>
      </c>
      <c r="AT12" s="16" t="s">
        <v>105</v>
      </c>
      <c r="AU12" s="75">
        <f t="shared" si="5"/>
        <v>7</v>
      </c>
    </row>
    <row r="13" spans="1:47" s="41" customFormat="1" x14ac:dyDescent="0.25">
      <c r="A13" s="35">
        <v>8</v>
      </c>
      <c r="B13" s="4" t="s">
        <v>87</v>
      </c>
      <c r="C13" s="38" t="str">
        <f t="shared" si="0"/>
        <v/>
      </c>
      <c r="D13" s="34"/>
      <c r="E13" s="34"/>
      <c r="F13" s="34"/>
      <c r="G13" s="34"/>
      <c r="H13" s="34"/>
      <c r="I13" s="34">
        <v>1</v>
      </c>
      <c r="J13" s="34"/>
      <c r="K13" s="34"/>
      <c r="L13" s="34">
        <v>1</v>
      </c>
      <c r="M13" s="34"/>
      <c r="N13" s="34"/>
      <c r="O13" s="34"/>
      <c r="P13" s="34"/>
      <c r="Q13" s="34"/>
      <c r="R13" s="34">
        <v>1</v>
      </c>
      <c r="S13" s="39"/>
      <c r="T13" s="35">
        <f t="array" ref="T13">Bin2DecRange($D13:$S13)</f>
        <v>1154</v>
      </c>
      <c r="U13" s="73" t="str">
        <f t="shared" si="3"/>
        <v>N7</v>
      </c>
      <c r="V13" s="36" t="s">
        <v>105</v>
      </c>
      <c r="W13" s="37">
        <v>8</v>
      </c>
      <c r="X13" s="40"/>
      <c r="Y13" s="34"/>
      <c r="Z13" s="34"/>
      <c r="AA13" s="34"/>
      <c r="AB13" s="34"/>
      <c r="AC13" s="34"/>
      <c r="AD13" s="34"/>
      <c r="AE13" s="34"/>
      <c r="AF13" s="34"/>
      <c r="AG13" s="34"/>
      <c r="AH13" s="34"/>
      <c r="AI13" s="34"/>
      <c r="AJ13" s="34"/>
      <c r="AK13" s="34"/>
      <c r="AL13" s="34"/>
      <c r="AM13" s="39"/>
      <c r="AN13" s="35" cm="1">
        <f t="array" ref="AN13">Bin2DecRange($X13:$AM13)</f>
        <v>0</v>
      </c>
      <c r="AO13" s="73" t="str">
        <f t="shared" si="1"/>
        <v>N21</v>
      </c>
      <c r="AP13" s="36" t="s">
        <v>105</v>
      </c>
      <c r="AQ13" s="36">
        <f t="shared" si="4"/>
        <v>8</v>
      </c>
      <c r="AR13" s="35">
        <v>50</v>
      </c>
      <c r="AS13" s="73" t="str">
        <f t="shared" si="2"/>
        <v>N27</v>
      </c>
      <c r="AT13" s="36" t="s">
        <v>105</v>
      </c>
      <c r="AU13" s="76">
        <f t="shared" si="5"/>
        <v>8</v>
      </c>
    </row>
    <row r="14" spans="1:47" s="54" customFormat="1" x14ac:dyDescent="0.25">
      <c r="A14" s="48">
        <v>9</v>
      </c>
      <c r="B14" s="4" t="s">
        <v>88</v>
      </c>
      <c r="C14" s="38" t="str">
        <f t="shared" si="0"/>
        <v/>
      </c>
      <c r="D14" s="51"/>
      <c r="E14" s="51"/>
      <c r="F14" s="51"/>
      <c r="G14" s="51"/>
      <c r="H14" s="51"/>
      <c r="I14" s="51"/>
      <c r="J14" s="51"/>
      <c r="K14" s="51">
        <v>1</v>
      </c>
      <c r="L14" s="51"/>
      <c r="M14" s="51"/>
      <c r="N14" s="51"/>
      <c r="O14" s="51">
        <v>1</v>
      </c>
      <c r="P14" s="51">
        <v>1</v>
      </c>
      <c r="Q14" s="51"/>
      <c r="R14" s="51"/>
      <c r="S14" s="52"/>
      <c r="T14" s="48">
        <f t="array" ref="T14">Bin2DecRange($D14:$S14)</f>
        <v>280</v>
      </c>
      <c r="U14" s="73" t="str">
        <f t="shared" si="3"/>
        <v>N7</v>
      </c>
      <c r="V14" s="49" t="s">
        <v>105</v>
      </c>
      <c r="W14" s="50">
        <v>9</v>
      </c>
      <c r="X14" s="53"/>
      <c r="Y14" s="51"/>
      <c r="Z14" s="51"/>
      <c r="AA14" s="51"/>
      <c r="AB14" s="51"/>
      <c r="AC14" s="51"/>
      <c r="AD14" s="51"/>
      <c r="AE14" s="51"/>
      <c r="AF14" s="51"/>
      <c r="AG14" s="51"/>
      <c r="AH14" s="51"/>
      <c r="AI14" s="51"/>
      <c r="AJ14" s="51"/>
      <c r="AK14" s="51"/>
      <c r="AL14" s="51"/>
      <c r="AM14" s="52"/>
      <c r="AN14" s="48" cm="1">
        <f t="array" ref="AN14">Bin2DecRange($X14:$AM14)</f>
        <v>0</v>
      </c>
      <c r="AO14" s="73" t="str">
        <f t="shared" si="1"/>
        <v>N21</v>
      </c>
      <c r="AP14" s="49" t="s">
        <v>105</v>
      </c>
      <c r="AQ14" s="49">
        <f t="shared" si="4"/>
        <v>9</v>
      </c>
      <c r="AR14" s="48">
        <v>50</v>
      </c>
      <c r="AS14" s="73" t="str">
        <f t="shared" si="2"/>
        <v>N27</v>
      </c>
      <c r="AT14" s="49" t="s">
        <v>105</v>
      </c>
      <c r="AU14" s="77">
        <f t="shared" si="5"/>
        <v>9</v>
      </c>
    </row>
    <row r="15" spans="1:47" s="41" customFormat="1" x14ac:dyDescent="0.25">
      <c r="A15" s="35">
        <v>10</v>
      </c>
      <c r="B15" s="4" t="s">
        <v>89</v>
      </c>
      <c r="C15" s="38" t="str">
        <f t="shared" si="0"/>
        <v/>
      </c>
      <c r="D15" s="34"/>
      <c r="E15" s="34"/>
      <c r="F15" s="34"/>
      <c r="G15" s="34"/>
      <c r="H15" s="34"/>
      <c r="I15" s="34"/>
      <c r="J15" s="34"/>
      <c r="K15" s="34"/>
      <c r="L15" s="34"/>
      <c r="M15" s="34"/>
      <c r="N15" s="34"/>
      <c r="O15" s="34"/>
      <c r="P15" s="34"/>
      <c r="Q15" s="34"/>
      <c r="R15" s="34"/>
      <c r="S15" s="39"/>
      <c r="T15" s="35">
        <f t="array" ref="T15">Bin2DecRange($D15:$S15)</f>
        <v>0</v>
      </c>
      <c r="U15" s="73" t="str">
        <f t="shared" si="3"/>
        <v>N7</v>
      </c>
      <c r="V15" s="36" t="s">
        <v>105</v>
      </c>
      <c r="W15" s="37">
        <v>10</v>
      </c>
      <c r="X15" s="40"/>
      <c r="Y15" s="34"/>
      <c r="Z15" s="34"/>
      <c r="AA15" s="34"/>
      <c r="AB15" s="34"/>
      <c r="AC15" s="34"/>
      <c r="AD15" s="34"/>
      <c r="AE15" s="34"/>
      <c r="AF15" s="34"/>
      <c r="AG15" s="34"/>
      <c r="AH15" s="34"/>
      <c r="AI15" s="34"/>
      <c r="AJ15" s="34"/>
      <c r="AK15" s="34"/>
      <c r="AL15" s="34"/>
      <c r="AM15" s="39"/>
      <c r="AN15" s="35" cm="1">
        <f t="array" ref="AN15">Bin2DecRange($X15:$AM15)</f>
        <v>0</v>
      </c>
      <c r="AO15" s="73" t="str">
        <f t="shared" si="1"/>
        <v>N21</v>
      </c>
      <c r="AP15" s="36" t="s">
        <v>105</v>
      </c>
      <c r="AQ15" s="36">
        <f t="shared" si="4"/>
        <v>10</v>
      </c>
      <c r="AR15" s="35">
        <v>0</v>
      </c>
      <c r="AS15" s="73" t="str">
        <f t="shared" si="2"/>
        <v>N27</v>
      </c>
      <c r="AT15" s="36" t="s">
        <v>105</v>
      </c>
      <c r="AU15" s="76">
        <f t="shared" si="5"/>
        <v>10</v>
      </c>
    </row>
    <row r="16" spans="1:47" x14ac:dyDescent="0.25">
      <c r="A16" s="4">
        <v>11</v>
      </c>
      <c r="B16" s="4" t="s">
        <v>90</v>
      </c>
      <c r="C16" s="5" t="str">
        <f t="shared" si="0"/>
        <v/>
      </c>
      <c r="D16" s="13"/>
      <c r="E16" s="13"/>
      <c r="F16" s="13"/>
      <c r="G16" s="13"/>
      <c r="H16" s="13"/>
      <c r="I16" s="13"/>
      <c r="J16" s="13"/>
      <c r="K16" s="13"/>
      <c r="L16" s="13"/>
      <c r="M16" s="13"/>
      <c r="N16" s="13"/>
      <c r="O16" s="13"/>
      <c r="P16" s="13"/>
      <c r="Q16" s="13"/>
      <c r="R16" s="13"/>
      <c r="S16" s="14"/>
      <c r="T16" s="4">
        <f t="array" ref="T16">Bin2DecRange($D16:$S16)</f>
        <v>0</v>
      </c>
      <c r="U16" s="73" t="str">
        <f t="shared" si="3"/>
        <v>N7</v>
      </c>
      <c r="V16" s="16" t="s">
        <v>105</v>
      </c>
      <c r="W16" s="83">
        <v>11</v>
      </c>
      <c r="X16" s="15"/>
      <c r="Y16" s="13"/>
      <c r="Z16" s="13"/>
      <c r="AA16" s="13"/>
      <c r="AB16" s="13"/>
      <c r="AC16" s="13"/>
      <c r="AD16" s="13"/>
      <c r="AE16" s="13"/>
      <c r="AF16" s="13"/>
      <c r="AG16" s="13"/>
      <c r="AH16" s="13"/>
      <c r="AI16" s="13"/>
      <c r="AJ16" s="13"/>
      <c r="AK16" s="13"/>
      <c r="AL16" s="13"/>
      <c r="AM16" s="14"/>
      <c r="AN16" s="4" cm="1">
        <f t="array" ref="AN16">Bin2DecRange($X16:$AM16)</f>
        <v>0</v>
      </c>
      <c r="AO16" s="73" t="str">
        <f t="shared" si="1"/>
        <v>N21</v>
      </c>
      <c r="AP16" s="16" t="s">
        <v>105</v>
      </c>
      <c r="AQ16" s="16">
        <f t="shared" si="4"/>
        <v>11</v>
      </c>
      <c r="AR16" s="4">
        <v>50</v>
      </c>
      <c r="AS16" s="73" t="str">
        <f t="shared" si="2"/>
        <v>N27</v>
      </c>
      <c r="AT16" s="16" t="s">
        <v>105</v>
      </c>
      <c r="AU16" s="75">
        <f t="shared" si="5"/>
        <v>11</v>
      </c>
    </row>
    <row r="17" spans="1:47" x14ac:dyDescent="0.25">
      <c r="A17" s="4">
        <v>12</v>
      </c>
      <c r="B17" s="4" t="s">
        <v>91</v>
      </c>
      <c r="C17" s="5" t="str">
        <f t="shared" si="0"/>
        <v/>
      </c>
      <c r="D17" s="13"/>
      <c r="E17" s="13"/>
      <c r="F17" s="13"/>
      <c r="G17" s="13"/>
      <c r="H17" s="13"/>
      <c r="I17" s="13"/>
      <c r="J17" s="13"/>
      <c r="K17" s="13"/>
      <c r="L17" s="13"/>
      <c r="M17" s="13">
        <v>1</v>
      </c>
      <c r="N17" s="13">
        <v>1</v>
      </c>
      <c r="O17" s="13"/>
      <c r="P17" s="13"/>
      <c r="Q17" s="13">
        <v>1</v>
      </c>
      <c r="R17" s="13"/>
      <c r="S17" s="14"/>
      <c r="T17" s="4">
        <f t="array" ref="T17">Bin2DecRange($D17:$S17)</f>
        <v>100</v>
      </c>
      <c r="U17" s="73" t="str">
        <f t="shared" si="3"/>
        <v>N7</v>
      </c>
      <c r="V17" s="16" t="s">
        <v>105</v>
      </c>
      <c r="W17" s="83">
        <v>12</v>
      </c>
      <c r="X17" s="15"/>
      <c r="Y17" s="13"/>
      <c r="Z17" s="13"/>
      <c r="AA17" s="13"/>
      <c r="AB17" s="13"/>
      <c r="AC17" s="13"/>
      <c r="AD17" s="13"/>
      <c r="AE17" s="13"/>
      <c r="AF17" s="13"/>
      <c r="AG17" s="13"/>
      <c r="AH17" s="13"/>
      <c r="AI17" s="13"/>
      <c r="AJ17" s="13"/>
      <c r="AK17" s="13"/>
      <c r="AL17" s="13"/>
      <c r="AM17" s="14"/>
      <c r="AN17" s="4" cm="1">
        <f t="array" ref="AN17">Bin2DecRange($X17:$AM17)</f>
        <v>0</v>
      </c>
      <c r="AO17" s="73" t="str">
        <f t="shared" si="1"/>
        <v>N21</v>
      </c>
      <c r="AP17" s="16" t="s">
        <v>105</v>
      </c>
      <c r="AQ17" s="16">
        <f t="shared" si="4"/>
        <v>12</v>
      </c>
      <c r="AR17" s="4">
        <v>280</v>
      </c>
      <c r="AS17" s="73" t="str">
        <f t="shared" si="2"/>
        <v>N27</v>
      </c>
      <c r="AT17" s="16" t="s">
        <v>105</v>
      </c>
      <c r="AU17" s="75">
        <f t="shared" si="5"/>
        <v>12</v>
      </c>
    </row>
    <row r="18" spans="1:47" x14ac:dyDescent="0.25">
      <c r="A18" s="4">
        <v>13</v>
      </c>
      <c r="B18" s="4" t="s">
        <v>92</v>
      </c>
      <c r="C18" s="5" t="str">
        <f t="shared" si="0"/>
        <v/>
      </c>
      <c r="D18" s="13"/>
      <c r="E18" s="13"/>
      <c r="F18" s="13"/>
      <c r="G18" s="13"/>
      <c r="H18" s="13"/>
      <c r="I18" s="13"/>
      <c r="J18" s="13"/>
      <c r="K18" s="13"/>
      <c r="L18" s="13"/>
      <c r="M18" s="13">
        <v>1</v>
      </c>
      <c r="N18" s="13">
        <v>1</v>
      </c>
      <c r="O18" s="13"/>
      <c r="P18" s="13">
        <v>1</v>
      </c>
      <c r="Q18" s="13">
        <v>1</v>
      </c>
      <c r="R18" s="13">
        <v>1</v>
      </c>
      <c r="S18" s="14"/>
      <c r="T18" s="4">
        <f t="array" ref="T18">Bin2DecRange($D18:$S18)</f>
        <v>110</v>
      </c>
      <c r="U18" s="73" t="str">
        <f t="shared" si="3"/>
        <v>N7</v>
      </c>
      <c r="V18" s="16" t="s">
        <v>105</v>
      </c>
      <c r="W18" s="83">
        <v>13</v>
      </c>
      <c r="X18" s="15"/>
      <c r="Y18" s="13"/>
      <c r="Z18" s="13"/>
      <c r="AA18" s="13"/>
      <c r="AB18" s="13"/>
      <c r="AC18" s="13"/>
      <c r="AD18" s="13"/>
      <c r="AE18" s="13"/>
      <c r="AF18" s="13"/>
      <c r="AG18" s="13"/>
      <c r="AH18" s="13"/>
      <c r="AI18" s="13"/>
      <c r="AJ18" s="13"/>
      <c r="AK18" s="13"/>
      <c r="AL18" s="13"/>
      <c r="AM18" s="14"/>
      <c r="AN18" s="4" cm="1">
        <f t="array" ref="AN18">Bin2DecRange($X18:$AM18)</f>
        <v>0</v>
      </c>
      <c r="AO18" s="73" t="str">
        <f t="shared" si="1"/>
        <v>N21</v>
      </c>
      <c r="AP18" s="16" t="s">
        <v>105</v>
      </c>
      <c r="AQ18" s="16">
        <f t="shared" si="4"/>
        <v>13</v>
      </c>
      <c r="AR18" s="4">
        <v>0</v>
      </c>
      <c r="AS18" s="73" t="str">
        <f t="shared" si="2"/>
        <v>N27</v>
      </c>
      <c r="AT18" s="16" t="s">
        <v>105</v>
      </c>
      <c r="AU18" s="75">
        <f t="shared" si="5"/>
        <v>13</v>
      </c>
    </row>
    <row r="19" spans="1:47" x14ac:dyDescent="0.25">
      <c r="A19" s="4">
        <v>14</v>
      </c>
      <c r="B19" s="4" t="s">
        <v>93</v>
      </c>
      <c r="C19" s="5" t="str">
        <f t="shared" si="0"/>
        <v/>
      </c>
      <c r="D19" s="13"/>
      <c r="E19" s="13"/>
      <c r="F19" s="13"/>
      <c r="G19" s="13"/>
      <c r="H19" s="13"/>
      <c r="I19" s="13"/>
      <c r="J19" s="13"/>
      <c r="K19" s="13"/>
      <c r="L19" s="13"/>
      <c r="M19" s="13"/>
      <c r="N19" s="13"/>
      <c r="O19" s="13"/>
      <c r="P19" s="13"/>
      <c r="Q19" s="13"/>
      <c r="R19" s="13"/>
      <c r="S19" s="14"/>
      <c r="T19" s="4">
        <f t="array" ref="T19">Bin2DecRange($D19:$S19)</f>
        <v>0</v>
      </c>
      <c r="U19" s="73" t="str">
        <f t="shared" si="3"/>
        <v>N7</v>
      </c>
      <c r="V19" s="16" t="s">
        <v>105</v>
      </c>
      <c r="W19" s="83">
        <v>14</v>
      </c>
      <c r="X19" s="15"/>
      <c r="Y19" s="13"/>
      <c r="Z19" s="13"/>
      <c r="AA19" s="13"/>
      <c r="AB19" s="13"/>
      <c r="AC19" s="13"/>
      <c r="AD19" s="13"/>
      <c r="AE19" s="13"/>
      <c r="AF19" s="13"/>
      <c r="AG19" s="13"/>
      <c r="AH19" s="13"/>
      <c r="AI19" s="13"/>
      <c r="AJ19" s="13"/>
      <c r="AK19" s="13"/>
      <c r="AL19" s="13"/>
      <c r="AM19" s="14"/>
      <c r="AN19" s="4" cm="1">
        <f t="array" ref="AN19">Bin2DecRange($X19:$AM19)</f>
        <v>0</v>
      </c>
      <c r="AO19" s="73" t="str">
        <f t="shared" si="1"/>
        <v>N21</v>
      </c>
      <c r="AP19" s="16" t="s">
        <v>105</v>
      </c>
      <c r="AQ19" s="16">
        <f t="shared" si="4"/>
        <v>14</v>
      </c>
      <c r="AR19" s="4">
        <v>0</v>
      </c>
      <c r="AS19" s="73" t="str">
        <f t="shared" si="2"/>
        <v>N27</v>
      </c>
      <c r="AT19" s="16" t="s">
        <v>105</v>
      </c>
      <c r="AU19" s="75">
        <f t="shared" si="5"/>
        <v>14</v>
      </c>
    </row>
    <row r="20" spans="1:47" x14ac:dyDescent="0.25">
      <c r="A20" s="4">
        <v>15</v>
      </c>
      <c r="B20" s="4" t="s">
        <v>94</v>
      </c>
      <c r="C20" s="5" t="str">
        <f t="shared" si="0"/>
        <v/>
      </c>
      <c r="D20" s="13"/>
      <c r="E20" s="13"/>
      <c r="F20" s="13"/>
      <c r="G20" s="13"/>
      <c r="H20" s="13"/>
      <c r="I20" s="13"/>
      <c r="J20" s="13"/>
      <c r="K20" s="13"/>
      <c r="L20" s="13">
        <v>1</v>
      </c>
      <c r="M20" s="13"/>
      <c r="N20" s="13">
        <v>1</v>
      </c>
      <c r="O20" s="13">
        <v>1</v>
      </c>
      <c r="P20" s="13"/>
      <c r="Q20" s="13"/>
      <c r="R20" s="13"/>
      <c r="S20" s="14"/>
      <c r="T20" s="4">
        <f t="array" ref="T20">Bin2DecRange($D20:$S20)</f>
        <v>176</v>
      </c>
      <c r="U20" s="73" t="str">
        <f t="shared" si="3"/>
        <v>N7</v>
      </c>
      <c r="V20" s="16" t="s">
        <v>105</v>
      </c>
      <c r="W20" s="83">
        <v>15</v>
      </c>
      <c r="X20" s="15"/>
      <c r="Y20" s="13"/>
      <c r="Z20" s="13"/>
      <c r="AA20" s="13"/>
      <c r="AB20" s="13"/>
      <c r="AC20" s="13"/>
      <c r="AD20" s="13"/>
      <c r="AE20" s="13"/>
      <c r="AF20" s="13"/>
      <c r="AG20" s="13"/>
      <c r="AH20" s="13"/>
      <c r="AI20" s="13"/>
      <c r="AJ20" s="13"/>
      <c r="AK20" s="13"/>
      <c r="AL20" s="13"/>
      <c r="AM20" s="14"/>
      <c r="AN20" s="4" cm="1">
        <f t="array" ref="AN20">Bin2DecRange($X20:$AM20)</f>
        <v>0</v>
      </c>
      <c r="AO20" s="73" t="str">
        <f t="shared" si="1"/>
        <v>N21</v>
      </c>
      <c r="AP20" s="16" t="s">
        <v>105</v>
      </c>
      <c r="AQ20" s="16">
        <f t="shared" si="4"/>
        <v>15</v>
      </c>
      <c r="AR20" s="4">
        <v>0</v>
      </c>
      <c r="AS20" s="73" t="str">
        <f t="shared" si="2"/>
        <v>N27</v>
      </c>
      <c r="AT20" s="16" t="s">
        <v>105</v>
      </c>
      <c r="AU20" s="75">
        <f t="shared" si="5"/>
        <v>15</v>
      </c>
    </row>
    <row r="21" spans="1:47" x14ac:dyDescent="0.25">
      <c r="A21" s="4">
        <v>16</v>
      </c>
      <c r="B21" s="4" t="s">
        <v>95</v>
      </c>
      <c r="C21" s="5" t="str">
        <f t="shared" si="0"/>
        <v/>
      </c>
      <c r="D21" s="13"/>
      <c r="E21" s="13"/>
      <c r="F21" s="13"/>
      <c r="G21" s="13"/>
      <c r="H21" s="13"/>
      <c r="I21" s="13"/>
      <c r="J21" s="13"/>
      <c r="K21" s="13">
        <v>1</v>
      </c>
      <c r="L21" s="13">
        <v>1</v>
      </c>
      <c r="M21" s="13"/>
      <c r="N21" s="13"/>
      <c r="O21" s="13"/>
      <c r="P21" s="13"/>
      <c r="Q21" s="13">
        <v>1</v>
      </c>
      <c r="R21" s="13">
        <v>1</v>
      </c>
      <c r="S21" s="14"/>
      <c r="T21" s="4">
        <f t="array" ref="T21">Bin2DecRange($D21:$S21)</f>
        <v>390</v>
      </c>
      <c r="U21" s="73" t="str">
        <f t="shared" si="3"/>
        <v>N7</v>
      </c>
      <c r="V21" s="16" t="s">
        <v>105</v>
      </c>
      <c r="W21" s="83">
        <v>16</v>
      </c>
      <c r="X21" s="15"/>
      <c r="Y21" s="13"/>
      <c r="Z21" s="13"/>
      <c r="AA21" s="13"/>
      <c r="AB21" s="13"/>
      <c r="AC21" s="13"/>
      <c r="AD21" s="13"/>
      <c r="AE21" s="13"/>
      <c r="AF21" s="13"/>
      <c r="AG21" s="13"/>
      <c r="AH21" s="13"/>
      <c r="AI21" s="13"/>
      <c r="AJ21" s="13"/>
      <c r="AK21" s="13"/>
      <c r="AL21" s="13"/>
      <c r="AM21" s="14"/>
      <c r="AN21" s="4" cm="1">
        <f t="array" ref="AN21">Bin2DecRange($X21:$AM21)</f>
        <v>0</v>
      </c>
      <c r="AO21" s="73" t="str">
        <f t="shared" si="1"/>
        <v>N21</v>
      </c>
      <c r="AP21" s="16" t="s">
        <v>105</v>
      </c>
      <c r="AQ21" s="16">
        <f t="shared" si="4"/>
        <v>16</v>
      </c>
      <c r="AR21" s="4">
        <v>0</v>
      </c>
      <c r="AS21" s="73" t="str">
        <f t="shared" si="2"/>
        <v>N27</v>
      </c>
      <c r="AT21" s="16" t="s">
        <v>105</v>
      </c>
      <c r="AU21" s="75">
        <f t="shared" si="5"/>
        <v>16</v>
      </c>
    </row>
    <row r="22" spans="1:47" x14ac:dyDescent="0.25">
      <c r="A22" s="4">
        <v>17</v>
      </c>
      <c r="B22" s="4" t="s">
        <v>96</v>
      </c>
      <c r="C22" s="5" t="str">
        <f t="shared" si="0"/>
        <v/>
      </c>
      <c r="D22" s="13"/>
      <c r="E22" s="13"/>
      <c r="F22" s="13"/>
      <c r="G22" s="13"/>
      <c r="H22" s="13"/>
      <c r="I22" s="13"/>
      <c r="J22" s="13"/>
      <c r="K22" s="13">
        <v>1</v>
      </c>
      <c r="L22" s="13">
        <v>1</v>
      </c>
      <c r="M22" s="13"/>
      <c r="N22" s="13"/>
      <c r="O22" s="13"/>
      <c r="P22" s="13"/>
      <c r="Q22" s="13">
        <v>1</v>
      </c>
      <c r="R22" s="13">
        <v>1</v>
      </c>
      <c r="S22" s="14">
        <v>1</v>
      </c>
      <c r="T22" s="4">
        <f t="array" ref="T22">Bin2DecRange($D22:$S22)</f>
        <v>391</v>
      </c>
      <c r="U22" s="73" t="str">
        <f t="shared" si="3"/>
        <v>N7</v>
      </c>
      <c r="V22" s="16" t="s">
        <v>105</v>
      </c>
      <c r="W22" s="83">
        <v>17</v>
      </c>
      <c r="X22" s="15"/>
      <c r="Y22" s="13"/>
      <c r="Z22" s="13"/>
      <c r="AA22" s="13"/>
      <c r="AB22" s="13"/>
      <c r="AC22" s="13"/>
      <c r="AD22" s="13"/>
      <c r="AE22" s="13"/>
      <c r="AF22" s="13"/>
      <c r="AG22" s="13"/>
      <c r="AH22" s="13"/>
      <c r="AI22" s="13"/>
      <c r="AJ22" s="13"/>
      <c r="AK22" s="13"/>
      <c r="AL22" s="13"/>
      <c r="AM22" s="14"/>
      <c r="AN22" s="4" cm="1">
        <f t="array" ref="AN22">Bin2DecRange($X22:$AM22)</f>
        <v>0</v>
      </c>
      <c r="AO22" s="73" t="str">
        <f t="shared" si="1"/>
        <v>N21</v>
      </c>
      <c r="AP22" s="16" t="s">
        <v>105</v>
      </c>
      <c r="AQ22" s="16">
        <f t="shared" si="4"/>
        <v>17</v>
      </c>
      <c r="AR22" s="4">
        <v>0</v>
      </c>
      <c r="AS22" s="73" t="str">
        <f t="shared" si="2"/>
        <v>N27</v>
      </c>
      <c r="AT22" s="16" t="s">
        <v>105</v>
      </c>
      <c r="AU22" s="75">
        <f t="shared" si="5"/>
        <v>17</v>
      </c>
    </row>
    <row r="23" spans="1:47" x14ac:dyDescent="0.25">
      <c r="A23" s="4">
        <v>18</v>
      </c>
      <c r="B23" s="4" t="s">
        <v>97</v>
      </c>
      <c r="C23" s="5" t="str">
        <f t="shared" si="0"/>
        <v/>
      </c>
      <c r="D23" s="13"/>
      <c r="E23" s="13"/>
      <c r="F23" s="13"/>
      <c r="G23" s="13"/>
      <c r="H23" s="13"/>
      <c r="I23" s="13">
        <v>1</v>
      </c>
      <c r="J23" s="13"/>
      <c r="K23" s="13"/>
      <c r="L23" s="13"/>
      <c r="M23" s="13">
        <v>1</v>
      </c>
      <c r="N23" s="13">
        <v>1</v>
      </c>
      <c r="O23" s="13">
        <v>1</v>
      </c>
      <c r="P23" s="13">
        <v>1</v>
      </c>
      <c r="Q23" s="13">
        <v>1</v>
      </c>
      <c r="R23" s="13">
        <v>1</v>
      </c>
      <c r="S23" s="14"/>
      <c r="T23" s="4">
        <f t="array" ref="T23">Bin2DecRange($D23:$S23)</f>
        <v>1150</v>
      </c>
      <c r="U23" s="73" t="str">
        <f t="shared" si="3"/>
        <v>N7</v>
      </c>
      <c r="V23" s="16" t="s">
        <v>105</v>
      </c>
      <c r="W23" s="83">
        <v>18</v>
      </c>
      <c r="X23" s="15"/>
      <c r="Y23" s="13"/>
      <c r="Z23" s="13"/>
      <c r="AA23" s="13"/>
      <c r="AB23" s="13"/>
      <c r="AC23" s="13"/>
      <c r="AD23" s="13"/>
      <c r="AE23" s="13"/>
      <c r="AF23" s="13"/>
      <c r="AG23" s="13"/>
      <c r="AH23" s="13"/>
      <c r="AI23" s="13"/>
      <c r="AJ23" s="13"/>
      <c r="AK23" s="13"/>
      <c r="AL23" s="13"/>
      <c r="AM23" s="14"/>
      <c r="AN23" s="4" cm="1">
        <f t="array" ref="AN23">Bin2DecRange($X23:$AM23)</f>
        <v>0</v>
      </c>
      <c r="AO23" s="73" t="str">
        <f t="shared" si="1"/>
        <v>N21</v>
      </c>
      <c r="AP23" s="16" t="s">
        <v>105</v>
      </c>
      <c r="AQ23" s="16">
        <f t="shared" si="4"/>
        <v>18</v>
      </c>
      <c r="AR23" s="4">
        <v>0</v>
      </c>
      <c r="AS23" s="73" t="str">
        <f t="shared" si="2"/>
        <v>N27</v>
      </c>
      <c r="AT23" s="16" t="s">
        <v>105</v>
      </c>
      <c r="AU23" s="75">
        <f t="shared" si="5"/>
        <v>18</v>
      </c>
    </row>
    <row r="24" spans="1:47" x14ac:dyDescent="0.25">
      <c r="A24" s="4">
        <v>19</v>
      </c>
      <c r="B24" s="4" t="s">
        <v>98</v>
      </c>
      <c r="C24" s="5" t="str">
        <f t="shared" si="0"/>
        <v/>
      </c>
      <c r="D24" s="13"/>
      <c r="E24" s="13"/>
      <c r="F24" s="13"/>
      <c r="G24" s="13"/>
      <c r="H24" s="13"/>
      <c r="I24" s="13"/>
      <c r="J24" s="13"/>
      <c r="K24" s="13"/>
      <c r="L24" s="13"/>
      <c r="M24" s="13"/>
      <c r="N24" s="13"/>
      <c r="O24" s="13"/>
      <c r="P24" s="13"/>
      <c r="Q24" s="13"/>
      <c r="R24" s="13"/>
      <c r="S24" s="14"/>
      <c r="T24" s="4">
        <f t="array" ref="T24">Bin2DecRange($D24:$S24)</f>
        <v>0</v>
      </c>
      <c r="U24" s="73" t="str">
        <f t="shared" si="3"/>
        <v>N7</v>
      </c>
      <c r="V24" s="16" t="s">
        <v>105</v>
      </c>
      <c r="W24" s="83">
        <v>19</v>
      </c>
      <c r="X24" s="15"/>
      <c r="Y24" s="13"/>
      <c r="Z24" s="13"/>
      <c r="AA24" s="13"/>
      <c r="AB24" s="13"/>
      <c r="AC24" s="13"/>
      <c r="AD24" s="13"/>
      <c r="AE24" s="13"/>
      <c r="AF24" s="13"/>
      <c r="AG24" s="13"/>
      <c r="AH24" s="13"/>
      <c r="AI24" s="13"/>
      <c r="AJ24" s="13"/>
      <c r="AK24" s="13"/>
      <c r="AL24" s="13"/>
      <c r="AM24" s="14"/>
      <c r="AN24" s="4" cm="1">
        <f t="array" ref="AN24">Bin2DecRange($X24:$AM24)</f>
        <v>0</v>
      </c>
      <c r="AO24" s="73" t="str">
        <f t="shared" si="1"/>
        <v>N21</v>
      </c>
      <c r="AP24" s="16" t="s">
        <v>105</v>
      </c>
      <c r="AQ24" s="16">
        <f t="shared" si="4"/>
        <v>19</v>
      </c>
      <c r="AR24" s="4">
        <v>0</v>
      </c>
      <c r="AS24" s="73" t="str">
        <f t="shared" si="2"/>
        <v>N27</v>
      </c>
      <c r="AT24" s="16" t="s">
        <v>105</v>
      </c>
      <c r="AU24" s="75">
        <f t="shared" si="5"/>
        <v>19</v>
      </c>
    </row>
    <row r="25" spans="1:47" x14ac:dyDescent="0.25">
      <c r="A25" s="4">
        <v>20</v>
      </c>
      <c r="B25" s="4" t="s">
        <v>99</v>
      </c>
      <c r="C25" s="5" t="str">
        <f t="shared" si="0"/>
        <v/>
      </c>
      <c r="D25" s="13"/>
      <c r="E25" s="13"/>
      <c r="F25" s="13"/>
      <c r="G25" s="13"/>
      <c r="H25" s="13"/>
      <c r="I25" s="13"/>
      <c r="J25" s="13"/>
      <c r="K25" s="13"/>
      <c r="L25" s="13"/>
      <c r="M25" s="13"/>
      <c r="N25" s="13"/>
      <c r="O25" s="13"/>
      <c r="P25" s="13"/>
      <c r="Q25" s="13"/>
      <c r="R25" s="13"/>
      <c r="S25" s="14"/>
      <c r="T25" s="4">
        <f t="array" ref="T25">Bin2DecRange($D25:$S25)</f>
        <v>0</v>
      </c>
      <c r="U25" s="73" t="str">
        <f t="shared" si="3"/>
        <v>N7</v>
      </c>
      <c r="V25" s="16" t="s">
        <v>105</v>
      </c>
      <c r="W25" s="83">
        <v>20</v>
      </c>
      <c r="X25" s="15"/>
      <c r="Y25" s="13"/>
      <c r="Z25" s="13"/>
      <c r="AA25" s="13"/>
      <c r="AB25" s="13"/>
      <c r="AC25" s="13"/>
      <c r="AD25" s="13"/>
      <c r="AE25" s="13"/>
      <c r="AF25" s="13"/>
      <c r="AG25" s="13"/>
      <c r="AH25" s="13"/>
      <c r="AI25" s="13"/>
      <c r="AJ25" s="13"/>
      <c r="AK25" s="13"/>
      <c r="AL25" s="13"/>
      <c r="AM25" s="14"/>
      <c r="AN25" s="4" cm="1">
        <f t="array" ref="AN25">Bin2DecRange($X25:$AM25)</f>
        <v>0</v>
      </c>
      <c r="AO25" s="73" t="str">
        <f t="shared" si="1"/>
        <v>N21</v>
      </c>
      <c r="AP25" s="16" t="s">
        <v>105</v>
      </c>
      <c r="AQ25" s="16">
        <f t="shared" si="4"/>
        <v>20</v>
      </c>
      <c r="AR25" s="4">
        <v>9160</v>
      </c>
      <c r="AS25" s="73" t="str">
        <f t="shared" si="2"/>
        <v>N27</v>
      </c>
      <c r="AT25" s="16" t="s">
        <v>105</v>
      </c>
      <c r="AU25" s="75">
        <f t="shared" si="5"/>
        <v>20</v>
      </c>
    </row>
    <row r="26" spans="1:47" x14ac:dyDescent="0.25">
      <c r="A26" s="4">
        <v>21</v>
      </c>
      <c r="B26" s="4" t="s">
        <v>100</v>
      </c>
      <c r="C26" s="5" t="str">
        <f t="shared" si="0"/>
        <v/>
      </c>
      <c r="D26" s="13"/>
      <c r="E26" s="13"/>
      <c r="F26" s="13"/>
      <c r="G26" s="13"/>
      <c r="H26" s="13"/>
      <c r="I26" s="13"/>
      <c r="J26" s="13"/>
      <c r="K26" s="13"/>
      <c r="L26" s="13"/>
      <c r="M26" s="13"/>
      <c r="N26" s="13"/>
      <c r="O26" s="13"/>
      <c r="P26" s="13"/>
      <c r="Q26" s="13"/>
      <c r="R26" s="13"/>
      <c r="S26" s="14"/>
      <c r="T26" s="4">
        <f t="array" ref="T26">Bin2DecRange($D26:$S26)</f>
        <v>0</v>
      </c>
      <c r="U26" s="73" t="str">
        <f t="shared" si="3"/>
        <v>N7</v>
      </c>
      <c r="V26" s="16" t="s">
        <v>105</v>
      </c>
      <c r="W26" s="83">
        <v>21</v>
      </c>
      <c r="X26" s="15"/>
      <c r="Y26" s="13"/>
      <c r="Z26" s="13"/>
      <c r="AA26" s="13"/>
      <c r="AB26" s="13"/>
      <c r="AC26" s="13"/>
      <c r="AD26" s="13"/>
      <c r="AE26" s="13"/>
      <c r="AF26" s="13"/>
      <c r="AG26" s="13"/>
      <c r="AH26" s="13"/>
      <c r="AI26" s="13"/>
      <c r="AJ26" s="13"/>
      <c r="AK26" s="13"/>
      <c r="AL26" s="13"/>
      <c r="AM26" s="14"/>
      <c r="AN26" s="4" cm="1">
        <f t="array" ref="AN26">Bin2DecRange($X26:$AM26)</f>
        <v>0</v>
      </c>
      <c r="AO26" s="73" t="str">
        <f t="shared" si="1"/>
        <v>N21</v>
      </c>
      <c r="AP26" s="16" t="s">
        <v>105</v>
      </c>
      <c r="AQ26" s="16">
        <f t="shared" si="4"/>
        <v>21</v>
      </c>
      <c r="AR26" s="4">
        <v>8</v>
      </c>
      <c r="AS26" s="73" t="str">
        <f t="shared" si="2"/>
        <v>N27</v>
      </c>
      <c r="AT26" s="16" t="s">
        <v>105</v>
      </c>
      <c r="AU26" s="75">
        <f t="shared" si="5"/>
        <v>21</v>
      </c>
    </row>
    <row r="27" spans="1:47" x14ac:dyDescent="0.25">
      <c r="A27" s="4">
        <v>22</v>
      </c>
      <c r="B27" s="4" t="s">
        <v>101</v>
      </c>
      <c r="C27" s="5" t="str">
        <f t="shared" si="0"/>
        <v/>
      </c>
      <c r="D27" s="13"/>
      <c r="E27" s="13"/>
      <c r="F27" s="13"/>
      <c r="G27" s="13"/>
      <c r="H27" s="13"/>
      <c r="I27" s="13"/>
      <c r="J27" s="13"/>
      <c r="K27" s="13"/>
      <c r="L27" s="13"/>
      <c r="M27" s="13"/>
      <c r="N27" s="13"/>
      <c r="O27" s="13"/>
      <c r="P27" s="13"/>
      <c r="Q27" s="13"/>
      <c r="R27" s="13"/>
      <c r="S27" s="14"/>
      <c r="T27" s="4">
        <f t="array" ref="T27">Bin2DecRange($D27:$S27)</f>
        <v>0</v>
      </c>
      <c r="U27" s="73" t="str">
        <f t="shared" si="3"/>
        <v>N7</v>
      </c>
      <c r="V27" s="16" t="s">
        <v>105</v>
      </c>
      <c r="W27" s="83">
        <v>22</v>
      </c>
      <c r="X27" s="15"/>
      <c r="Y27" s="13"/>
      <c r="Z27" s="13"/>
      <c r="AA27" s="13"/>
      <c r="AB27" s="13"/>
      <c r="AC27" s="13"/>
      <c r="AD27" s="13"/>
      <c r="AE27" s="13"/>
      <c r="AF27" s="13"/>
      <c r="AG27" s="13"/>
      <c r="AH27" s="13"/>
      <c r="AI27" s="13"/>
      <c r="AJ27" s="13"/>
      <c r="AK27" s="13"/>
      <c r="AL27" s="13"/>
      <c r="AM27" s="14"/>
      <c r="AN27" s="4" cm="1">
        <f t="array" ref="AN27">Bin2DecRange($X27:$AM27)</f>
        <v>0</v>
      </c>
      <c r="AO27" s="73" t="str">
        <f t="shared" si="1"/>
        <v>N21</v>
      </c>
      <c r="AP27" s="16" t="s">
        <v>105</v>
      </c>
      <c r="AQ27" s="16">
        <f t="shared" si="4"/>
        <v>22</v>
      </c>
      <c r="AR27" s="4">
        <v>0</v>
      </c>
      <c r="AS27" s="73" t="str">
        <f t="shared" si="2"/>
        <v>N27</v>
      </c>
      <c r="AT27" s="16" t="s">
        <v>105</v>
      </c>
      <c r="AU27" s="75">
        <f t="shared" si="5"/>
        <v>22</v>
      </c>
    </row>
    <row r="28" spans="1:47" x14ac:dyDescent="0.25">
      <c r="A28" s="4">
        <v>23</v>
      </c>
      <c r="B28" s="4" t="s">
        <v>102</v>
      </c>
      <c r="C28" s="5" t="str">
        <f t="shared" si="0"/>
        <v/>
      </c>
      <c r="D28" s="13"/>
      <c r="E28" s="13"/>
      <c r="F28" s="13"/>
      <c r="G28" s="13"/>
      <c r="H28" s="13"/>
      <c r="I28" s="13"/>
      <c r="J28" s="13"/>
      <c r="K28" s="13"/>
      <c r="L28" s="13"/>
      <c r="M28" s="13"/>
      <c r="N28" s="13"/>
      <c r="O28" s="13"/>
      <c r="P28" s="13"/>
      <c r="Q28" s="13"/>
      <c r="R28" s="13"/>
      <c r="S28" s="14"/>
      <c r="T28" s="4">
        <f t="array" ref="T28">Bin2DecRange($D28:$S28)</f>
        <v>0</v>
      </c>
      <c r="U28" s="73" t="str">
        <f t="shared" si="3"/>
        <v>N7</v>
      </c>
      <c r="V28" s="16" t="s">
        <v>105</v>
      </c>
      <c r="W28" s="83">
        <v>23</v>
      </c>
      <c r="X28" s="15"/>
      <c r="Y28" s="13"/>
      <c r="Z28" s="13"/>
      <c r="AA28" s="13"/>
      <c r="AB28" s="13"/>
      <c r="AC28" s="13"/>
      <c r="AD28" s="13"/>
      <c r="AE28" s="13"/>
      <c r="AF28" s="13"/>
      <c r="AG28" s="13"/>
      <c r="AH28" s="13"/>
      <c r="AI28" s="13"/>
      <c r="AJ28" s="13"/>
      <c r="AK28" s="13"/>
      <c r="AL28" s="13"/>
      <c r="AM28" s="14"/>
      <c r="AN28" s="4" cm="1">
        <f t="array" ref="AN28">Bin2DecRange($X28:$AM28)</f>
        <v>0</v>
      </c>
      <c r="AO28" s="73" t="str">
        <f t="shared" si="1"/>
        <v>N21</v>
      </c>
      <c r="AP28" s="16" t="s">
        <v>105</v>
      </c>
      <c r="AQ28" s="16">
        <f t="shared" si="4"/>
        <v>23</v>
      </c>
      <c r="AR28" s="4">
        <v>0</v>
      </c>
      <c r="AS28" s="73" t="str">
        <f t="shared" si="2"/>
        <v>N27</v>
      </c>
      <c r="AT28" s="16" t="s">
        <v>105</v>
      </c>
      <c r="AU28" s="75">
        <f t="shared" si="5"/>
        <v>23</v>
      </c>
    </row>
    <row r="29" spans="1:47" ht="15.75" customHeight="1" thickBot="1" x14ac:dyDescent="0.3">
      <c r="A29" s="32">
        <v>24</v>
      </c>
      <c r="B29" s="32" t="s">
        <v>103</v>
      </c>
      <c r="C29" s="43" t="str">
        <f t="shared" si="0"/>
        <v/>
      </c>
      <c r="D29" s="44"/>
      <c r="E29" s="44"/>
      <c r="F29" s="44"/>
      <c r="G29" s="44"/>
      <c r="H29" s="44"/>
      <c r="I29" s="44"/>
      <c r="J29" s="44"/>
      <c r="K29" s="44"/>
      <c r="L29" s="44"/>
      <c r="M29" s="44"/>
      <c r="N29" s="44"/>
      <c r="O29" s="44"/>
      <c r="P29" s="44"/>
      <c r="Q29" s="44"/>
      <c r="R29" s="44"/>
      <c r="S29" s="45"/>
      <c r="T29" s="32">
        <f t="array" ref="T29">Bin2DecRange($D29:$S29)</f>
        <v>0</v>
      </c>
      <c r="U29" s="74" t="str">
        <f t="shared" si="3"/>
        <v>N7</v>
      </c>
      <c r="V29" s="31" t="s">
        <v>105</v>
      </c>
      <c r="W29" s="33">
        <v>24</v>
      </c>
      <c r="X29" s="46"/>
      <c r="Y29" s="44"/>
      <c r="Z29" s="44"/>
      <c r="AA29" s="44"/>
      <c r="AB29" s="44"/>
      <c r="AC29" s="44"/>
      <c r="AD29" s="44"/>
      <c r="AE29" s="44"/>
      <c r="AF29" s="44"/>
      <c r="AG29" s="44"/>
      <c r="AH29" s="44"/>
      <c r="AI29" s="44"/>
      <c r="AJ29" s="44"/>
      <c r="AK29" s="44"/>
      <c r="AL29" s="44"/>
      <c r="AM29" s="45"/>
      <c r="AN29" s="32" cm="1">
        <f t="array" ref="AN29">Bin2DecRange($X29:$AM29)</f>
        <v>0</v>
      </c>
      <c r="AO29" s="74" t="str">
        <f t="shared" si="1"/>
        <v>N21</v>
      </c>
      <c r="AP29" s="31" t="s">
        <v>105</v>
      </c>
      <c r="AQ29" s="31">
        <f t="shared" si="4"/>
        <v>24</v>
      </c>
      <c r="AR29" s="32">
        <v>0</v>
      </c>
      <c r="AS29" s="74" t="str">
        <f t="shared" si="2"/>
        <v>N27</v>
      </c>
      <c r="AT29" s="31" t="s">
        <v>105</v>
      </c>
      <c r="AU29" s="78">
        <f t="shared" si="5"/>
        <v>24</v>
      </c>
    </row>
  </sheetData>
  <mergeCells count="15">
    <mergeCell ref="U4:W4"/>
    <mergeCell ref="AO4:AQ4"/>
    <mergeCell ref="AS4:AU4"/>
    <mergeCell ref="A1:B1"/>
    <mergeCell ref="D1:W1"/>
    <mergeCell ref="X1:AQ1"/>
    <mergeCell ref="AR1:AU1"/>
    <mergeCell ref="U2:W2"/>
    <mergeCell ref="AO2:AQ2"/>
    <mergeCell ref="AS2:AU2"/>
    <mergeCell ref="D3:S3"/>
    <mergeCell ref="U3:W3"/>
    <mergeCell ref="X3:AM3"/>
    <mergeCell ref="AO3:AQ3"/>
    <mergeCell ref="AS3:AU3"/>
  </mergeCells>
  <conditionalFormatting sqref="C5:C29">
    <cfRule type="cellIs" dxfId="0" priority="1" operator="notEqual">
      <formula>"P"</formula>
    </cfRule>
  </conditionalFormatting>
  <pageMargins left="0.7" right="0.7" top="1" bottom="0.75" header="0.5" footer="0.3"/>
  <pageSetup paperSize="3" scale="55" fitToWidth="3" orientation="landscape" r:id="rId1"/>
  <headerFooter>
    <oddHeader>&amp;LBel Brands
Leitchfield, KY&amp;CPolisher Pinchart
&amp;A&amp;RPage &amp;P of &amp;N
Created by: CSE</oddHeader>
  </headerFooter>
  <colBreaks count="1" manualBreakCount="1">
    <brk id="2" max="28"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90F21CF6-D8C5-4824-8E12-9A9BA44A4754}">
          <x14:formula1>
            <xm:f>'Main Program'!$B$29:$B$34</xm:f>
          </x14:formula1>
          <xm:sqref>T3 AN3 AR3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vt:i4>
      </vt:variant>
    </vt:vector>
  </HeadingPairs>
  <TitlesOfParts>
    <vt:vector size="7" baseType="lpstr">
      <vt:lpstr>Main Program</vt:lpstr>
      <vt:lpstr>PINCHART-1</vt:lpstr>
      <vt:lpstr>PINCHART-2</vt:lpstr>
      <vt:lpstr>'PINCHART-1'!Print_Area</vt:lpstr>
      <vt:lpstr>'PINCHART-2'!Print_Area</vt:lpstr>
      <vt:lpstr>'PINCHART-1'!Print_Titles</vt:lpstr>
      <vt:lpstr>'PINCHART-2'!Print_Titles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Chris_E</dc:creator>
  <cp:lastModifiedBy>ChrisP</cp:lastModifiedBy>
  <cp:lastPrinted>2020-07-29T15:31:04Z</cp:lastPrinted>
  <dcterms:created xsi:type="dcterms:W3CDTF">2020-03-10T20:06:37Z</dcterms:created>
  <dcterms:modified xsi:type="dcterms:W3CDTF">2020-09-25T02:31:53Z</dcterms:modified>
</cp:coreProperties>
</file>
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Z:\data\Documents\_Active Jobs\CFR\C 20034 Saputo Almena\03_Documents\03.1_PinCharts\03.1.1_PinCharts\"/>
    </mc:Choice>
  </mc:AlternateContent>
  <xr:revisionPtr revIDLastSave="0" documentId="13_ncr:1_{E2690619-CABD-4AAF-8BA0-010E0E347233}" xr6:coauthVersionLast="45" xr6:coauthVersionMax="45" xr10:uidLastSave="{00000000-0000-0000-0000-000000000000}"/>
  <bookViews>
    <workbookView xWindow="-120" yWindow="-120" windowWidth="28905" windowHeight="13545" activeTab="1" xr2:uid="{00000000-000D-0000-FFFF-FFFF00000000}"/>
  </bookViews>
  <sheets>
    <sheet name="Main Program" sheetId="1" r:id="rId1"/>
    <sheet name="PINCHART-PROC" sheetId="17" r:id="rId2"/>
    <sheet name="PINCHART-CIP" sheetId="18" r:id="rId3"/>
    <sheet name="PINCHART-CIP-Short Wash" sheetId="19" r:id="rId4"/>
    <sheet name="PINCHART-CIP-Acid Soak" sheetId="20" r:id="rId5"/>
    <sheet name="PINCHART-CIP- Enzyme Soak " sheetId="24" r:id="rId6"/>
    <sheet name="PINCHART-CIP-Rinse" sheetId="21" r:id="rId7"/>
    <sheet name="PINCHART-CIP-Sanitize" sheetId="22" r:id="rId8"/>
    <sheet name="CONDITION BIT OVERVIEW" sheetId="23" r:id="rId9"/>
  </sheets>
  <functionGroups builtInGroupCount="19"/>
  <definedNames>
    <definedName name="_xlnm.Print_Area" localSheetId="2">'PINCHART-CIP'!$A$1:$IA$29</definedName>
    <definedName name="_xlnm.Print_Area" localSheetId="5">'PINCHART-CIP- Enzyme Soak '!$A$1:$IA$29</definedName>
    <definedName name="_xlnm.Print_Area" localSheetId="4">'PINCHART-CIP-Acid Soak'!$A$1:$IA$29</definedName>
    <definedName name="_xlnm.Print_Area" localSheetId="6">'PINCHART-CIP-Rinse'!$A$1:$IA$24</definedName>
    <definedName name="_xlnm.Print_Area" localSheetId="7">'PINCHART-CIP-Sanitize'!$A$1:$IA$24</definedName>
    <definedName name="_xlnm.Print_Area" localSheetId="3">'PINCHART-CIP-Short Wash'!$A$1:$IA$29</definedName>
    <definedName name="_xlnm.Print_Area" localSheetId="1">'PINCHART-PROC'!$A$1:$IA$29</definedName>
    <definedName name="_xlnm.Print_Titles" localSheetId="2">'PINCHART-CIP'!$A:$B</definedName>
    <definedName name="_xlnm.Print_Titles" localSheetId="5">'PINCHART-CIP- Enzyme Soak '!$A:$B</definedName>
    <definedName name="_xlnm.Print_Titles" localSheetId="4">'PINCHART-CIP-Acid Soak'!$A:$B</definedName>
    <definedName name="_xlnm.Print_Titles" localSheetId="6">'PINCHART-CIP-Rinse'!$A:$B</definedName>
    <definedName name="_xlnm.Print_Titles" localSheetId="7">'PINCHART-CIP-Sanitize'!$A:$B</definedName>
    <definedName name="_xlnm.Print_Titles" localSheetId="3">'PINCHART-CIP-Short Wash'!$A:$B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35" i="24" l="1"/>
  <c r="HY35" i="24"/>
  <c r="GO35" i="24"/>
  <c r="FE35" i="24"/>
  <c r="DU35" i="24"/>
  <c r="CK35" i="24"/>
  <c r="BA35" i="24"/>
  <c r="S35" i="24"/>
  <c r="P35" i="24"/>
  <c r="L35" i="24"/>
  <c r="H35" i="24"/>
  <c r="D35" i="24"/>
  <c r="B35" i="24"/>
  <c r="IC34" i="24"/>
  <c r="HY34" i="24"/>
  <c r="GO34" i="24"/>
  <c r="FE34" i="24"/>
  <c r="DU34" i="24"/>
  <c r="CK34" i="24"/>
  <c r="BA34" i="24"/>
  <c r="S34" i="24"/>
  <c r="P34" i="24"/>
  <c r="L34" i="24"/>
  <c r="H34" i="24"/>
  <c r="D34" i="24"/>
  <c r="B34" i="24"/>
  <c r="IC33" i="24"/>
  <c r="HY33" i="24"/>
  <c r="GO33" i="24"/>
  <c r="FE33" i="24"/>
  <c r="DU33" i="24"/>
  <c r="CK33" i="24"/>
  <c r="BA33" i="24"/>
  <c r="S33" i="24"/>
  <c r="P33" i="24"/>
  <c r="L33" i="24"/>
  <c r="H33" i="24"/>
  <c r="D33" i="24"/>
  <c r="B33" i="24"/>
  <c r="IC32" i="24"/>
  <c r="HY32" i="24"/>
  <c r="GO32" i="24"/>
  <c r="FE32" i="24"/>
  <c r="DU32" i="24"/>
  <c r="CK32" i="24"/>
  <c r="BA32" i="24"/>
  <c r="S32" i="24"/>
  <c r="P32" i="24"/>
  <c r="L32" i="24"/>
  <c r="H32" i="24"/>
  <c r="D32" i="24"/>
  <c r="B32" i="24"/>
  <c r="IC31" i="24"/>
  <c r="HY31" i="24"/>
  <c r="GO31" i="24"/>
  <c r="FE31" i="24"/>
  <c r="DU31" i="24"/>
  <c r="CK31" i="24"/>
  <c r="BA31" i="24"/>
  <c r="S31" i="24"/>
  <c r="P31" i="24"/>
  <c r="L31" i="24"/>
  <c r="H31" i="24"/>
  <c r="D31" i="24"/>
  <c r="B31" i="24"/>
  <c r="IC30" i="24"/>
  <c r="HY30" i="24"/>
  <c r="GO30" i="24"/>
  <c r="FE30" i="24"/>
  <c r="DU30" i="24"/>
  <c r="CK30" i="24"/>
  <c r="BA30" i="24"/>
  <c r="S30" i="24"/>
  <c r="P30" i="24"/>
  <c r="L30" i="24"/>
  <c r="H30" i="24"/>
  <c r="D30" i="24"/>
  <c r="B30" i="24"/>
  <c r="IC29" i="24"/>
  <c r="HY29" i="24"/>
  <c r="GO29" i="24"/>
  <c r="FE29" i="24"/>
  <c r="DU29" i="24"/>
  <c r="CK29" i="24"/>
  <c r="BA29" i="24"/>
  <c r="S29" i="24"/>
  <c r="P29" i="24"/>
  <c r="L29" i="24"/>
  <c r="H29" i="24"/>
  <c r="D29" i="24"/>
  <c r="B29" i="24"/>
  <c r="IC28" i="24"/>
  <c r="HY28" i="24"/>
  <c r="GO28" i="24"/>
  <c r="FE28" i="24"/>
  <c r="DU28" i="24"/>
  <c r="CK28" i="24"/>
  <c r="BA28" i="24"/>
  <c r="S28" i="24"/>
  <c r="P28" i="24"/>
  <c r="L28" i="24"/>
  <c r="H28" i="24"/>
  <c r="D28" i="24"/>
  <c r="B28" i="24"/>
  <c r="IC27" i="24"/>
  <c r="HY27" i="24"/>
  <c r="GO27" i="24"/>
  <c r="FE27" i="24"/>
  <c r="DU27" i="24"/>
  <c r="CK27" i="24"/>
  <c r="BA27" i="24"/>
  <c r="S27" i="24"/>
  <c r="P27" i="24"/>
  <c r="L27" i="24"/>
  <c r="H27" i="24"/>
  <c r="D27" i="24"/>
  <c r="B27" i="24"/>
  <c r="IC26" i="24"/>
  <c r="HY26" i="24"/>
  <c r="GO26" i="24"/>
  <c r="FE26" i="24"/>
  <c r="DU26" i="24"/>
  <c r="CK26" i="24"/>
  <c r="BA26" i="24"/>
  <c r="S26" i="24"/>
  <c r="P26" i="24"/>
  <c r="L26" i="24"/>
  <c r="H26" i="24"/>
  <c r="D26" i="24"/>
  <c r="B26" i="24"/>
  <c r="IC25" i="24"/>
  <c r="HY25" i="24"/>
  <c r="GO25" i="24"/>
  <c r="FE25" i="24"/>
  <c r="DU25" i="24"/>
  <c r="CK25" i="24"/>
  <c r="BA25" i="24"/>
  <c r="S25" i="24"/>
  <c r="P25" i="24"/>
  <c r="L25" i="24"/>
  <c r="H25" i="24"/>
  <c r="D25" i="24"/>
  <c r="B25" i="24"/>
  <c r="IC24" i="24"/>
  <c r="HY24" i="24"/>
  <c r="GO24" i="24"/>
  <c r="FE24" i="24"/>
  <c r="DU24" i="24"/>
  <c r="CK24" i="24"/>
  <c r="BA24" i="24"/>
  <c r="S24" i="24"/>
  <c r="P24" i="24"/>
  <c r="L24" i="24"/>
  <c r="H24" i="24"/>
  <c r="D24" i="24"/>
  <c r="B24" i="24"/>
  <c r="IC23" i="24"/>
  <c r="HY23" i="24"/>
  <c r="GO23" i="24"/>
  <c r="FE23" i="24"/>
  <c r="DU23" i="24"/>
  <c r="CK23" i="24"/>
  <c r="BA23" i="24"/>
  <c r="S23" i="24"/>
  <c r="P23" i="24"/>
  <c r="L23" i="24"/>
  <c r="H23" i="24"/>
  <c r="D23" i="24"/>
  <c r="B23" i="24"/>
  <c r="IC22" i="24"/>
  <c r="HY22" i="24"/>
  <c r="GO22" i="24"/>
  <c r="FE22" i="24"/>
  <c r="DU22" i="24"/>
  <c r="CK22" i="24"/>
  <c r="BA22" i="24"/>
  <c r="S22" i="24"/>
  <c r="P22" i="24"/>
  <c r="L22" i="24"/>
  <c r="H22" i="24"/>
  <c r="D22" i="24"/>
  <c r="B22" i="24"/>
  <c r="IC21" i="24"/>
  <c r="HY21" i="24"/>
  <c r="GO21" i="24"/>
  <c r="FE21" i="24"/>
  <c r="DU21" i="24"/>
  <c r="CK21" i="24"/>
  <c r="BA21" i="24"/>
  <c r="S21" i="24"/>
  <c r="P21" i="24"/>
  <c r="L21" i="24"/>
  <c r="H21" i="24"/>
  <c r="D21" i="24"/>
  <c r="B21" i="24"/>
  <c r="IC20" i="24"/>
  <c r="HY20" i="24"/>
  <c r="GO20" i="24"/>
  <c r="FE20" i="24"/>
  <c r="DU20" i="24"/>
  <c r="CK20" i="24"/>
  <c r="BA20" i="24"/>
  <c r="S20" i="24"/>
  <c r="P20" i="24"/>
  <c r="L20" i="24"/>
  <c r="H20" i="24"/>
  <c r="D20" i="24"/>
  <c r="B20" i="24"/>
  <c r="IC19" i="24"/>
  <c r="HY19" i="24"/>
  <c r="GO19" i="24"/>
  <c r="FE19" i="24"/>
  <c r="DU19" i="24"/>
  <c r="CK19" i="24"/>
  <c r="BA19" i="24"/>
  <c r="S19" i="24"/>
  <c r="P19" i="24"/>
  <c r="L19" i="24"/>
  <c r="H19" i="24"/>
  <c r="D19" i="24"/>
  <c r="B19" i="24"/>
  <c r="IC18" i="24"/>
  <c r="HY18" i="24"/>
  <c r="GO18" i="24"/>
  <c r="FE18" i="24"/>
  <c r="DU18" i="24"/>
  <c r="CK18" i="24"/>
  <c r="BA18" i="24"/>
  <c r="S18" i="24"/>
  <c r="P18" i="24"/>
  <c r="L18" i="24"/>
  <c r="H18" i="24"/>
  <c r="D18" i="24"/>
  <c r="B18" i="24"/>
  <c r="IC17" i="24"/>
  <c r="HY17" i="24"/>
  <c r="GO17" i="24"/>
  <c r="FE17" i="24"/>
  <c r="DU17" i="24"/>
  <c r="CK17" i="24"/>
  <c r="BA17" i="24"/>
  <c r="S17" i="24"/>
  <c r="P17" i="24"/>
  <c r="L17" i="24"/>
  <c r="H17" i="24"/>
  <c r="D17" i="24"/>
  <c r="B17" i="24"/>
  <c r="IC16" i="24"/>
  <c r="HY16" i="24"/>
  <c r="GO16" i="24"/>
  <c r="FE16" i="24"/>
  <c r="DU16" i="24"/>
  <c r="CK16" i="24"/>
  <c r="BA16" i="24"/>
  <c r="S16" i="24"/>
  <c r="P16" i="24"/>
  <c r="L16" i="24"/>
  <c r="H16" i="24"/>
  <c r="D16" i="24"/>
  <c r="B16" i="24"/>
  <c r="IC15" i="24"/>
  <c r="HY15" i="24"/>
  <c r="GO15" i="24"/>
  <c r="FE15" i="24"/>
  <c r="DU15" i="24"/>
  <c r="CK15" i="24"/>
  <c r="BA15" i="24"/>
  <c r="S15" i="24"/>
  <c r="P15" i="24"/>
  <c r="L15" i="24"/>
  <c r="H15" i="24"/>
  <c r="D15" i="24"/>
  <c r="B15" i="24"/>
  <c r="IC14" i="24"/>
  <c r="HY14" i="24"/>
  <c r="GO14" i="24"/>
  <c r="FE14" i="24"/>
  <c r="DU14" i="24"/>
  <c r="CK14" i="24"/>
  <c r="BA14" i="24"/>
  <c r="S14" i="24"/>
  <c r="P14" i="24"/>
  <c r="L14" i="24"/>
  <c r="H14" i="24"/>
  <c r="D14" i="24"/>
  <c r="B14" i="24"/>
  <c r="IC13" i="24"/>
  <c r="HY13" i="24"/>
  <c r="GO13" i="24"/>
  <c r="FE13" i="24"/>
  <c r="DU13" i="24"/>
  <c r="CK13" i="24"/>
  <c r="BA13" i="24"/>
  <c r="S13" i="24"/>
  <c r="P13" i="24"/>
  <c r="L13" i="24"/>
  <c r="H13" i="24"/>
  <c r="D13" i="24"/>
  <c r="B13" i="24"/>
  <c r="IC12" i="24"/>
  <c r="HY12" i="24"/>
  <c r="GO12" i="24"/>
  <c r="FE12" i="24"/>
  <c r="DU12" i="24"/>
  <c r="CK12" i="24"/>
  <c r="BA12" i="24"/>
  <c r="S12" i="24"/>
  <c r="P12" i="24"/>
  <c r="L12" i="24"/>
  <c r="H12" i="24"/>
  <c r="D12" i="24"/>
  <c r="B12" i="24"/>
  <c r="IC11" i="24"/>
  <c r="HY11" i="24"/>
  <c r="GO11" i="24"/>
  <c r="FE11" i="24"/>
  <c r="DU11" i="24"/>
  <c r="CK11" i="24"/>
  <c r="BA11" i="24"/>
  <c r="S11" i="24"/>
  <c r="P11" i="24"/>
  <c r="L11" i="24"/>
  <c r="H11" i="24"/>
  <c r="D11" i="24"/>
  <c r="B11" i="24"/>
  <c r="IC10" i="24"/>
  <c r="HY10" i="24"/>
  <c r="GO10" i="24"/>
  <c r="FE10" i="24"/>
  <c r="DU10" i="24"/>
  <c r="CK10" i="24"/>
  <c r="BA10" i="24"/>
  <c r="S10" i="24"/>
  <c r="P10" i="24"/>
  <c r="L10" i="24"/>
  <c r="H10" i="24"/>
  <c r="D10" i="24"/>
  <c r="B10" i="24"/>
  <c r="IC9" i="24"/>
  <c r="HY9" i="24"/>
  <c r="GO9" i="24"/>
  <c r="FE9" i="24"/>
  <c r="DU9" i="24"/>
  <c r="CK9" i="24"/>
  <c r="BA9" i="24"/>
  <c r="S9" i="24"/>
  <c r="P9" i="24"/>
  <c r="L9" i="24"/>
  <c r="H9" i="24"/>
  <c r="D9" i="24"/>
  <c r="B9" i="24"/>
  <c r="IC8" i="24"/>
  <c r="HY8" i="24"/>
  <c r="GO8" i="24"/>
  <c r="FE8" i="24"/>
  <c r="DU8" i="24"/>
  <c r="CK8" i="24"/>
  <c r="BA8" i="24"/>
  <c r="S8" i="24"/>
  <c r="P8" i="24"/>
  <c r="L8" i="24"/>
  <c r="H8" i="24"/>
  <c r="D8" i="24"/>
  <c r="B8" i="24"/>
  <c r="IC7" i="24"/>
  <c r="HY7" i="24"/>
  <c r="GO7" i="24"/>
  <c r="FE7" i="24"/>
  <c r="DU7" i="24"/>
  <c r="CK7" i="24"/>
  <c r="BA7" i="24"/>
  <c r="S7" i="24"/>
  <c r="P7" i="24"/>
  <c r="L7" i="24"/>
  <c r="H7" i="24"/>
  <c r="D7" i="24"/>
  <c r="B7" i="24"/>
  <c r="ID6" i="24"/>
  <c r="ID7" i="24" s="1"/>
  <c r="ID8" i="24" s="1"/>
  <c r="ID9" i="24" s="1"/>
  <c r="ID10" i="24" s="1"/>
  <c r="ID11" i="24" s="1"/>
  <c r="ID12" i="24" s="1"/>
  <c r="ID13" i="24" s="1"/>
  <c r="ID14" i="24" s="1"/>
  <c r="ID15" i="24" s="1"/>
  <c r="ID16" i="24" s="1"/>
  <c r="ID17" i="24" s="1"/>
  <c r="ID18" i="24" s="1"/>
  <c r="ID19" i="24" s="1"/>
  <c r="ID20" i="24" s="1"/>
  <c r="ID21" i="24" s="1"/>
  <c r="ID22" i="24" s="1"/>
  <c r="ID23" i="24" s="1"/>
  <c r="ID24" i="24" s="1"/>
  <c r="ID25" i="24" s="1"/>
  <c r="ID26" i="24" s="1"/>
  <c r="ID27" i="24" s="1"/>
  <c r="ID28" i="24" s="1"/>
  <c r="ID29" i="24" s="1"/>
  <c r="IC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L9" i="22"/>
  <c r="CL10" i="22" s="1"/>
  <c r="CL11" i="22" s="1"/>
  <c r="CL12" i="22" s="1"/>
  <c r="CL13" i="22" s="1"/>
  <c r="CL14" i="22" s="1"/>
  <c r="CL15" i="22" s="1"/>
  <c r="CL16" i="22" s="1"/>
  <c r="CL17" i="22" s="1"/>
  <c r="CL18" i="22" s="1"/>
  <c r="CL19" i="22" s="1"/>
  <c r="CL20" i="22" s="1"/>
  <c r="CL21" i="22" s="1"/>
  <c r="CL22" i="22" s="1"/>
  <c r="CL23" i="22" s="1"/>
  <c r="CL24" i="22" s="1"/>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P7" i="22"/>
  <c r="GP8" i="22" s="1"/>
  <c r="GP9" i="22" s="1"/>
  <c r="GP10" i="22" s="1"/>
  <c r="GP11" i="22" s="1"/>
  <c r="GP12" i="22" s="1"/>
  <c r="GP13" i="22" s="1"/>
  <c r="GP14" i="22" s="1"/>
  <c r="GP15" i="22" s="1"/>
  <c r="GP16" i="22" s="1"/>
  <c r="GP17" i="22" s="1"/>
  <c r="GP18" i="22" s="1"/>
  <c r="GP19" i="22" s="1"/>
  <c r="GP20" i="22" s="1"/>
  <c r="GP21" i="22" s="1"/>
  <c r="GP22" i="22" s="1"/>
  <c r="GP23" i="22" s="1"/>
  <c r="GP24" i="22" s="1"/>
  <c r="GO7" i="22"/>
  <c r="FE7" i="22"/>
  <c r="DV7" i="22"/>
  <c r="DV8" i="22" s="1"/>
  <c r="DV9" i="22" s="1"/>
  <c r="DV10" i="22" s="1"/>
  <c r="DV11" i="22" s="1"/>
  <c r="DV12" i="22" s="1"/>
  <c r="DV13" i="22" s="1"/>
  <c r="DV14" i="22" s="1"/>
  <c r="DV15" i="22" s="1"/>
  <c r="DV16" i="22" s="1"/>
  <c r="DV17" i="22" s="1"/>
  <c r="DV18" i="22" s="1"/>
  <c r="DV19" i="22" s="1"/>
  <c r="DV20" i="22" s="1"/>
  <c r="DV21" i="22" s="1"/>
  <c r="DV22" i="22" s="1"/>
  <c r="DV23" i="22" s="1"/>
  <c r="DV24" i="22" s="1"/>
  <c r="DU7" i="22"/>
  <c r="CL7" i="22"/>
  <c r="CL8" i="22" s="1"/>
  <c r="CK7" i="22"/>
  <c r="BA7" i="22"/>
  <c r="S7" i="22"/>
  <c r="P7" i="22"/>
  <c r="L7" i="22"/>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U6" i="22"/>
  <c r="CL6" i="22"/>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I7" i="22" s="1"/>
  <c r="I8" i="22" s="1"/>
  <c r="I9" i="22" s="1"/>
  <c r="I10" i="22" s="1"/>
  <c r="I11" i="22" s="1"/>
  <c r="I12" i="22" s="1"/>
  <c r="I13" i="22" s="1"/>
  <c r="I14" i="22" s="1"/>
  <c r="I15" i="22" s="1"/>
  <c r="I16" i="22" s="1"/>
  <c r="I17" i="22" s="1"/>
  <c r="I18" i="22" s="1"/>
  <c r="I19" i="22" s="1"/>
  <c r="I20" i="22" s="1"/>
  <c r="I21" i="22" s="1"/>
  <c r="I22" i="22" s="1"/>
  <c r="I23" i="22" s="1"/>
  <c r="I24" i="22" s="1"/>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M21" i="21" s="1"/>
  <c r="M22" i="21" s="1"/>
  <c r="M23" i="21" s="1"/>
  <c r="M24"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Y8" i="20"/>
  <c r="GO8" i="20"/>
  <c r="FE8" i="20"/>
  <c r="DU8" i="20"/>
  <c r="CK8" i="20"/>
  <c r="BA8" i="20"/>
  <c r="S8" i="20"/>
  <c r="P8" i="20"/>
  <c r="L8" i="20"/>
  <c r="H8" i="20"/>
  <c r="D8" i="20"/>
  <c r="B8" i="20"/>
  <c r="IC7" i="20"/>
  <c r="HY7" i="20"/>
  <c r="GO7" i="20"/>
  <c r="FE7" i="20"/>
  <c r="DU7" i="20"/>
  <c r="CK7" i="20"/>
  <c r="BA7" i="20"/>
  <c r="S7" i="20"/>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Z8" i="20" s="1"/>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6" i="20"/>
  <c r="GP6" i="20"/>
  <c r="GP7" i="20" s="1"/>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6" i="20"/>
  <c r="FF6" i="20"/>
  <c r="FF7" i="20" s="1"/>
  <c r="FF8" i="20" s="1"/>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L8" i="20" s="1"/>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F28" i="19" s="1"/>
  <c r="FF29"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M7" i="17" s="1"/>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FD32" i="24" a="1"/>
  <c r="FD35" i="24" a="1"/>
  <c r="FD30" i="24" a="1"/>
  <c r="FD21" i="24" a="1"/>
  <c r="GN21" i="24" a="1"/>
  <c r="FD23" i="24" a="1"/>
  <c r="FD15" i="24" a="1"/>
  <c r="GN8" i="24" a="1"/>
  <c r="AZ6" i="24" a="1"/>
  <c r="HX29" i="24" a="1"/>
  <c r="FD10" i="24" a="1"/>
  <c r="CJ17" i="24" a="1"/>
  <c r="CJ11" i="24" a="1"/>
  <c r="AZ22" i="24" a="1"/>
  <c r="CJ19" i="24" a="1"/>
  <c r="GN18" i="24" a="1"/>
  <c r="GN12" i="24" a="1"/>
  <c r="AZ32" i="24" a="1"/>
  <c r="HX28" i="24" a="1"/>
  <c r="HX27" i="24" a="1"/>
  <c r="FD33" i="24" a="1"/>
  <c r="DT32" i="24" a="1"/>
  <c r="HX12" i="24" a="1"/>
  <c r="HX7" i="24" a="1"/>
  <c r="AZ5" i="24" a="1"/>
  <c r="FD18" i="24" a="1"/>
  <c r="FD11" i="24" a="1"/>
  <c r="FD14" i="24" a="1"/>
  <c r="DT33" i="24" a="1"/>
  <c r="DT24" i="24" a="1"/>
  <c r="HX11" i="24" a="1"/>
  <c r="GN33" i="24" a="1"/>
  <c r="FD34" i="24" a="1"/>
  <c r="GN24" i="24" a="1"/>
  <c r="AZ25" i="24" a="1"/>
  <c r="AZ28" i="24" a="1"/>
  <c r="FD19" i="24" a="1"/>
  <c r="GN9" i="24" a="1"/>
  <c r="AZ7" i="24" a="1"/>
  <c r="CJ20" i="24" a="1"/>
  <c r="HX13" i="24" a="1"/>
  <c r="FD22" i="24" a="1"/>
  <c r="GN10" i="24" a="1"/>
  <c r="AZ31" i="24" a="1"/>
  <c r="GN26" i="24" a="1"/>
  <c r="FD7" i="24" a="1"/>
  <c r="AZ11" i="24" a="1"/>
  <c r="GN30" i="24" a="1"/>
  <c r="AZ29" i="24" a="1"/>
  <c r="AZ34" i="24" a="1"/>
  <c r="GN20" i="24" a="1"/>
  <c r="AZ14" i="24" a="1"/>
  <c r="AZ8" i="24" a="1"/>
  <c r="GN5" i="24" a="1"/>
  <c r="HX18" i="24" a="1"/>
  <c r="GN13" i="24" a="1"/>
  <c r="HX14" i="24" a="1"/>
  <c r="CJ30" i="24" a="1"/>
  <c r="HX24" i="24" a="1"/>
  <c r="CJ12" i="24" a="1"/>
  <c r="GN16" i="24" a="1"/>
  <c r="CJ34" i="24" a="1"/>
  <c r="AZ35" i="24" a="1"/>
  <c r="FD25" i="24" a="1"/>
  <c r="GN25" i="24" a="1"/>
  <c r="DT28" i="24" a="1"/>
  <c r="HX19" i="24" a="1"/>
  <c r="HX9" i="24" a="1"/>
  <c r="CJ7" i="24" a="1"/>
  <c r="DT21" i="24" a="1"/>
  <c r="AZ16" i="24" a="1"/>
  <c r="GN23" i="24" a="1"/>
  <c r="AZ12" i="24" a="1"/>
  <c r="AZ24" i="24" a="1"/>
  <c r="DT14" i="24" a="1"/>
  <c r="FD13" i="24" a="1"/>
  <c r="HX30" i="24" a="1"/>
  <c r="GN31" i="24" a="1"/>
  <c r="GN22" i="24" a="1"/>
  <c r="HX22" i="24" a="1"/>
  <c r="CJ25" i="24" a="1"/>
  <c r="AZ17" i="24" a="1"/>
  <c r="AZ9" i="24" a="1"/>
  <c r="DT6" i="24" a="1"/>
  <c r="AZ13" i="24" a="1"/>
  <c r="DT11" i="24" a="1"/>
  <c r="HX17" i="24" a="1"/>
  <c r="FD16" i="24" a="1"/>
  <c r="CJ28" i="24" a="1"/>
  <c r="GN27" i="24" a="1"/>
  <c r="CJ6" i="24" a="1"/>
  <c r="CJ10" i="24" a="1"/>
  <c r="GN35" i="24" a="1"/>
  <c r="DT26" i="24" a="1"/>
  <c r="FD26" i="24" a="1"/>
  <c r="GN28" i="24" a="1"/>
  <c r="AZ23" i="24" a="1"/>
  <c r="DT10" i="24" a="1"/>
  <c r="DT7" i="24" a="1"/>
  <c r="FD24" i="24" a="1"/>
  <c r="DT16" i="24" a="1"/>
  <c r="AZ27" i="24" a="1"/>
  <c r="DT12" i="24" a="1"/>
  <c r="DT30" i="24" a="1"/>
  <c r="AZ30" i="24" a="1"/>
  <c r="CJ8" i="24" a="1"/>
  <c r="CJ16" i="24" a="1"/>
  <c r="DT31" i="24" a="1"/>
  <c r="CJ32" i="24" a="1"/>
  <c r="CJ23" i="24" a="1"/>
  <c r="DT23" i="24" a="1"/>
  <c r="HX25" i="24" a="1"/>
  <c r="DT17" i="24" a="1"/>
  <c r="CJ9" i="24" a="1"/>
  <c r="FD6" i="24" a="1"/>
  <c r="HX16" i="24" a="1"/>
  <c r="GN11" i="24" a="1"/>
  <c r="AZ19" i="24" a="1"/>
  <c r="DT18" i="24" a="1"/>
  <c r="CJ27" i="24" a="1"/>
  <c r="HX8" i="24" a="1"/>
  <c r="FD17" i="24" a="1"/>
  <c r="HX33" i="24" a="1"/>
  <c r="GN34" i="24" a="1"/>
  <c r="GN29" i="24" a="1"/>
  <c r="FD20" i="24" a="1"/>
  <c r="HX21" i="24" a="1"/>
  <c r="GN14" i="24" a="1"/>
  <c r="GN32" i="24" a="1"/>
  <c r="HX34" i="24" a="1"/>
  <c r="HX23" i="24" a="1"/>
  <c r="DT9" i="24" a="1"/>
  <c r="DT19" i="24" a="1"/>
  <c r="HX6" i="24" a="1"/>
  <c r="DT20" i="24" a="1"/>
  <c r="FD8" i="24" a="1"/>
  <c r="GN15" i="24" a="1"/>
  <c r="DT13" i="24" a="1"/>
  <c r="HX31" i="24" a="1"/>
  <c r="GN7" i="24" a="1"/>
  <c r="CJ18" i="24" a="1"/>
  <c r="CJ14" i="24" a="1"/>
  <c r="CJ22" i="24" a="1"/>
  <c r="AZ20" i="24" a="1"/>
  <c r="CJ24" i="24" a="1"/>
  <c r="GN6" i="24" a="1"/>
  <c r="DT25" i="24" a="1"/>
  <c r="GN19" i="24" a="1"/>
  <c r="AZ21" i="24" a="1"/>
  <c r="HX5" i="24" a="1"/>
  <c r="AZ33" i="24" a="1"/>
  <c r="FD31" i="24" a="1"/>
  <c r="FD29" i="24" a="1"/>
  <c r="FD5" i="24" a="1"/>
  <c r="DT27" i="24" a="1"/>
  <c r="DT35" i="24" a="1"/>
  <c r="HX15" i="24" a="1"/>
  <c r="AZ15" i="24" a="1"/>
  <c r="AZ26" i="24" a="1"/>
  <c r="AZ18" i="24" a="1"/>
  <c r="CJ31" i="24" a="1"/>
  <c r="DT34" i="24" a="1"/>
  <c r="DT22" i="24" a="1"/>
  <c r="CJ26" i="24" a="1"/>
  <c r="HX35" i="24" a="1"/>
  <c r="FD28" i="24" a="1"/>
  <c r="FD12" i="24" a="1"/>
  <c r="CJ29" i="24" a="1"/>
  <c r="HX10" i="24" a="1"/>
  <c r="CJ33" i="24" a="1"/>
  <c r="FD9" i="24" a="1"/>
  <c r="AZ10" i="24" a="1"/>
  <c r="HX32" i="24" a="1"/>
  <c r="GN17" i="24" a="1"/>
  <c r="CJ13" i="24" a="1"/>
  <c r="CJ21" i="24" a="1"/>
  <c r="CJ35" i="24" a="1"/>
  <c r="CJ15" i="24" a="1"/>
  <c r="DT5" i="24" a="1"/>
  <c r="CJ5" i="24" a="1"/>
  <c r="FD27" i="24" a="1"/>
  <c r="DT8" i="24" a="1"/>
  <c r="HX20" i="24" a="1"/>
  <c r="DT15" i="24" a="1"/>
  <c r="DT29" i="24" a="1"/>
  <c r="HX26" i="24" a="1"/>
  <c r="GN21" i="18" a="1"/>
  <c r="GN8" i="22" a="1"/>
  <c r="HX21" i="19" a="1"/>
  <c r="FD5" i="18" a="1"/>
  <c r="FD8" i="22" a="1"/>
  <c r="FD20" i="21" a="1"/>
  <c r="GN18" i="22" a="1"/>
  <c r="CJ7" i="20" a="1"/>
  <c r="FD25" i="19" a="1"/>
  <c r="GN18" i="19" a="1"/>
  <c r="HX91" i="18" a="1"/>
  <c r="GN19" i="20" a="1"/>
  <c r="GN20" i="21" a="1"/>
  <c r="DT12" i="22" a="1"/>
  <c r="AZ19" i="21" a="1"/>
  <c r="AZ103" i="18" a="1"/>
  <c r="DT81" i="18" a="1"/>
  <c r="HX7" i="19" a="1"/>
  <c r="DT14" i="21" a="1"/>
  <c r="DT44" i="18" a="1"/>
  <c r="AZ10" i="18" a="1"/>
  <c r="FD5" i="19" a="1"/>
  <c r="FD93" i="18" a="1"/>
  <c r="FD75" i="18" a="1"/>
  <c r="DT33" i="19" a="1"/>
  <c r="FD14" i="20" a="1"/>
  <c r="CJ80" i="18" a="1"/>
  <c r="FD12" i="21" a="1"/>
  <c r="AZ38" i="18" a="1"/>
  <c r="CJ13" i="20" a="1"/>
  <c r="AZ70" i="18" a="1"/>
  <c r="AZ68" i="18" a="1"/>
  <c r="DT52" i="18" a="1"/>
  <c r="CJ10" i="20" a="1"/>
  <c r="HX34" i="19" a="1"/>
  <c r="DT9" i="20" a="1"/>
  <c r="DT17" i="19" a="1"/>
  <c r="DT13" i="22" a="1"/>
  <c r="HX28" i="18" a="1"/>
  <c r="CJ29" i="18" a="1"/>
  <c r="CJ99" i="18" a="1"/>
  <c r="AZ18" i="17" a="1"/>
  <c r="DT99" i="18" a="1"/>
  <c r="GN22" i="22" a="1"/>
  <c r="HX90" i="18" a="1"/>
  <c r="AZ6" i="22" a="1"/>
  <c r="AZ14" i="21" a="1"/>
  <c r="GN9" i="18" a="1"/>
  <c r="CJ51" i="18" a="1"/>
  <c r="FD8" i="18" a="1"/>
  <c r="HX11" i="22" a="1"/>
  <c r="GN29" i="20" a="1"/>
  <c r="CJ102" i="18" a="1"/>
  <c r="GN18" i="20" a="1"/>
  <c r="CJ37" i="18" a="1"/>
  <c r="AZ7" i="22" a="1"/>
  <c r="HX39" i="18" a="1"/>
  <c r="GN6" i="21" a="1"/>
  <c r="FD48" i="18" a="1"/>
  <c r="HX15" i="18" a="1"/>
  <c r="CJ26" i="20" a="1"/>
  <c r="CJ35" i="19" a="1"/>
  <c r="FD28" i="19" a="1"/>
  <c r="DT11" i="19" a="1"/>
  <c r="HX9" i="20" a="1"/>
  <c r="FD27" i="17" a="1"/>
  <c r="AZ13" i="18" a="1"/>
  <c r="AZ8" i="21" a="1"/>
  <c r="AZ84" i="18" a="1"/>
  <c r="CJ12" i="19" a="1"/>
  <c r="GN52" i="18" a="1"/>
  <c r="HX85" i="18" a="1"/>
  <c r="GN101" i="18" a="1"/>
  <c r="AZ9" i="21" a="1"/>
  <c r="FD10" i="21" a="1"/>
  <c r="AZ27" i="20" a="1"/>
  <c r="CJ30" i="20" a="1"/>
  <c r="AZ62" i="18" a="1"/>
  <c r="GN25" i="19" a="1"/>
  <c r="GN25" i="20" a="1"/>
  <c r="HX12" i="18" a="1"/>
  <c r="GN10" i="21" a="1"/>
  <c r="CJ22" i="17" a="1"/>
  <c r="CJ24" i="19" a="1"/>
  <c r="AZ35" i="20" a="1"/>
  <c r="CJ32" i="18" a="1"/>
  <c r="CJ100" i="18" a="1"/>
  <c r="HX32" i="19" a="1"/>
  <c r="DT5" i="22" a="1"/>
  <c r="DT13" i="20" a="1"/>
  <c r="DT95" i="18" a="1"/>
  <c r="CJ9" i="21" a="1"/>
  <c r="HX8" i="21" a="1"/>
  <c r="DT6" i="22" a="1"/>
  <c r="DT12" i="20" a="1"/>
  <c r="FD13" i="18" a="1"/>
  <c r="FD17" i="19" a="1"/>
  <c r="DT20" i="21" a="1"/>
  <c r="FD86" i="18" a="1"/>
  <c r="HX10" i="20" a="1"/>
  <c r="FD21" i="19" a="1"/>
  <c r="CJ26" i="17" a="1"/>
  <c r="GN29" i="18" a="1"/>
  <c r="FD15" i="19" a="1"/>
  <c r="GN5" i="22" a="1"/>
  <c r="GN16" i="22" a="1"/>
  <c r="AZ10" i="22" a="1"/>
  <c r="HX18" i="22" a="1"/>
  <c r="AZ19" i="20" a="1"/>
  <c r="HX16" i="22" a="1"/>
  <c r="FD8" i="19" a="1"/>
  <c r="FD24" i="21" a="1"/>
  <c r="HX70" i="18" a="1"/>
  <c r="FD23" i="17" a="1"/>
  <c r="HX13" i="17" a="1"/>
  <c r="FD8" i="17" a="1"/>
  <c r="HX82" i="18" a="1"/>
  <c r="DT25" i="20" a="1"/>
  <c r="CJ24" i="17" a="1"/>
  <c r="AZ10" i="17" a="1"/>
  <c r="AZ15" i="19" a="1"/>
  <c r="AZ23" i="18" a="1"/>
  <c r="HX18" i="17" a="1"/>
  <c r="DT42" i="18" a="1"/>
  <c r="AZ53" i="18" a="1"/>
  <c r="AZ18" i="19" a="1"/>
  <c r="DT14" i="18" a="1"/>
  <c r="DT78" i="18" a="1"/>
  <c r="AZ22" i="20" a="1"/>
  <c r="HX22" i="18" a="1"/>
  <c r="DT45" i="18" a="1"/>
  <c r="DT35" i="19" a="1"/>
  <c r="GN35" i="18" a="1"/>
  <c r="FD63" i="18" a="1"/>
  <c r="CJ53" i="18" a="1"/>
  <c r="CJ15" i="18" a="1"/>
  <c r="FD21" i="17" a="1"/>
  <c r="AZ13" i="17" a="1"/>
  <c r="HX59" i="18" a="1"/>
  <c r="AZ46" i="18" a="1"/>
  <c r="GN15" i="20" a="1"/>
  <c r="DT38" i="18" a="1"/>
  <c r="CJ10" i="17" a="1"/>
  <c r="CJ10" i="21" a="1"/>
  <c r="AZ6" i="19" a="1"/>
  <c r="DT11" i="17" a="1"/>
  <c r="DT90" i="18" a="1"/>
  <c r="HX29" i="17" a="1"/>
  <c r="DT19" i="21" a="1"/>
  <c r="CJ82" i="18" a="1"/>
  <c r="DT49" i="18" a="1"/>
  <c r="AZ72" i="18" a="1"/>
  <c r="FD52" i="18" a="1"/>
  <c r="DT29" i="18" a="1"/>
  <c r="AZ32" i="20" a="1"/>
  <c r="HX56" i="18" a="1"/>
  <c r="DT27" i="20" a="1"/>
  <c r="HX47" i="18" a="1"/>
  <c r="GN14" i="22" a="1"/>
  <c r="AZ10" i="21" a="1"/>
  <c r="AZ16" i="20" a="1"/>
  <c r="CJ26" i="18" a="1"/>
  <c r="GN23" i="19" a="1"/>
  <c r="GN9" i="19" a="1"/>
  <c r="HX6" i="22" a="1"/>
  <c r="HX28" i="19" a="1"/>
  <c r="GN89" i="18" a="1"/>
  <c r="CJ11" i="21" a="1"/>
  <c r="HX9" i="17" a="1"/>
  <c r="GN16" i="18" a="1"/>
  <c r="GN19" i="21" a="1"/>
  <c r="GN87" i="18" a="1"/>
  <c r="HX54" i="18" a="1"/>
  <c r="GN11" i="21" a="1"/>
  <c r="GN48" i="18" a="1"/>
  <c r="GN88" i="18" a="1"/>
  <c r="FD15" i="18" a="1"/>
  <c r="DT22" i="17" a="1"/>
  <c r="FD26" i="17" a="1"/>
  <c r="FD39" i="18" a="1"/>
  <c r="FD12" i="20" a="1"/>
  <c r="AZ93" i="18" a="1"/>
  <c r="GN17" i="21" a="1"/>
  <c r="GN26" i="18" a="1"/>
  <c r="HX12" i="22" a="1"/>
  <c r="FD19" i="19" a="1"/>
  <c r="AZ59" i="18" a="1"/>
  <c r="FD13" i="21" a="1"/>
  <c r="AZ15" i="18" a="1"/>
  <c r="HX5" i="20" a="1"/>
  <c r="HX11" i="18" a="1"/>
  <c r="CJ5" i="18" a="1"/>
  <c r="DT72" i="18" a="1"/>
  <c r="CJ23" i="20" a="1"/>
  <c r="CJ27" i="17" a="1"/>
  <c r="AZ34" i="19" a="1"/>
  <c r="FD66" i="18" a="1"/>
  <c r="DT8" i="21" a="1"/>
  <c r="GN19" i="18" a="1"/>
  <c r="FD26" i="20" a="1"/>
  <c r="FD31" i="20" a="1"/>
  <c r="HX68" i="18" a="1"/>
  <c r="HX7" i="18" a="1"/>
  <c r="HX19" i="17" a="1"/>
  <c r="FD27" i="19" a="1"/>
  <c r="HX6" i="17" a="1"/>
  <c r="HX8" i="19" a="1"/>
  <c r="HX25" i="17" a="1"/>
  <c r="HX33" i="20" a="1"/>
  <c r="AZ21" i="17" a="1"/>
  <c r="GN23" i="17" a="1"/>
  <c r="CJ16" i="21" a="1"/>
  <c r="GN29" i="17" a="1"/>
  <c r="HX43" i="18" a="1"/>
  <c r="FD17" i="20" a="1"/>
  <c r="DT9" i="21" a="1"/>
  <c r="GN6" i="17" a="1"/>
  <c r="CJ23" i="17" a="1"/>
  <c r="DT29" i="19" a="1"/>
  <c r="CJ10" i="18" a="1"/>
  <c r="FD28" i="17" a="1"/>
  <c r="GN12" i="20" a="1"/>
  <c r="HX86" i="18" a="1"/>
  <c r="DT54" i="18" a="1"/>
  <c r="HX37" i="18" a="1"/>
  <c r="GN76" i="18" a="1"/>
  <c r="DT28" i="19" a="1"/>
  <c r="CJ92" i="18" a="1"/>
  <c r="DT27" i="19" a="1"/>
  <c r="FD14" i="18" a="1"/>
  <c r="HX73" i="18" a="1"/>
  <c r="DT89" i="18" a="1"/>
  <c r="GN27" i="17" a="1"/>
  <c r="DT48" i="18" a="1"/>
  <c r="AZ26" i="18" a="1"/>
  <c r="GN42" i="18" a="1"/>
  <c r="GN15" i="21" a="1"/>
  <c r="HX78" i="18" a="1"/>
  <c r="FD16" i="17" a="1"/>
  <c r="HX52" i="18" a="1"/>
  <c r="HX22" i="20" a="1"/>
  <c r="GN6" i="19" a="1"/>
  <c r="GN64" i="18" a="1"/>
  <c r="GN14" i="18" a="1"/>
  <c r="FD13" i="19" a="1"/>
  <c r="FD18" i="20" a="1"/>
  <c r="FD10" i="17" a="1"/>
  <c r="HX17" i="22" a="1"/>
  <c r="GN33" i="18" a="1"/>
  <c r="GN18" i="18" a="1"/>
  <c r="HX17" i="17" a="1"/>
  <c r="FD70" i="18" a="1"/>
  <c r="CJ28" i="17" a="1"/>
  <c r="AZ75" i="18" a="1"/>
  <c r="DT21" i="18" a="1"/>
  <c r="DT10" i="19" a="1"/>
  <c r="CJ52" i="18" a="1"/>
  <c r="FD19" i="18" a="1"/>
  <c r="CJ27" i="20" a="1"/>
  <c r="GN97" i="18" a="1"/>
  <c r="AZ23" i="19" a="1"/>
  <c r="AZ21" i="18" a="1"/>
  <c r="AZ8" i="22" a="1"/>
  <c r="DT12" i="18" a="1"/>
  <c r="FD61" i="18" a="1"/>
  <c r="AZ26" i="20" a="1"/>
  <c r="FD30" i="19" a="1"/>
  <c r="FD34" i="19" a="1"/>
  <c r="DT93" i="18" a="1"/>
  <c r="DT97" i="18" a="1"/>
  <c r="DT91" i="18" a="1"/>
  <c r="DT31" i="18" a="1"/>
  <c r="DT16" i="22" a="1"/>
  <c r="CJ54" i="18" a="1"/>
  <c r="FD80" i="18" a="1"/>
  <c r="FD18" i="18" a="1"/>
  <c r="HX11" i="20" a="1"/>
  <c r="DT11" i="20" a="1"/>
  <c r="AZ11" i="20" a="1"/>
  <c r="AZ12" i="20" a="1"/>
  <c r="DT7" i="22" a="1"/>
  <c r="GN11" i="18" a="1"/>
  <c r="DT9" i="19" a="1"/>
  <c r="FD29" i="18" a="1"/>
  <c r="AZ35" i="19" a="1"/>
  <c r="CJ22" i="19" a="1"/>
  <c r="HX12" i="20" a="1"/>
  <c r="HX6" i="21" a="1"/>
  <c r="DT101" i="18" a="1"/>
  <c r="HX13" i="20" a="1"/>
  <c r="CJ31" i="19" a="1"/>
  <c r="DT31" i="20" a="1"/>
  <c r="HX23" i="22" a="1"/>
  <c r="CJ6" i="20" a="1"/>
  <c r="FD96" i="18" a="1"/>
  <c r="HX5" i="22" a="1"/>
  <c r="GN22" i="18" a="1"/>
  <c r="HX26" i="19" a="1"/>
  <c r="DT12" i="19" a="1"/>
  <c r="GN22" i="21" a="1"/>
  <c r="FD11" i="19" a="1"/>
  <c r="FD16" i="22" a="1"/>
  <c r="HX10" i="19" a="1"/>
  <c r="CJ21" i="18" a="1"/>
  <c r="HX14" i="18" a="1"/>
  <c r="FD19" i="21" a="1"/>
  <c r="GN35" i="19" a="1"/>
  <c r="HX11" i="21" a="1"/>
  <c r="HX32" i="20" a="1"/>
  <c r="CJ20" i="17" a="1"/>
  <c r="AZ23" i="21" a="1"/>
  <c r="CJ18" i="18" a="1"/>
  <c r="GN11" i="19" a="1"/>
  <c r="HX27" i="20" a="1"/>
  <c r="AZ61" i="18" a="1"/>
  <c r="HX20" i="20" a="1"/>
  <c r="CJ86" i="18" a="1"/>
  <c r="FD82" i="18" a="1"/>
  <c r="DT85" i="18" a="1"/>
  <c r="AZ32" i="18" a="1"/>
  <c r="HX30" i="19" a="1"/>
  <c r="GN82" i="18" a="1"/>
  <c r="FD20" i="22" a="1"/>
  <c r="FD27" i="20" a="1"/>
  <c r="GN19" i="19" a="1"/>
  <c r="GN77" i="18" a="1"/>
  <c r="DT14" i="20" a="1"/>
  <c r="HX16" i="19" a="1"/>
  <c r="GN14" i="20" a="1"/>
  <c r="GN47" i="18" a="1"/>
  <c r="FD89" i="18" a="1"/>
  <c r="FD79" i="18" a="1"/>
  <c r="HX21" i="18" a="1"/>
  <c r="HX93" i="18" a="1"/>
  <c r="HX24" i="19" a="1"/>
  <c r="CJ55" i="18" a="1"/>
  <c r="AZ34" i="20" a="1"/>
  <c r="FD11" i="17" a="1"/>
  <c r="FD76" i="18" a="1"/>
  <c r="GN8" i="19" a="1"/>
  <c r="CJ6" i="19" a="1"/>
  <c r="FD9" i="22" a="1"/>
  <c r="FD64" i="18" a="1"/>
  <c r="DT35" i="20" a="1"/>
  <c r="AZ18" i="20" a="1"/>
  <c r="CJ43" i="18" a="1"/>
  <c r="HX35" i="20" a="1"/>
  <c r="HX25" i="19" a="1"/>
  <c r="HX30" i="20" a="1"/>
  <c r="CJ19" i="18" a="1"/>
  <c r="CJ9" i="20" a="1"/>
  <c r="FD10" i="18" a="1"/>
  <c r="CJ16" i="17" a="1"/>
  <c r="AZ6" i="21" a="1"/>
  <c r="FD19" i="17" a="1"/>
  <c r="HX17" i="21" a="1"/>
  <c r="DT12" i="21" a="1"/>
  <c r="AZ67" i="18" a="1"/>
  <c r="AZ16" i="19" a="1"/>
  <c r="FD51" i="18" a="1"/>
  <c r="DT10" i="22" a="1"/>
  <c r="AZ5" i="21" a="1"/>
  <c r="FD7" i="20" a="1"/>
  <c r="GN17" i="20" a="1"/>
  <c r="HX65" i="18" a="1"/>
  <c r="CJ50" i="18" a="1"/>
  <c r="HX98" i="18" a="1"/>
  <c r="CJ104" i="18" a="1"/>
  <c r="FD24" i="22" a="1"/>
  <c r="DT18" i="21" a="1"/>
  <c r="GN98" i="18" a="1"/>
  <c r="AZ25" i="20" a="1"/>
  <c r="AZ100" i="18" a="1"/>
  <c r="CJ24" i="20" a="1"/>
  <c r="CJ73" i="18" a="1"/>
  <c r="AZ50" i="18" a="1"/>
  <c r="DT10" i="20" a="1"/>
  <c r="DT30" i="18" a="1"/>
  <c r="AZ26" i="17" a="1"/>
  <c r="CJ11" i="20" a="1"/>
  <c r="HX88" i="18" a="1"/>
  <c r="HX12" i="19" a="1"/>
  <c r="AZ95" i="18" a="1"/>
  <c r="AZ15" i="21" a="1"/>
  <c r="AZ86" i="18" a="1"/>
  <c r="HX25" i="18" a="1"/>
  <c r="AZ6" i="17" a="1"/>
  <c r="CJ12" i="17" a="1"/>
  <c r="HX22" i="22" a="1"/>
  <c r="DT22" i="22" a="1"/>
  <c r="HX8" i="22" a="1"/>
  <c r="CJ89" i="18" a="1"/>
  <c r="CJ25" i="18" a="1"/>
  <c r="AZ8" i="17" a="1"/>
  <c r="FD20" i="17" a="1"/>
  <c r="DT17" i="18" a="1"/>
  <c r="CJ94" i="18" a="1"/>
  <c r="DT87" i="18" a="1"/>
  <c r="GN33" i="20" a="1"/>
  <c r="DT76" i="18" a="1"/>
  <c r="HX74" i="18" a="1"/>
  <c r="HX13" i="19" a="1"/>
  <c r="GN12" i="18" a="1"/>
  <c r="DT7" i="20" a="1"/>
  <c r="CJ20" i="21" a="1"/>
  <c r="GN62" i="18" a="1"/>
  <c r="GN12" i="19" a="1"/>
  <c r="DT59" i="18" a="1"/>
  <c r="HX8" i="20" a="1"/>
  <c r="AZ14" i="17" a="1"/>
  <c r="CJ15" i="17" a="1"/>
  <c r="HX5" i="21" a="1"/>
  <c r="CJ103" i="18" a="1"/>
  <c r="DT73" i="18" a="1"/>
  <c r="CJ32" i="19" a="1"/>
  <c r="FD67" i="18" a="1"/>
  <c r="CJ31" i="18" a="1"/>
  <c r="AZ13" i="19" a="1"/>
  <c r="DT96" i="18" a="1"/>
  <c r="HX9" i="18" a="1"/>
  <c r="HX15" i="17" a="1"/>
  <c r="AZ91" i="18" a="1"/>
  <c r="CJ14" i="19" a="1"/>
  <c r="AZ20" i="20" a="1"/>
  <c r="FD104" i="18" a="1"/>
  <c r="AZ13" i="22" a="1"/>
  <c r="FD91" i="18" a="1"/>
  <c r="FD16" i="19" a="1"/>
  <c r="GN5" i="21" a="1"/>
  <c r="AZ69" i="18" a="1"/>
  <c r="AZ98" i="18" a="1"/>
  <c r="DT8" i="19" a="1"/>
  <c r="GN28" i="18" a="1"/>
  <c r="CJ16" i="18" a="1"/>
  <c r="FD73" i="18" a="1"/>
  <c r="CJ5" i="17" a="1"/>
  <c r="FD7" i="18" a="1"/>
  <c r="FD71" i="18" a="1"/>
  <c r="CJ19" i="20" a="1"/>
  <c r="DT7" i="19" a="1"/>
  <c r="GN16" i="20" a="1"/>
  <c r="HX17" i="18" a="1"/>
  <c r="HX69" i="18" a="1"/>
  <c r="CJ79" i="18" a="1"/>
  <c r="FD30" i="20" a="1"/>
  <c r="AZ29" i="17" a="1"/>
  <c r="CJ87" i="18" a="1"/>
  <c r="HX60" i="18" a="1"/>
  <c r="CJ33" i="18" a="1"/>
  <c r="CJ56" i="18" a="1"/>
  <c r="DT34" i="20" a="1"/>
  <c r="DT13" i="21" a="1"/>
  <c r="AZ29" i="18" a="1"/>
  <c r="AZ31" i="19" a="1"/>
  <c r="DT6" i="18" a="1"/>
  <c r="CJ91" i="18" a="1"/>
  <c r="FD11" i="21" a="1"/>
  <c r="AZ16" i="17" a="1"/>
  <c r="AZ27" i="18" a="1"/>
  <c r="FD46" i="18" a="1"/>
  <c r="GN11" i="17" a="1"/>
  <c r="CJ22" i="18" a="1"/>
  <c r="GN67" i="18" a="1"/>
  <c r="HX8" i="17" a="1"/>
  <c r="HX42" i="18" a="1"/>
  <c r="FD56" i="18" a="1"/>
  <c r="AZ7" i="18" a="1"/>
  <c r="FD19" i="22" a="1"/>
  <c r="AZ16" i="22" a="1"/>
  <c r="GN45" i="18" a="1"/>
  <c r="HX24" i="20" a="1"/>
  <c r="GN104" i="18" a="1"/>
  <c r="CJ6" i="17" a="1"/>
  <c r="GN28" i="17" a="1"/>
  <c r="CJ12" i="18" a="1"/>
  <c r="FD45" i="18" a="1"/>
  <c r="GN85" i="18" a="1"/>
  <c r="FD72" i="18" a="1"/>
  <c r="DT82" i="18" a="1"/>
  <c r="GN54" i="18" a="1"/>
  <c r="CJ81" i="18" a="1"/>
  <c r="CJ5" i="19" a="1"/>
  <c r="CJ11" i="18" a="1"/>
  <c r="CJ13" i="17" a="1"/>
  <c r="AZ22" i="18" a="1"/>
  <c r="GN9" i="20" a="1"/>
  <c r="DT6" i="19" a="1"/>
  <c r="DT50" i="18" a="1"/>
  <c r="AZ12" i="17" a="1"/>
  <c r="CJ17" i="18" a="1"/>
  <c r="DT15" i="22" a="1"/>
  <c r="AZ11" i="17" a="1"/>
  <c r="FD7" i="17" a="1"/>
  <c r="GN26" i="17" a="1"/>
  <c r="FD38" i="18" a="1"/>
  <c r="GN103" i="18" a="1"/>
  <c r="HX21" i="17" a="1"/>
  <c r="CJ67" i="18" a="1"/>
  <c r="GN7" i="21" a="1"/>
  <c r="FD98" i="18" a="1"/>
  <c r="AZ52" i="18" a="1"/>
  <c r="FD22" i="18" a="1"/>
  <c r="DT5" i="20" a="1"/>
  <c r="DT27" i="17" a="1"/>
  <c r="HX94" i="18" a="1"/>
  <c r="GN43" i="18" a="1"/>
  <c r="DT83" i="18" a="1"/>
  <c r="AZ14" i="20" a="1"/>
  <c r="HX15" i="21" a="1"/>
  <c r="HX14" i="17" a="1"/>
  <c r="AZ31" i="20" a="1"/>
  <c r="HX18" i="20" a="1"/>
  <c r="GN17" i="19" a="1"/>
  <c r="AZ21" i="19" a="1"/>
  <c r="AZ99" i="18" a="1"/>
  <c r="AZ24" i="22" a="1"/>
  <c r="AZ22" i="22" a="1"/>
  <c r="HX13" i="18" a="1"/>
  <c r="FD18" i="22" a="1"/>
  <c r="AZ42" i="18" a="1"/>
  <c r="FD85" i="18" a="1"/>
  <c r="FD12" i="18" a="1"/>
  <c r="HX58" i="18" a="1"/>
  <c r="GN14" i="19" a="1"/>
  <c r="FD5" i="22" a="1"/>
  <c r="DT11" i="22" a="1"/>
  <c r="AZ11" i="22" a="1"/>
  <c r="CJ11" i="19" a="1"/>
  <c r="CJ78" i="18" a="1"/>
  <c r="AZ8" i="19" a="1"/>
  <c r="AZ92" i="18" a="1"/>
  <c r="FD11" i="20" a="1"/>
  <c r="FD43" i="18" a="1"/>
  <c r="GN13" i="20" a="1"/>
  <c r="AZ28" i="18" a="1"/>
  <c r="DT104" i="18" a="1"/>
  <c r="CJ69" i="18" a="1"/>
  <c r="CJ8" i="21" a="1"/>
  <c r="HX15" i="22" a="1"/>
  <c r="DT79" i="18" a="1"/>
  <c r="CJ34" i="20" a="1"/>
  <c r="GN19" i="22" a="1"/>
  <c r="GN32" i="19" a="1"/>
  <c r="CJ16" i="19" a="1"/>
  <c r="GN18" i="21" a="1"/>
  <c r="FD34" i="20" a="1"/>
  <c r="CJ28" i="19" a="1"/>
  <c r="AZ23" i="22" a="1"/>
  <c r="HX23" i="18" a="1"/>
  <c r="HX17" i="19" a="1"/>
  <c r="CJ14" i="17" a="1"/>
  <c r="HX18" i="19" a="1"/>
  <c r="HX45" i="18" a="1"/>
  <c r="FD10" i="22" a="1"/>
  <c r="FD16" i="21" a="1"/>
  <c r="GN20" i="20" a="1"/>
  <c r="FD53" i="18" a="1"/>
  <c r="HX9" i="22" a="1"/>
  <c r="DT14" i="19" a="1"/>
  <c r="GN95" i="18" a="1"/>
  <c r="FD15" i="17" a="1"/>
  <c r="HX14" i="22" a="1"/>
  <c r="DT32" i="18" a="1"/>
  <c r="FD12" i="22" a="1"/>
  <c r="GN14" i="21" a="1"/>
  <c r="FD23" i="22" a="1"/>
  <c r="FD37" i="18" a="1"/>
  <c r="CJ15" i="21" a="1"/>
  <c r="CJ47" i="18" a="1"/>
  <c r="GN10" i="17" a="1"/>
  <c r="HX34" i="18" a="1"/>
  <c r="HX33" i="18" a="1"/>
  <c r="HX33" i="19" a="1"/>
  <c r="AZ24" i="20" a="1"/>
  <c r="CJ17" i="20" a="1"/>
  <c r="HX16" i="21" a="1"/>
  <c r="CJ18" i="21" a="1"/>
  <c r="DT68" i="18" a="1"/>
  <c r="DT62" i="18" a="1"/>
  <c r="GN8" i="20" a="1"/>
  <c r="HX20" i="19" a="1"/>
  <c r="HX103" i="18" a="1"/>
  <c r="FD99" i="18" a="1"/>
  <c r="HX67" i="18" a="1"/>
  <c r="DT15" i="17" a="1"/>
  <c r="CJ44" i="18" a="1"/>
  <c r="HX76" i="18" a="1"/>
  <c r="FD18" i="19" a="1"/>
  <c r="DT75" i="18" a="1"/>
  <c r="CJ8" i="17" a="1"/>
  <c r="HX18" i="18" a="1"/>
  <c r="FD25" i="18" a="1"/>
  <c r="CJ5" i="20" a="1"/>
  <c r="AZ14" i="18" a="1"/>
  <c r="HX10" i="22" a="1"/>
  <c r="DT46" i="18" a="1"/>
  <c r="CJ10" i="19" a="1"/>
  <c r="HX8" i="18" a="1"/>
  <c r="HX48" i="18" a="1"/>
  <c r="FD15" i="20" a="1"/>
  <c r="CJ24" i="21" a="1"/>
  <c r="AZ27" i="17" a="1"/>
  <c r="GN31" i="20" a="1"/>
  <c r="FD13" i="22" a="1"/>
  <c r="AZ102" i="18" a="1"/>
  <c r="FD87" i="18" a="1"/>
  <c r="GN20" i="19" a="1"/>
  <c r="CJ35" i="18" a="1"/>
  <c r="CJ29" i="19" a="1"/>
  <c r="AZ66" i="18" a="1"/>
  <c r="CJ8" i="20" a="1"/>
  <c r="AZ21" i="21" a="1"/>
  <c r="FD10" i="19" a="1"/>
  <c r="DT17" i="17" a="1"/>
  <c r="FD23" i="21" a="1"/>
  <c r="HX20" i="22" a="1"/>
  <c r="FD32" i="20" a="1"/>
  <c r="AZ79" i="18" a="1"/>
  <c r="AZ55" i="18" a="1"/>
  <c r="AZ41" i="18" a="1"/>
  <c r="GN13" i="18" a="1"/>
  <c r="AZ20" i="17" a="1"/>
  <c r="AZ33" i="18" a="1"/>
  <c r="CJ6" i="21" a="1"/>
  <c r="CJ14" i="21" a="1"/>
  <c r="DT80" i="18" a="1"/>
  <c r="AZ97" i="18" a="1"/>
  <c r="CJ27" i="19" a="1"/>
  <c r="CJ42" i="18" a="1"/>
  <c r="HX16" i="20" a="1"/>
  <c r="GN11" i="22" a="1"/>
  <c r="FD8" i="21" a="1"/>
  <c r="FD15" i="22" a="1"/>
  <c r="GN35" i="20" a="1"/>
  <c r="CJ14" i="18" a="1"/>
  <c r="AZ14" i="22" a="1"/>
  <c r="FD24" i="20" a="1"/>
  <c r="AZ17" i="17" a="1"/>
  <c r="HX6" i="18" a="1"/>
  <c r="FD8" i="20" a="1"/>
  <c r="HX27" i="17" a="1"/>
  <c r="AZ47" i="18" a="1"/>
  <c r="FD42" i="18" a="1"/>
  <c r="HX57" i="18" a="1"/>
  <c r="FD88" i="18" a="1"/>
  <c r="AZ15" i="20" a="1"/>
  <c r="FD21" i="22" a="1"/>
  <c r="FD11" i="18" a="1"/>
  <c r="FD94" i="18" a="1"/>
  <c r="DT21" i="21" a="1"/>
  <c r="GN27" i="18" a="1"/>
  <c r="HX31" i="18" a="1"/>
  <c r="CJ48" i="18" a="1"/>
  <c r="FD33" i="18" a="1"/>
  <c r="DT51" i="18" a="1"/>
  <c r="CJ22" i="20" a="1"/>
  <c r="HX5" i="18" a="1"/>
  <c r="DT28" i="17" a="1"/>
  <c r="AZ15" i="17" a="1"/>
  <c r="AZ17" i="20" a="1"/>
  <c r="CJ40" i="18" a="1"/>
  <c r="HX92" i="18" a="1"/>
  <c r="FD10" i="20" a="1"/>
  <c r="DT29" i="17" a="1"/>
  <c r="GN22" i="20" a="1"/>
  <c r="CJ30" i="18" a="1"/>
  <c r="DT70" i="18" a="1"/>
  <c r="HX19" i="22" a="1"/>
  <c r="CJ66" i="18" a="1"/>
  <c r="AZ96" i="18" a="1"/>
  <c r="GN16" i="17" a="1"/>
  <c r="AZ48" i="18" a="1"/>
  <c r="GN23" i="22" a="1"/>
  <c r="GN5" i="18" a="1"/>
  <c r="DT41" i="18" a="1"/>
  <c r="CJ60" i="18" a="1"/>
  <c r="DT11" i="21" a="1"/>
  <c r="CJ15" i="20" a="1"/>
  <c r="GN53" i="18" a="1"/>
  <c r="FD74" i="18" a="1"/>
  <c r="FD83" i="18" a="1"/>
  <c r="GN59" i="18" a="1"/>
  <c r="GN11" i="20" a="1"/>
  <c r="CJ8" i="19" a="1"/>
  <c r="HX14" i="20" a="1"/>
  <c r="AZ6" i="18" a="1"/>
  <c r="GN60" i="18" a="1"/>
  <c r="GN22" i="17" a="1"/>
  <c r="GN16" i="21" a="1"/>
  <c r="FD81" i="18" a="1"/>
  <c r="HX51" i="18" a="1"/>
  <c r="HX95" i="18" a="1"/>
  <c r="GN40" i="18" a="1"/>
  <c r="HX12" i="17" a="1"/>
  <c r="GN90" i="18" a="1"/>
  <c r="CJ13" i="21" a="1"/>
  <c r="DT10" i="17" a="1"/>
  <c r="HX6" i="20" a="1"/>
  <c r="AZ54" i="18" a="1"/>
  <c r="CJ33" i="19" a="1"/>
  <c r="DT5" i="19" a="1"/>
  <c r="GN29" i="19" a="1"/>
  <c r="CJ26" i="19" a="1"/>
  <c r="GN23" i="20" a="1"/>
  <c r="HX80" i="18" a="1"/>
  <c r="FD55" i="18" a="1"/>
  <c r="GN13" i="19" a="1"/>
  <c r="GN22" i="19" a="1"/>
  <c r="FD54" i="18" a="1"/>
  <c r="HX28" i="17" a="1"/>
  <c r="AZ9" i="22" a="1"/>
  <c r="CJ19" i="17" a="1"/>
  <c r="HX11" i="17" a="1"/>
  <c r="GN28" i="20" a="1"/>
  <c r="GN18" i="17" a="1"/>
  <c r="FD34" i="18" a="1"/>
  <c r="DT23" i="17" a="1"/>
  <c r="DT31" i="19" a="1"/>
  <c r="GN30" i="18" a="1"/>
  <c r="HX35" i="18" a="1"/>
  <c r="FD32" i="19" a="1"/>
  <c r="AZ35" i="18" a="1"/>
  <c r="CJ34" i="18" a="1"/>
  <c r="CJ68" i="18" a="1"/>
  <c r="CJ21" i="19" a="1"/>
  <c r="DT39" i="18" a="1"/>
  <c r="DT26" i="18" a="1"/>
  <c r="FD19" i="20" a="1"/>
  <c r="GN24" i="21" a="1"/>
  <c r="AZ90" i="18" a="1"/>
  <c r="HX100" i="18" a="1"/>
  <c r="DT16" i="19" a="1"/>
  <c r="CJ95" i="18" a="1"/>
  <c r="CJ12" i="21" a="1"/>
  <c r="CJ74" i="18" a="1"/>
  <c r="FD69" i="18" a="1"/>
  <c r="HX75" i="18" a="1"/>
  <c r="GN14" i="17" a="1"/>
  <c r="HX6" i="19" a="1"/>
  <c r="GN17" i="17" a="1"/>
  <c r="DT92" i="18" a="1"/>
  <c r="HX32" i="18" a="1"/>
  <c r="AZ71" i="18" a="1"/>
  <c r="DT32" i="19" a="1"/>
  <c r="GN38" i="18" a="1"/>
  <c r="AZ5" i="20" a="1"/>
  <c r="CJ83" i="18" a="1"/>
  <c r="GN15" i="19" a="1"/>
  <c r="FD23" i="18" a="1"/>
  <c r="DT12" i="17" a="1"/>
  <c r="AZ9" i="17" a="1"/>
  <c r="DT20" i="19" a="1"/>
  <c r="GN57" i="18" a="1"/>
  <c r="DT16" i="20" a="1"/>
  <c r="DT19" i="22" a="1"/>
  <c r="HX21" i="22" a="1"/>
  <c r="AZ19" i="19" a="1"/>
  <c r="HX49" i="18" a="1"/>
  <c r="HX12" i="21" a="1"/>
  <c r="FD22" i="17" a="1"/>
  <c r="DT21" i="22" a="1"/>
  <c r="CJ15" i="19" a="1"/>
  <c r="GN12" i="22" a="1"/>
  <c r="DT28" i="20" a="1"/>
  <c r="GN96" i="18" a="1"/>
  <c r="HX17" i="20" a="1"/>
  <c r="DT20" i="18" a="1"/>
  <c r="HX71" i="18" a="1"/>
  <c r="FD12" i="19" a="1"/>
  <c r="GN6" i="20" a="1"/>
  <c r="DT29" i="20" a="1"/>
  <c r="GN33" i="19" a="1"/>
  <c r="CJ20" i="18" a="1"/>
  <c r="CJ71" i="18" a="1"/>
  <c r="AZ7" i="21" a="1"/>
  <c r="GN20" i="22" a="1"/>
  <c r="AZ21" i="20" a="1"/>
  <c r="DT30" i="19" a="1"/>
  <c r="AZ56" i="18" a="1"/>
  <c r="HX27" i="19" a="1"/>
  <c r="GN21" i="22" a="1"/>
  <c r="AZ76" i="18" a="1"/>
  <c r="GN9" i="21" a="1"/>
  <c r="AZ17" i="19" a="1"/>
  <c r="GN17" i="18" a="1"/>
  <c r="GN61" i="18" a="1"/>
  <c r="DT16" i="17" a="1"/>
  <c r="HX13" i="21" a="1"/>
  <c r="FD17" i="17" a="1"/>
  <c r="DT63" i="18" a="1"/>
  <c r="CJ49" i="18" a="1"/>
  <c r="GN10" i="22" a="1"/>
  <c r="DT10" i="21" a="1"/>
  <c r="HX24" i="17" a="1"/>
  <c r="HX5" i="19" a="1"/>
  <c r="GN12" i="21" a="1"/>
  <c r="DT20" i="22" a="1"/>
  <c r="GN19" i="17" a="1"/>
  <c r="HX20" i="17" a="1"/>
  <c r="AZ28" i="20" a="1"/>
  <c r="GN72" i="18" a="1"/>
  <c r="AZ49" i="18" a="1"/>
  <c r="FD68" i="18" a="1"/>
  <c r="FD62" i="18" a="1"/>
  <c r="GN5" i="20" a="1"/>
  <c r="HX61" i="18" a="1"/>
  <c r="DT8" i="18" a="1"/>
  <c r="AZ6" i="20" a="1"/>
  <c r="AZ78" i="18" a="1"/>
  <c r="CJ62" i="18" a="1"/>
  <c r="FD41" i="18" a="1"/>
  <c r="FD22" i="22" a="1"/>
  <c r="DT7" i="17" a="1"/>
  <c r="GN13" i="17" a="1"/>
  <c r="AZ94" i="18" a="1"/>
  <c r="CJ30" i="19" a="1"/>
  <c r="AZ87" i="18" a="1"/>
  <c r="FD35" i="19" a="1"/>
  <c r="HX31" i="20" a="1"/>
  <c r="FD101" i="18" a="1"/>
  <c r="FD47" i="18" a="1"/>
  <c r="FD33" i="19" a="1"/>
  <c r="CJ85" i="18" a="1"/>
  <c r="HX10" i="21" a="1"/>
  <c r="FD90" i="18" a="1"/>
  <c r="DT18" i="18" a="1"/>
  <c r="AZ7" i="19" a="1"/>
  <c r="FD6" i="21" a="1"/>
  <c r="AZ23" i="17" a="1"/>
  <c r="AZ80" i="18" a="1"/>
  <c r="HX10" i="17" a="1"/>
  <c r="HX77" i="18" a="1"/>
  <c r="CJ41" i="18" a="1"/>
  <c r="GN44" i="18" a="1"/>
  <c r="DT35" i="18" a="1"/>
  <c r="AZ20" i="18" a="1"/>
  <c r="AZ7" i="20" a="1"/>
  <c r="GN37" i="18" a="1"/>
  <c r="DT25" i="18" a="1"/>
  <c r="DT5" i="17" a="1"/>
  <c r="GN7" i="17" a="1"/>
  <c r="DT14" i="22" a="1"/>
  <c r="GN16" i="19" a="1"/>
  <c r="HX15" i="20" a="1"/>
  <c r="CJ25" i="17" a="1"/>
  <c r="DT15" i="19" a="1"/>
  <c r="AZ13" i="20" a="1"/>
  <c r="FD17" i="22" a="1"/>
  <c r="DT5" i="21" a="1"/>
  <c r="GN15" i="22" a="1"/>
  <c r="HX21" i="21" a="1"/>
  <c r="HX24" i="18" a="1"/>
  <c r="FD6" i="20" a="1"/>
  <c r="AZ16" i="18" a="1"/>
  <c r="HX29" i="18" a="1"/>
  <c r="HX50" i="18" a="1"/>
  <c r="AZ17" i="22" a="1"/>
  <c r="HX23" i="17" a="1"/>
  <c r="DT17" i="20" a="1"/>
  <c r="GN31" i="18" a="1"/>
  <c r="DT16" i="21" a="1"/>
  <c r="HX20" i="21" a="1"/>
  <c r="AZ20" i="21" a="1"/>
  <c r="CJ21" i="21" a="1"/>
  <c r="GN49" i="18" a="1"/>
  <c r="GN17" i="22" a="1"/>
  <c r="DT17" i="21" a="1"/>
  <c r="HX19" i="20" a="1"/>
  <c r="DT24" i="17" a="1"/>
  <c r="DT26" i="20" a="1"/>
  <c r="DT6" i="17" a="1"/>
  <c r="FD5" i="20" a="1"/>
  <c r="GN30" i="19" a="1"/>
  <c r="GN8" i="18" a="1"/>
  <c r="AZ12" i="22" a="1"/>
  <c r="DT10" i="18" a="1"/>
  <c r="DT102" i="18" a="1"/>
  <c r="FD25" i="20" a="1"/>
  <c r="CJ32" i="20" a="1"/>
  <c r="CJ21" i="20" a="1"/>
  <c r="AZ24" i="19" a="1"/>
  <c r="GN15" i="18" a="1"/>
  <c r="HX97" i="18" a="1"/>
  <c r="CJ27" i="18" a="1"/>
  <c r="DT103" i="18" a="1"/>
  <c r="GN12" i="17" a="1"/>
  <c r="CJ34" i="19" a="1"/>
  <c r="HX9" i="21" a="1"/>
  <c r="DT22" i="19" a="1"/>
  <c r="GN21" i="19" a="1"/>
  <c r="AZ29" i="20" a="1"/>
  <c r="FD35" i="20" a="1"/>
  <c r="AZ25" i="19" a="1"/>
  <c r="GN28" i="19" a="1"/>
  <c r="HX9" i="19" a="1"/>
  <c r="GN25" i="18" a="1"/>
  <c r="AZ85" i="18" a="1"/>
  <c r="FD5" i="21" a="1"/>
  <c r="HX66" i="18" a="1"/>
  <c r="HX21" i="20" a="1"/>
  <c r="CJ58" i="18" a="1"/>
  <c r="FD9" i="21" a="1"/>
  <c r="GN8" i="21" a="1"/>
  <c r="CJ23" i="21" a="1"/>
  <c r="FD29" i="17" a="1"/>
  <c r="GN21" i="20" a="1"/>
  <c r="FD23" i="19" a="1"/>
  <c r="AZ25" i="18" a="1"/>
  <c r="GN7" i="20" a="1"/>
  <c r="DT56" i="18" a="1"/>
  <c r="CJ13" i="18" a="1"/>
  <c r="CJ7" i="21" a="1"/>
  <c r="CJ101" i="18" a="1"/>
  <c r="DT11" i="18" a="1"/>
  <c r="CJ35" i="20" a="1"/>
  <c r="AZ22" i="19" a="1"/>
  <c r="CJ20" i="20" a="1"/>
  <c r="DT25" i="17" a="1"/>
  <c r="DT23" i="20" a="1"/>
  <c r="CJ84" i="18" a="1"/>
  <c r="AZ16" i="21" a="1"/>
  <c r="DT94" i="18" a="1"/>
  <c r="GN99" i="18" a="1"/>
  <c r="FD16" i="20" a="1"/>
  <c r="DT8" i="22" a="1"/>
  <c r="AZ29" i="19" a="1"/>
  <c r="HX87" i="18" a="1"/>
  <c r="FD9" i="17" a="1"/>
  <c r="CJ18" i="20" a="1"/>
  <c r="HX11" i="19" a="1"/>
  <c r="FD24" i="18" a="1"/>
  <c r="HX30" i="18" a="1"/>
  <c r="DT74" i="18" a="1"/>
  <c r="HX99" i="18" a="1"/>
  <c r="DT19" i="20" a="1"/>
  <c r="GN102" i="18" a="1"/>
  <c r="CJ90" i="18" a="1"/>
  <c r="AZ30" i="18" a="1"/>
  <c r="FD77" i="18" a="1"/>
  <c r="GN71" i="18" a="1"/>
  <c r="FD20" i="18" a="1"/>
  <c r="AZ14" i="19" a="1"/>
  <c r="AZ12" i="18" a="1"/>
  <c r="HX7" i="22" a="1"/>
  <c r="AZ64" i="18" a="1"/>
  <c r="FD28" i="20" a="1"/>
  <c r="AZ5" i="19" a="1"/>
  <c r="CJ97" i="18" a="1"/>
  <c r="DT77" i="18" a="1"/>
  <c r="GN32" i="20" a="1"/>
  <c r="FD21" i="21" a="1"/>
  <c r="FD22" i="19" a="1"/>
  <c r="GN46" i="18" a="1"/>
  <c r="HX44" i="18" a="1"/>
  <c r="DT9" i="17" a="1"/>
  <c r="GN50" i="18" a="1"/>
  <c r="AZ88" i="18" a="1"/>
  <c r="CJ88" i="18" a="1"/>
  <c r="FD59" i="18" a="1"/>
  <c r="HX34" i="20" a="1"/>
  <c r="CJ7" i="17" a="1"/>
  <c r="FD27" i="18" a="1"/>
  <c r="FD9" i="20" a="1"/>
  <c r="AZ24" i="18" a="1"/>
  <c r="AZ65" i="18" a="1"/>
  <c r="HX7" i="20" a="1"/>
  <c r="HX81" i="18" a="1"/>
  <c r="CJ17" i="17" a="1"/>
  <c r="GN86" i="18" a="1"/>
  <c r="AZ32" i="19" a="1"/>
  <c r="DT98" i="18" a="1"/>
  <c r="HX104" i="18" a="1"/>
  <c r="DT19" i="19" a="1"/>
  <c r="HX26" i="17" a="1"/>
  <c r="GN84" i="18" a="1"/>
  <c r="FD17" i="18" a="1"/>
  <c r="AZ33" i="20" a="1"/>
  <c r="CJ59" i="18" a="1"/>
  <c r="HX29" i="19" a="1"/>
  <c r="AZ18" i="18" a="1"/>
  <c r="GN26" i="20" a="1"/>
  <c r="CJ70" i="18" a="1"/>
  <c r="FD7" i="21" a="1"/>
  <c r="GN34" i="19" a="1"/>
  <c r="HX63" i="18" a="1"/>
  <c r="CJ13" i="19" a="1"/>
  <c r="FD25" i="17" a="1"/>
  <c r="CJ93" i="18" a="1"/>
  <c r="AZ17" i="18" a="1"/>
  <c r="FD6" i="17" a="1"/>
  <c r="AZ22" i="21" a="1"/>
  <c r="AZ77" i="18" a="1"/>
  <c r="DT71" i="18" a="1"/>
  <c r="GN34" i="20" a="1"/>
  <c r="GN24" i="22" a="1"/>
  <c r="HX62" i="18" a="1"/>
  <c r="GN70" i="18" a="1"/>
  <c r="CJ64" i="18" a="1"/>
  <c r="AZ81" i="18" a="1"/>
  <c r="DT19" i="18" a="1"/>
  <c r="GN7" i="18" a="1"/>
  <c r="FD11" i="22" a="1"/>
  <c r="AZ33" i="19" a="1"/>
  <c r="AZ30" i="20" a="1"/>
  <c r="GN51" i="18" a="1"/>
  <c r="GN32" i="18" a="1"/>
  <c r="DT66" i="18" a="1"/>
  <c r="HX89" i="18" a="1"/>
  <c r="FD9" i="19" a="1"/>
  <c r="GN66" i="18" a="1"/>
  <c r="DT37" i="18" a="1"/>
  <c r="DT18" i="22" a="1"/>
  <c r="AZ39" i="18" a="1"/>
  <c r="AZ23" i="20" a="1"/>
  <c r="FD22" i="21" a="1"/>
  <c r="HX22" i="19" a="1"/>
  <c r="CJ19" i="19" a="1"/>
  <c r="DT7" i="21" a="1"/>
  <c r="CJ7" i="19" a="1"/>
  <c r="FD26" i="19" a="1"/>
  <c r="AZ22" i="17" a="1"/>
  <c r="DT22" i="21" a="1"/>
  <c r="AZ11" i="19" a="1"/>
  <c r="AZ19" i="22" a="1"/>
  <c r="DT8" i="20" a="1"/>
  <c r="GN68" i="18" a="1"/>
  <c r="FD18" i="21" a="1"/>
  <c r="HX13" i="22" a="1"/>
  <c r="GN30" i="20" a="1"/>
  <c r="HX26" i="20" a="1"/>
  <c r="HX24" i="21" a="1"/>
  <c r="AZ40" i="18" a="1"/>
  <c r="CJ5" i="21" a="1"/>
  <c r="AZ36" i="18" a="1"/>
  <c r="AZ30" i="19" a="1"/>
  <c r="FD32" i="18" a="1"/>
  <c r="AZ9" i="20" a="1"/>
  <c r="DT24" i="20" a="1"/>
  <c r="FD36" i="18" a="1"/>
  <c r="AZ19" i="18" a="1"/>
  <c r="DT18" i="19" a="1"/>
  <c r="DT36" i="18" a="1"/>
  <c r="HX23" i="21" a="1"/>
  <c r="FD13" i="17" a="1"/>
  <c r="FD22" i="20" a="1"/>
  <c r="AZ7" i="17" a="1"/>
  <c r="HX19" i="21" a="1"/>
  <c r="HX23" i="19" a="1"/>
  <c r="AZ19" i="17" a="1"/>
  <c r="HX72" i="18" a="1"/>
  <c r="GN7" i="22" a="1"/>
  <c r="CJ31" i="20" a="1"/>
  <c r="GN7" i="19" a="1"/>
  <c r="FD49" i="18" a="1"/>
  <c r="DT26" i="17" a="1"/>
  <c r="HX25" i="20" a="1"/>
  <c r="FD44" i="18" a="1"/>
  <c r="GN73" i="18" a="1"/>
  <c r="CJ22" i="21" a="1"/>
  <c r="DT6" i="21" a="1"/>
  <c r="AZ20" i="22" a="1"/>
  <c r="GN34" i="18" a="1"/>
  <c r="FD78" i="18" a="1"/>
  <c r="HX7" i="17" a="1"/>
  <c r="FD26" i="18" a="1"/>
  <c r="CJ9" i="19" a="1"/>
  <c r="GN21" i="17" a="1"/>
  <c r="DT24" i="18" a="1"/>
  <c r="DT14" i="17" a="1"/>
  <c r="FD50" i="18" a="1"/>
  <c r="HX36" i="18" a="1"/>
  <c r="FD103" i="18" a="1"/>
  <c r="GN79" i="18" a="1"/>
  <c r="HX15" i="19" a="1"/>
  <c r="CJ46" i="18" a="1"/>
  <c r="CJ20" i="19" a="1"/>
  <c r="DT23" i="22" a="1"/>
  <c r="CJ96" i="18" a="1"/>
  <c r="GN41" i="18" a="1"/>
  <c r="HX55" i="18" a="1"/>
  <c r="FD58" i="18" a="1"/>
  <c r="GN13" i="22" a="1"/>
  <c r="DT17" i="22" a="1"/>
  <c r="DT24" i="21" a="1"/>
  <c r="CJ12" i="20" a="1"/>
  <c r="GN81" i="18" a="1"/>
  <c r="DT67" i="18" a="1"/>
  <c r="CJ36" i="18" a="1"/>
  <c r="AZ89" i="18" a="1"/>
  <c r="GN20" i="18" a="1"/>
  <c r="AZ24" i="17" a="1"/>
  <c r="HX5" i="17" a="1"/>
  <c r="FD6" i="19" a="1"/>
  <c r="CJ8" i="18" a="1"/>
  <c r="DT64" i="18" a="1"/>
  <c r="GN65" i="18" a="1"/>
  <c r="GN92" i="18" a="1"/>
  <c r="AZ28" i="19" a="1"/>
  <c r="HX14" i="21" a="1"/>
  <c r="DT34" i="19" a="1"/>
  <c r="DT16" i="18" a="1"/>
  <c r="GN10" i="19" a="1"/>
  <c r="FD7" i="22" a="1"/>
  <c r="GN23" i="21" a="1"/>
  <c r="GN75" i="18" a="1"/>
  <c r="DT43" i="18" a="1"/>
  <c r="FD6" i="22" a="1"/>
  <c r="GN9" i="22" a="1"/>
  <c r="AZ8" i="20" a="1"/>
  <c r="AZ12" i="21" a="1"/>
  <c r="CJ29" i="20" a="1"/>
  <c r="DT5" i="18" a="1"/>
  <c r="GN26" i="19" a="1"/>
  <c r="FD15" i="21" a="1"/>
  <c r="AZ104" i="18" a="1"/>
  <c r="DT61" i="18" a="1"/>
  <c r="DT13" i="18" a="1"/>
  <c r="HX102" i="18" a="1"/>
  <c r="FD18" i="17" a="1"/>
  <c r="FD35" i="18" a="1"/>
  <c r="FD7" i="19" a="1"/>
  <c r="FD102" i="18" a="1"/>
  <c r="AZ8" i="18" a="1"/>
  <c r="CJ33" i="20" a="1"/>
  <c r="DT60" i="18" a="1"/>
  <c r="HX19" i="19" a="1"/>
  <c r="FD14" i="17" a="1"/>
  <c r="GN21" i="21" a="1"/>
  <c r="CJ23" i="18" a="1"/>
  <c r="HX83" i="18" a="1"/>
  <c r="GN6" i="22" a="1"/>
  <c r="DT33" i="20" a="1"/>
  <c r="GN13" i="21" a="1"/>
  <c r="GN58" i="18" a="1"/>
  <c r="DT88" i="18" a="1"/>
  <c r="GN24" i="20" a="1"/>
  <c r="CJ28" i="20" a="1"/>
  <c r="AZ5" i="22" a="1"/>
  <c r="AZ15" i="22" a="1"/>
  <c r="GN74" i="18" a="1"/>
  <c r="HX41" i="18" a="1"/>
  <c r="AZ58" i="18" a="1"/>
  <c r="AZ5" i="18" a="1"/>
  <c r="AZ74" i="18" a="1"/>
  <c r="HX24" i="22" a="1"/>
  <c r="DT27" i="18" a="1"/>
  <c r="AZ18" i="21" a="1"/>
  <c r="FD100" i="18" a="1"/>
  <c r="GN31" i="19" a="1"/>
  <c r="GN80" i="18" a="1"/>
  <c r="HX20" i="18" a="1"/>
  <c r="DT15" i="20" a="1"/>
  <c r="AZ63" i="18" a="1"/>
  <c r="HX26" i="18" a="1"/>
  <c r="CJ9" i="17" a="1"/>
  <c r="CJ24" i="18" a="1"/>
  <c r="GN20" i="17" a="1"/>
  <c r="GN39" i="18" a="1"/>
  <c r="HX23" i="20" a="1"/>
  <c r="HX79" i="18" a="1"/>
  <c r="AZ43" i="18" a="1"/>
  <c r="FD21" i="20" a="1"/>
  <c r="HX28" i="20" a="1"/>
  <c r="CJ39" i="18" a="1"/>
  <c r="GN24" i="19" a="1"/>
  <c r="FD14" i="21" a="1"/>
  <c r="GN91" i="18" a="1"/>
  <c r="AZ73" i="18" a="1"/>
  <c r="GN24" i="17" a="1"/>
  <c r="CJ76" i="18" a="1"/>
  <c r="HX53" i="18" a="1"/>
  <c r="FD95" i="18" a="1"/>
  <c r="DT6" i="20" a="1"/>
  <c r="FD84" i="18" a="1"/>
  <c r="GN55" i="18" a="1"/>
  <c r="AZ5" i="17" a="1"/>
  <c r="AZ10" i="20" a="1"/>
  <c r="AZ37" i="18" a="1"/>
  <c r="CJ38" i="18" a="1"/>
  <c r="HX29" i="20" a="1"/>
  <c r="GN15" i="17" a="1"/>
  <c r="AZ24" i="21" a="1"/>
  <c r="AZ45" i="18" a="1"/>
  <c r="DT15" i="18" a="1"/>
  <c r="DT15" i="21" a="1"/>
  <c r="DT20" i="20" a="1"/>
  <c r="CJ65" i="18" a="1"/>
  <c r="FD29" i="19" a="1"/>
  <c r="AZ82" i="18" a="1"/>
  <c r="AZ31" i="18" a="1"/>
  <c r="CJ63" i="18" a="1"/>
  <c r="DT23" i="21" a="1"/>
  <c r="FD20" i="19" a="1"/>
  <c r="AZ17" i="21" a="1"/>
  <c r="AZ20" i="19" a="1"/>
  <c r="AZ26" i="19" a="1"/>
  <c r="AZ18" i="22" a="1"/>
  <c r="AZ34" i="18" a="1"/>
  <c r="HX84" i="18" a="1"/>
  <c r="DT20" i="17" a="1"/>
  <c r="AZ83" i="18" a="1"/>
  <c r="HX22" i="21" a="1"/>
  <c r="DT84" i="18" a="1"/>
  <c r="DT40" i="18" a="1"/>
  <c r="FD20" i="20" a="1"/>
  <c r="FD31" i="19" a="1"/>
  <c r="GN94" i="18" a="1"/>
  <c r="FD5" i="17" a="1"/>
  <c r="AZ12" i="19" a="1"/>
  <c r="HX38" i="18" a="1"/>
  <c r="HX27" i="18" a="1"/>
  <c r="CJ11" i="17" a="1"/>
  <c r="DT55" i="18" a="1"/>
  <c r="CJ7" i="18" a="1"/>
  <c r="DT21" i="20" a="1"/>
  <c r="DT8" i="17" a="1"/>
  <c r="CJ19" i="21" a="1"/>
  <c r="DT33" i="18" a="1"/>
  <c r="HX16" i="17" a="1"/>
  <c r="GN25" i="17" a="1"/>
  <c r="DT9" i="18" a="1"/>
  <c r="HX16" i="18" a="1"/>
  <c r="DT21" i="17" a="1"/>
  <c r="DT13" i="17" a="1"/>
  <c r="CJ17" i="21" a="1"/>
  <c r="AZ10" i="19" a="1"/>
  <c r="DT22" i="20" a="1"/>
  <c r="FD29" i="20" a="1"/>
  <c r="FD14" i="22" a="1"/>
  <c r="HX14" i="19" a="1"/>
  <c r="GN69" i="18" a="1"/>
  <c r="GN5" i="19" a="1"/>
  <c r="DT24" i="22" a="1"/>
  <c r="FD92" i="18" a="1"/>
  <c r="DT13" i="19" a="1"/>
  <c r="AZ11" i="18" a="1"/>
  <c r="DT18" i="20" a="1"/>
  <c r="DT86" i="18" a="1"/>
  <c r="FD6" i="18" a="1"/>
  <c r="HX10" i="18" a="1"/>
  <c r="AZ11" i="21" a="1"/>
  <c r="DT9" i="22" a="1"/>
  <c r="DT19" i="17" a="1"/>
  <c r="AZ60" i="18" a="1"/>
  <c r="CJ16" i="20" a="1"/>
  <c r="DT57" i="18" a="1"/>
  <c r="GN8" i="17" a="1"/>
  <c r="GN27" i="19" a="1"/>
  <c r="DT25" i="19" a="1"/>
  <c r="GN6" i="18" a="1"/>
  <c r="DT28" i="18" a="1"/>
  <c r="GN63" i="18" a="1"/>
  <c r="AZ101" i="18" a="1"/>
  <c r="CJ75" i="18" a="1"/>
  <c r="DT18" i="17" a="1"/>
  <c r="HX31" i="19" a="1"/>
  <c r="GN5" i="17" a="1"/>
  <c r="HX64" i="18" a="1"/>
  <c r="GN78" i="18" a="1"/>
  <c r="GN10" i="18" a="1"/>
  <c r="FD24" i="17" a="1"/>
  <c r="DT58" i="18" a="1"/>
  <c r="CJ17" i="19" a="1"/>
  <c r="CJ25" i="20" a="1"/>
  <c r="GN56" i="18" a="1"/>
  <c r="CJ29" i="17" a="1"/>
  <c r="DT69" i="18" a="1"/>
  <c r="AZ44" i="18" a="1"/>
  <c r="AZ27" i="19" a="1"/>
  <c r="GN36" i="18" a="1"/>
  <c r="HX96" i="18" a="1"/>
  <c r="AZ21" i="22" a="1"/>
  <c r="CJ21" i="17" a="1"/>
  <c r="AZ9" i="19" a="1"/>
  <c r="FD31" i="18" a="1"/>
  <c r="DT30" i="20" a="1"/>
  <c r="DT53" i="18" a="1"/>
  <c r="AZ9" i="18" a="1"/>
  <c r="HX19" i="18" a="1"/>
  <c r="AZ51" i="18" a="1"/>
  <c r="FD30" i="18" a="1"/>
  <c r="HX40" i="18" a="1"/>
  <c r="FD33" i="20" a="1"/>
  <c r="GN9" i="17" a="1"/>
  <c r="HX22" i="17" a="1"/>
  <c r="DT24" i="19" a="1"/>
  <c r="HX7" i="21" a="1"/>
  <c r="CJ14" i="20" a="1"/>
  <c r="FD65" i="18" a="1"/>
  <c r="DT47" i="18" a="1"/>
  <c r="FD40" i="18" a="1"/>
  <c r="CJ77" i="18" a="1"/>
  <c r="HX18" i="21" a="1"/>
  <c r="CJ9" i="18" a="1"/>
  <c r="DT22" i="18" a="1"/>
  <c r="GN93" i="18" a="1"/>
  <c r="DT7" i="18" a="1"/>
  <c r="DT23" i="18" a="1"/>
  <c r="CJ18" i="17" a="1"/>
  <c r="DT26" i="19" a="1"/>
  <c r="CJ23" i="19" a="1"/>
  <c r="DT21" i="19" a="1"/>
  <c r="GN100" i="18" a="1"/>
  <c r="FD60" i="18" a="1"/>
  <c r="AZ28" i="17" a="1"/>
  <c r="FD24" i="19" a="1"/>
  <c r="GN83" i="18" a="1"/>
  <c r="FD17" i="21" a="1"/>
  <c r="AZ25" i="17" a="1"/>
  <c r="CJ18" i="19" a="1"/>
  <c r="AZ13" i="21" a="1"/>
  <c r="DT34" i="18" a="1"/>
  <c r="FD12" i="17" a="1"/>
  <c r="AZ57" i="18" a="1"/>
  <c r="GN24" i="18" a="1"/>
  <c r="FD57" i="18" a="1"/>
  <c r="FD97" i="18" a="1"/>
  <c r="CJ25" i="19" a="1"/>
  <c r="GN10" i="20" a="1"/>
  <c r="CJ61" i="18" a="1"/>
  <c r="CJ28" i="18" a="1"/>
  <c r="CJ45" i="18" a="1"/>
  <c r="FD9" i="18" a="1"/>
  <c r="FD14" i="19" a="1"/>
  <c r="FD23" i="20" a="1"/>
  <c r="HX46" i="18" a="1"/>
  <c r="CJ6" i="18" a="1"/>
  <c r="DT32" i="20" a="1"/>
  <c r="FD21" i="18" a="1"/>
  <c r="DT23" i="19" a="1"/>
  <c r="GN27" i="20" a="1"/>
  <c r="CJ98" i="18" a="1"/>
  <c r="FD13" i="20" a="1"/>
  <c r="HX35" i="19" a="1"/>
  <c r="HX101" i="18" a="1"/>
  <c r="DT100" i="18" a="1"/>
  <c r="DT65" i="18" a="1"/>
  <c r="CJ72" i="18" a="1"/>
  <c r="FD28" i="18" a="1"/>
  <c r="GN23" i="18" a="1"/>
  <c r="FD16" i="18" a="1"/>
  <c r="CJ57" i="18" a="1"/>
  <c r="HX26" i="24" l="1"/>
  <c r="DT29" i="24"/>
  <c r="DT15" i="24"/>
  <c r="HX20" i="24"/>
  <c r="DT8" i="24"/>
  <c r="FD27" i="24"/>
  <c r="CJ5" i="24"/>
  <c r="DT5" i="24"/>
  <c r="CJ15" i="24"/>
  <c r="CJ35" i="24"/>
  <c r="CJ21" i="24"/>
  <c r="CJ13" i="24"/>
  <c r="GN17" i="24"/>
  <c r="HX32" i="24"/>
  <c r="AZ10" i="24"/>
  <c r="FD9" i="24"/>
  <c r="CJ33" i="24"/>
  <c r="HX10" i="24"/>
  <c r="CJ29" i="24"/>
  <c r="FD12" i="24"/>
  <c r="FD28" i="24"/>
  <c r="HX35" i="24"/>
  <c r="CJ26" i="24"/>
  <c r="DT22" i="24"/>
  <c r="DT34" i="24"/>
  <c r="CJ31" i="24"/>
  <c r="AZ18" i="24"/>
  <c r="AZ26" i="24"/>
  <c r="AZ15" i="24"/>
  <c r="HX15" i="24"/>
  <c r="DT35" i="24"/>
  <c r="DT27" i="24"/>
  <c r="FD5" i="24"/>
  <c r="FD29" i="24"/>
  <c r="FD31" i="24"/>
  <c r="AZ33" i="24"/>
  <c r="HX5" i="24"/>
  <c r="AZ21" i="24"/>
  <c r="GN19" i="24"/>
  <c r="DT25" i="24"/>
  <c r="GN6" i="24"/>
  <c r="CJ24" i="24"/>
  <c r="AZ20" i="24"/>
  <c r="CJ22" i="24"/>
  <c r="CJ14" i="24"/>
  <c r="CJ18" i="24"/>
  <c r="GN7" i="24"/>
  <c r="HX31" i="24"/>
  <c r="DT13" i="24"/>
  <c r="GN15" i="24"/>
  <c r="FD8" i="24"/>
  <c r="DT20" i="24"/>
  <c r="HX6" i="24"/>
  <c r="DT19" i="24"/>
  <c r="DT9" i="24"/>
  <c r="HX23" i="24"/>
  <c r="HX34" i="24"/>
  <c r="GN32" i="24"/>
  <c r="GN14" i="24"/>
  <c r="HX21" i="24"/>
  <c r="FD20" i="24"/>
  <c r="GN29" i="24"/>
  <c r="GN34" i="24"/>
  <c r="HX33" i="24"/>
  <c r="FD17" i="24"/>
  <c r="HX8" i="24"/>
  <c r="CJ27" i="24"/>
  <c r="DT18" i="24"/>
  <c r="AZ19" i="24"/>
  <c r="GN11" i="24"/>
  <c r="HX16" i="24"/>
  <c r="FD6" i="24"/>
  <c r="CJ9" i="24"/>
  <c r="DT17" i="24"/>
  <c r="HX25" i="24"/>
  <c r="DT23" i="24"/>
  <c r="CJ23" i="24"/>
  <c r="CJ32" i="24"/>
  <c r="DT31" i="24"/>
  <c r="CJ16" i="24"/>
  <c r="CJ8" i="24"/>
  <c r="AZ30" i="24"/>
  <c r="DT30" i="24"/>
  <c r="DT12" i="24"/>
  <c r="AZ27" i="24"/>
  <c r="DT16" i="24"/>
  <c r="FD24" i="24"/>
  <c r="DT7" i="24"/>
  <c r="DT10" i="24"/>
  <c r="AZ23" i="24"/>
  <c r="GN28" i="24"/>
  <c r="FD26" i="24"/>
  <c r="DT26" i="24"/>
  <c r="GN35" i="24"/>
  <c r="CJ10" i="24"/>
  <c r="CJ6" i="24"/>
  <c r="GN27" i="24"/>
  <c r="CJ28" i="24"/>
  <c r="FD16" i="24"/>
  <c r="HX17" i="24"/>
  <c r="DT11" i="24"/>
  <c r="AZ13" i="24"/>
  <c r="DT6" i="24"/>
  <c r="AZ9" i="24"/>
  <c r="AZ17" i="24"/>
  <c r="CJ25" i="24"/>
  <c r="HX22" i="24"/>
  <c r="GN22" i="24"/>
  <c r="GN31" i="24"/>
  <c r="HX30" i="24"/>
  <c r="FD13" i="24"/>
  <c r="DT14" i="24"/>
  <c r="AZ24" i="24"/>
  <c r="AZ12" i="24"/>
  <c r="GN23" i="24"/>
  <c r="AZ16" i="24"/>
  <c r="DT21" i="24"/>
  <c r="CJ7" i="24"/>
  <c r="HX9" i="24"/>
  <c r="HX19" i="24"/>
  <c r="DT28" i="24"/>
  <c r="GN25" i="24"/>
  <c r="FD25" i="24"/>
  <c r="AZ35" i="24"/>
  <c r="CJ34" i="24"/>
  <c r="GN16" i="24"/>
  <c r="CJ12" i="24"/>
  <c r="HX24" i="24"/>
  <c r="CJ30" i="24"/>
  <c r="HX14" i="24"/>
  <c r="GN13" i="24"/>
  <c r="HX18" i="24"/>
  <c r="GN5" i="24"/>
  <c r="AZ8" i="24"/>
  <c r="AZ14" i="24"/>
  <c r="GN20" i="24"/>
  <c r="AZ34" i="24"/>
  <c r="AZ29" i="24"/>
  <c r="GN30" i="24"/>
  <c r="AZ11" i="24"/>
  <c r="FD7" i="24"/>
  <c r="GN26" i="24"/>
  <c r="AZ31" i="24"/>
  <c r="GN10" i="24"/>
  <c r="FD22" i="24"/>
  <c r="HX13" i="24"/>
  <c r="CJ20" i="24"/>
  <c r="AZ7" i="24"/>
  <c r="GN9" i="24"/>
  <c r="FD19" i="24"/>
  <c r="AZ28" i="24"/>
  <c r="AZ25" i="24"/>
  <c r="GN24" i="24"/>
  <c r="FD34" i="24"/>
  <c r="GN33" i="24"/>
  <c r="HX11" i="24"/>
  <c r="DT24" i="24"/>
  <c r="DT33" i="24"/>
  <c r="FD14" i="24"/>
  <c r="FD11" i="24"/>
  <c r="FD18" i="24"/>
  <c r="AZ5" i="24"/>
  <c r="HX7" i="24"/>
  <c r="HX12" i="24"/>
  <c r="DT32" i="24"/>
  <c r="FD33" i="24"/>
  <c r="HX27" i="24"/>
  <c r="HX28" i="24"/>
  <c r="AZ32" i="24"/>
  <c r="GN12" i="24"/>
  <c r="GN18" i="24"/>
  <c r="CJ19" i="24"/>
  <c r="AZ22" i="24"/>
  <c r="CJ11" i="24"/>
  <c r="CJ17" i="24"/>
  <c r="FD10" i="24"/>
  <c r="HX29" i="24"/>
  <c r="AZ6" i="24"/>
  <c r="GN8" i="24"/>
  <c r="FD15" i="24"/>
  <c r="FD23" i="24"/>
  <c r="GN21" i="24"/>
  <c r="FD21" i="24"/>
  <c r="FD30" i="24"/>
  <c r="FD35" i="24"/>
  <c r="FD32" i="24"/>
  <c r="AZ39" i="18"/>
  <c r="DT31" i="19"/>
  <c r="HX22" i="17"/>
  <c r="HX79" i="18"/>
  <c r="AZ19" i="19"/>
  <c r="DT23" i="17"/>
  <c r="CJ57" i="18"/>
  <c r="AZ57" i="18"/>
  <c r="DT18" i="22"/>
  <c r="FD34" i="18"/>
  <c r="GN9" i="17"/>
  <c r="HX23" i="20"/>
  <c r="HX21" i="22"/>
  <c r="GN18" i="17"/>
  <c r="DT13" i="17"/>
  <c r="CJ63" i="18"/>
  <c r="DT37" i="18"/>
  <c r="GN28" i="20"/>
  <c r="FD33" i="20"/>
  <c r="GN39" i="18"/>
  <c r="DT19" i="22"/>
  <c r="HX11" i="17"/>
  <c r="DT21" i="17"/>
  <c r="FD12" i="17"/>
  <c r="GN66" i="18"/>
  <c r="CJ19" i="17"/>
  <c r="HX40" i="18"/>
  <c r="GN20" i="17"/>
  <c r="DT16" i="20"/>
  <c r="AZ9" i="22"/>
  <c r="FD16" i="18"/>
  <c r="AZ31" i="18"/>
  <c r="FD9" i="19"/>
  <c r="HX28" i="17"/>
  <c r="FD30" i="18"/>
  <c r="CJ24" i="18"/>
  <c r="GN57" i="18"/>
  <c r="FD54" i="18"/>
  <c r="GN23" i="18"/>
  <c r="DT34" i="18"/>
  <c r="HX89" i="18"/>
  <c r="GN22" i="19"/>
  <c r="AZ51" i="18"/>
  <c r="CJ9" i="17"/>
  <c r="DT20" i="19"/>
  <c r="GN13" i="19"/>
  <c r="HX16" i="18"/>
  <c r="AZ82" i="18"/>
  <c r="DT66" i="18"/>
  <c r="FD55" i="18"/>
  <c r="HX19" i="18"/>
  <c r="HX26" i="18"/>
  <c r="AZ9" i="17"/>
  <c r="HX80" i="18"/>
  <c r="DT9" i="18"/>
  <c r="FD29" i="19"/>
  <c r="GN32" i="18"/>
  <c r="GN23" i="20"/>
  <c r="AZ9" i="18"/>
  <c r="AZ63" i="18"/>
  <c r="GN51" i="18"/>
  <c r="CJ26" i="19"/>
  <c r="FD28" i="18"/>
  <c r="AZ13" i="21"/>
  <c r="DT12" i="17"/>
  <c r="GN29" i="19"/>
  <c r="DT53" i="18"/>
  <c r="DT15" i="20"/>
  <c r="AZ30" i="20"/>
  <c r="DT5" i="19"/>
  <c r="GN25" i="17"/>
  <c r="CJ65" i="18"/>
  <c r="FD23" i="18"/>
  <c r="CJ33" i="19"/>
  <c r="DT30" i="20"/>
  <c r="HX20" i="18"/>
  <c r="AZ33" i="19"/>
  <c r="AZ54" i="18"/>
  <c r="CJ72" i="18"/>
  <c r="CJ18" i="19"/>
  <c r="GN15" i="19"/>
  <c r="HX6" i="20"/>
  <c r="FD31" i="18"/>
  <c r="GN80" i="18"/>
  <c r="FD11" i="22"/>
  <c r="DT10" i="17"/>
  <c r="DT65" i="18"/>
  <c r="DT20" i="20"/>
  <c r="CJ83" i="18"/>
  <c r="CJ13" i="21"/>
  <c r="AZ9" i="19"/>
  <c r="GN31" i="19"/>
  <c r="GN7" i="18"/>
  <c r="GN90" i="18"/>
  <c r="HX16" i="17"/>
  <c r="AZ25" i="17"/>
  <c r="DT19" i="18"/>
  <c r="HX12" i="17"/>
  <c r="CJ21" i="17"/>
  <c r="FD100" i="18"/>
  <c r="AZ5" i="20"/>
  <c r="GN40" i="18"/>
  <c r="DT100" i="18"/>
  <c r="DT15" i="21"/>
  <c r="AZ81" i="18"/>
  <c r="HX95" i="18"/>
  <c r="AZ21" i="22"/>
  <c r="AZ18" i="21"/>
  <c r="GN38" i="18"/>
  <c r="HX51" i="18"/>
  <c r="DT33" i="18"/>
  <c r="DT15" i="18"/>
  <c r="DT32" i="19"/>
  <c r="FD81" i="18"/>
  <c r="HX96" i="18"/>
  <c r="DT27" i="18"/>
  <c r="CJ64" i="18"/>
  <c r="GN16" i="21"/>
  <c r="HX101" i="18"/>
  <c r="FD17" i="21"/>
  <c r="GN70" i="18"/>
  <c r="GN22" i="17"/>
  <c r="GN36" i="18"/>
  <c r="HX24" i="22"/>
  <c r="AZ71" i="18"/>
  <c r="GN60" i="18"/>
  <c r="CJ19" i="21"/>
  <c r="AZ45" i="18"/>
  <c r="HX62" i="18"/>
  <c r="AZ6" i="18"/>
  <c r="AZ27" i="19"/>
  <c r="AZ74" i="18"/>
  <c r="HX32" i="18"/>
  <c r="HX14" i="20"/>
  <c r="DT8" i="17"/>
  <c r="GN83" i="18"/>
  <c r="DT92" i="18"/>
  <c r="CJ8" i="19"/>
  <c r="AZ44" i="18"/>
  <c r="AZ5" i="18"/>
  <c r="GN17" i="17"/>
  <c r="GN11" i="20"/>
  <c r="HX35" i="19"/>
  <c r="HX14" i="21"/>
  <c r="GN24" i="22"/>
  <c r="GN59" i="18"/>
  <c r="AZ24" i="21"/>
  <c r="HX15" i="20"/>
  <c r="HX6" i="19"/>
  <c r="FD83" i="18"/>
  <c r="DT69" i="18"/>
  <c r="GN16" i="19"/>
  <c r="GN14" i="17"/>
  <c r="FD74" i="18"/>
  <c r="AZ58" i="18"/>
  <c r="DT14" i="22"/>
  <c r="GN34" i="20"/>
  <c r="GN53" i="18"/>
  <c r="DT21" i="20"/>
  <c r="AZ28" i="19"/>
  <c r="DT71" i="18"/>
  <c r="CJ15" i="20"/>
  <c r="FD24" i="19"/>
  <c r="GN7" i="17"/>
  <c r="HX75" i="18"/>
  <c r="DT11" i="21"/>
  <c r="CJ29" i="17"/>
  <c r="GN92" i="18"/>
  <c r="FD69" i="18"/>
  <c r="CJ60" i="18"/>
  <c r="HX41" i="18"/>
  <c r="DT5" i="17"/>
  <c r="AZ77" i="18"/>
  <c r="DT41" i="18"/>
  <c r="CJ7" i="18"/>
  <c r="GN65" i="18"/>
  <c r="CJ74" i="18"/>
  <c r="GN5" i="18"/>
  <c r="GN15" i="17"/>
  <c r="DT25" i="18"/>
  <c r="AZ22" i="21"/>
  <c r="GN23" i="22"/>
  <c r="GN56" i="18"/>
  <c r="DT64" i="18"/>
  <c r="FD6" i="17"/>
  <c r="AZ48" i="18"/>
  <c r="GN74" i="18"/>
  <c r="GN37" i="18"/>
  <c r="CJ12" i="21"/>
  <c r="GN16" i="17"/>
  <c r="FD13" i="20"/>
  <c r="AZ7" i="20"/>
  <c r="AZ17" i="18"/>
  <c r="AZ96" i="18"/>
  <c r="HX29" i="20"/>
  <c r="CJ8" i="18"/>
  <c r="CJ95" i="18"/>
  <c r="CJ66" i="18"/>
  <c r="CJ25" i="20"/>
  <c r="AZ20" i="18"/>
  <c r="CJ93" i="18"/>
  <c r="HX19" i="22"/>
  <c r="AZ15" i="22"/>
  <c r="FD6" i="19"/>
  <c r="DT16" i="19"/>
  <c r="DT70" i="18"/>
  <c r="DT55" i="18"/>
  <c r="DT35" i="18"/>
  <c r="FD25" i="17"/>
  <c r="CJ30" i="18"/>
  <c r="AZ28" i="17"/>
  <c r="GN44" i="18"/>
  <c r="HX100" i="18"/>
  <c r="GN22" i="20"/>
  <c r="CJ17" i="19"/>
  <c r="CJ41" i="18"/>
  <c r="CJ13" i="19"/>
  <c r="DT29" i="17"/>
  <c r="AZ5" i="22"/>
  <c r="HX5" i="17"/>
  <c r="AZ90" i="18"/>
  <c r="FD10" i="20"/>
  <c r="CJ98" i="18"/>
  <c r="HX77" i="18"/>
  <c r="GN24" i="21"/>
  <c r="HX92" i="18"/>
  <c r="FD60" i="18"/>
  <c r="HX10" i="17"/>
  <c r="HX63" i="18"/>
  <c r="CJ40" i="18"/>
  <c r="DT58" i="18"/>
  <c r="AZ24" i="17"/>
  <c r="FD19" i="20"/>
  <c r="AZ17" i="20"/>
  <c r="CJ28" i="20"/>
  <c r="AZ80" i="18"/>
  <c r="DT26" i="18"/>
  <c r="AZ15" i="17"/>
  <c r="CJ11" i="17"/>
  <c r="GN20" i="18"/>
  <c r="GN34" i="19"/>
  <c r="DT28" i="17"/>
  <c r="CJ38" i="18"/>
  <c r="AZ23" i="17"/>
  <c r="DT39" i="18"/>
  <c r="HX5" i="18"/>
  <c r="FD24" i="17"/>
  <c r="AZ89" i="18"/>
  <c r="CJ21" i="19"/>
  <c r="CJ22" i="20"/>
  <c r="GN24" i="20"/>
  <c r="FD6" i="21"/>
  <c r="FD7" i="21"/>
  <c r="DT51" i="18"/>
  <c r="HX27" i="18"/>
  <c r="CJ36" i="18"/>
  <c r="CJ68" i="18"/>
  <c r="FD33" i="18"/>
  <c r="AZ37" i="18"/>
  <c r="AZ7" i="19"/>
  <c r="CJ34" i="18"/>
  <c r="CJ48" i="18"/>
  <c r="GN10" i="18"/>
  <c r="DT18" i="18"/>
  <c r="CJ70" i="18"/>
  <c r="HX31" i="18"/>
  <c r="DT88" i="18"/>
  <c r="DT67" i="18"/>
  <c r="AZ35" i="18"/>
  <c r="GN27" i="18"/>
  <c r="GN27" i="20"/>
  <c r="FD90" i="18"/>
  <c r="FD32" i="19"/>
  <c r="DT21" i="21"/>
  <c r="GN100" i="18"/>
  <c r="GN81" i="18"/>
  <c r="GN26" i="20"/>
  <c r="FD94" i="18"/>
  <c r="GN78" i="18"/>
  <c r="HX10" i="21"/>
  <c r="HX35" i="18"/>
  <c r="FD11" i="18"/>
  <c r="GN58" i="18"/>
  <c r="CJ85" i="18"/>
  <c r="AZ18" i="18"/>
  <c r="FD21" i="22"/>
  <c r="HX38" i="18"/>
  <c r="CJ12" i="20"/>
  <c r="HX29" i="19"/>
  <c r="AZ15" i="20"/>
  <c r="AZ10" i="20"/>
  <c r="DT24" i="21"/>
  <c r="CJ59" i="18"/>
  <c r="FD88" i="18"/>
  <c r="HX64" i="18"/>
  <c r="FD33" i="19"/>
  <c r="AZ33" i="20"/>
  <c r="HX57" i="18"/>
  <c r="GN13" i="21"/>
  <c r="DT17" i="22"/>
  <c r="FD17" i="18"/>
  <c r="FD42" i="18"/>
  <c r="AZ12" i="19"/>
  <c r="FD47" i="18"/>
  <c r="GN84" i="18"/>
  <c r="AZ47" i="18"/>
  <c r="DT21" i="19"/>
  <c r="FD101" i="18"/>
  <c r="GN30" i="18"/>
  <c r="HX27" i="17"/>
  <c r="GN5" i="17"/>
  <c r="GN13" i="22"/>
  <c r="HX26" i="17"/>
  <c r="FD8" i="20"/>
  <c r="DT33" i="20"/>
  <c r="HX31" i="20"/>
  <c r="DT19" i="19"/>
  <c r="HX6" i="18"/>
  <c r="DT23" i="19"/>
  <c r="FD58" i="18"/>
  <c r="HX104" i="18"/>
  <c r="AZ17" i="17"/>
  <c r="CJ23" i="19"/>
  <c r="FD35" i="19"/>
  <c r="HX14" i="17"/>
  <c r="DT21" i="18"/>
  <c r="DT98" i="18"/>
  <c r="FD24" i="20"/>
  <c r="HX15" i="21"/>
  <c r="AZ75" i="18"/>
  <c r="HX31" i="19"/>
  <c r="HX55" i="18"/>
  <c r="AZ14" i="20"/>
  <c r="CJ28" i="17"/>
  <c r="AZ32" i="19"/>
  <c r="AZ14" i="22"/>
  <c r="DT83" i="18"/>
  <c r="FD70" i="18"/>
  <c r="GN6" i="22"/>
  <c r="AZ87" i="18"/>
  <c r="GN43" i="18"/>
  <c r="HX17" i="17"/>
  <c r="GN86" i="18"/>
  <c r="CJ14" i="18"/>
  <c r="HX94" i="18"/>
  <c r="GN18" i="18"/>
  <c r="FD21" i="18"/>
  <c r="CJ30" i="19"/>
  <c r="DT27" i="17"/>
  <c r="GN33" i="18"/>
  <c r="CJ17" i="17"/>
  <c r="GN35" i="20"/>
  <c r="DT5" i="20"/>
  <c r="HX17" i="22"/>
  <c r="AZ5" i="17"/>
  <c r="AZ94" i="18"/>
  <c r="FD22" i="18"/>
  <c r="FD10" i="17"/>
  <c r="HX81" i="18"/>
  <c r="FD15" i="22"/>
  <c r="AZ52" i="18"/>
  <c r="FD18" i="20"/>
  <c r="DT18" i="17"/>
  <c r="GN13" i="17"/>
  <c r="FD98" i="18"/>
  <c r="FD13" i="19"/>
  <c r="HX7" i="20"/>
  <c r="FD8" i="21"/>
  <c r="GN7" i="21"/>
  <c r="GN14" i="18"/>
  <c r="HX83" i="18"/>
  <c r="GN41" i="18"/>
  <c r="CJ67" i="18"/>
  <c r="GN64" i="18"/>
  <c r="AZ65" i="18"/>
  <c r="GN11" i="22"/>
  <c r="HX21" i="17"/>
  <c r="GN6" i="19"/>
  <c r="FD5" i="17"/>
  <c r="DT7" i="17"/>
  <c r="GN103" i="18"/>
  <c r="HX22" i="20"/>
  <c r="AZ24" i="18"/>
  <c r="HX16" i="20"/>
  <c r="FD38" i="18"/>
  <c r="HX52" i="18"/>
  <c r="DT26" i="19"/>
  <c r="CJ96" i="18"/>
  <c r="GN26" i="17"/>
  <c r="FD16" i="17"/>
  <c r="FD9" i="20"/>
  <c r="CJ42" i="18"/>
  <c r="FD7" i="17"/>
  <c r="HX78" i="18"/>
  <c r="CJ75" i="18"/>
  <c r="FD22" i="22"/>
  <c r="AZ11" i="17"/>
  <c r="GN15" i="21"/>
  <c r="FD27" i="18"/>
  <c r="CJ27" i="19"/>
  <c r="DT15" i="22"/>
  <c r="GN42" i="18"/>
  <c r="CJ23" i="18"/>
  <c r="DT23" i="22"/>
  <c r="CJ17" i="18"/>
  <c r="AZ26" i="18"/>
  <c r="CJ7" i="17"/>
  <c r="AZ97" i="18"/>
  <c r="AZ12" i="17"/>
  <c r="DT48" i="18"/>
  <c r="DT32" i="20"/>
  <c r="FD41" i="18"/>
  <c r="DT50" i="18"/>
  <c r="GN27" i="17"/>
  <c r="HX34" i="20"/>
  <c r="DT80" i="18"/>
  <c r="DT6" i="19"/>
  <c r="DT89" i="18"/>
  <c r="GN55" i="18"/>
  <c r="CJ20" i="19"/>
  <c r="GN9" i="20"/>
  <c r="HX73" i="18"/>
  <c r="FD59" i="18"/>
  <c r="CJ14" i="21"/>
  <c r="AZ22" i="18"/>
  <c r="FD14" i="18"/>
  <c r="AZ101" i="18"/>
  <c r="CJ62" i="18"/>
  <c r="CJ13" i="17"/>
  <c r="DT27" i="19"/>
  <c r="CJ88" i="18"/>
  <c r="CJ6" i="21"/>
  <c r="CJ11" i="18"/>
  <c r="CJ92" i="18"/>
  <c r="GN21" i="21"/>
  <c r="CJ46" i="18"/>
  <c r="CJ5" i="19"/>
  <c r="DT28" i="19"/>
  <c r="AZ88" i="18"/>
  <c r="AZ33" i="18"/>
  <c r="CJ81" i="18"/>
  <c r="GN76" i="18"/>
  <c r="GN94" i="18"/>
  <c r="AZ78" i="18"/>
  <c r="GN54" i="18"/>
  <c r="HX37" i="18"/>
  <c r="GN50" i="18"/>
  <c r="AZ20" i="17"/>
  <c r="DT82" i="18"/>
  <c r="DT54" i="18"/>
  <c r="CJ18" i="17"/>
  <c r="HX15" i="19"/>
  <c r="FD72" i="18"/>
  <c r="HX86" i="18"/>
  <c r="DT9" i="17"/>
  <c r="GN13" i="18"/>
  <c r="GN85" i="18"/>
  <c r="GN12" i="20"/>
  <c r="GN63" i="18"/>
  <c r="AZ6" i="20"/>
  <c r="FD45" i="18"/>
  <c r="FD28" i="17"/>
  <c r="HX44" i="18"/>
  <c r="AZ41" i="18"/>
  <c r="CJ12" i="18"/>
  <c r="CJ10" i="18"/>
  <c r="FD14" i="17"/>
  <c r="GN79" i="18"/>
  <c r="GN28" i="17"/>
  <c r="DT29" i="19"/>
  <c r="GN46" i="18"/>
  <c r="AZ55" i="18"/>
  <c r="CJ6" i="17"/>
  <c r="CJ23" i="17"/>
  <c r="CJ6" i="18"/>
  <c r="FD103" i="18"/>
  <c r="GN104" i="18"/>
  <c r="GN6" i="17"/>
  <c r="FD22" i="19"/>
  <c r="AZ79" i="18"/>
  <c r="HX24" i="20"/>
  <c r="DT9" i="21"/>
  <c r="FD84" i="18"/>
  <c r="DT8" i="18"/>
  <c r="GN45" i="18"/>
  <c r="FD17" i="20"/>
  <c r="FD21" i="21"/>
  <c r="FD32" i="20"/>
  <c r="AZ16" i="22"/>
  <c r="HX43" i="18"/>
  <c r="DT28" i="18"/>
  <c r="HX36" i="18"/>
  <c r="FD19" i="22"/>
  <c r="GN29" i="17"/>
  <c r="GN32" i="20"/>
  <c r="HX20" i="22"/>
  <c r="AZ7" i="18"/>
  <c r="CJ16" i="21"/>
  <c r="HX19" i="19"/>
  <c r="HX61" i="18"/>
  <c r="FD56" i="18"/>
  <c r="GN23" i="17"/>
  <c r="DT77" i="18"/>
  <c r="FD23" i="21"/>
  <c r="HX42" i="18"/>
  <c r="AZ21" i="17"/>
  <c r="FD31" i="19"/>
  <c r="FD50" i="18"/>
  <c r="HX8" i="17"/>
  <c r="HX33" i="20"/>
  <c r="CJ97" i="18"/>
  <c r="DT17" i="17"/>
  <c r="GN67" i="18"/>
  <c r="HX25" i="17"/>
  <c r="DT23" i="18"/>
  <c r="DT14" i="17"/>
  <c r="CJ22" i="18"/>
  <c r="HX8" i="19"/>
  <c r="AZ5" i="19"/>
  <c r="FD10" i="19"/>
  <c r="GN11" i="17"/>
  <c r="HX6" i="17"/>
  <c r="GN6" i="18"/>
  <c r="GN5" i="20"/>
  <c r="FD46" i="18"/>
  <c r="FD27" i="19"/>
  <c r="FD28" i="20"/>
  <c r="AZ21" i="21"/>
  <c r="AZ27" i="18"/>
  <c r="HX19" i="17"/>
  <c r="DT60" i="18"/>
  <c r="DT24" i="18"/>
  <c r="AZ16" i="17"/>
  <c r="HX7" i="18"/>
  <c r="AZ64" i="18"/>
  <c r="CJ8" i="20"/>
  <c r="FD11" i="21"/>
  <c r="HX68" i="18"/>
  <c r="HX46" i="18"/>
  <c r="GN21" i="17"/>
  <c r="CJ91" i="18"/>
  <c r="FD31" i="20"/>
  <c r="HX7" i="22"/>
  <c r="AZ66" i="18"/>
  <c r="DT6" i="18"/>
  <c r="FD26" i="20"/>
  <c r="DT6" i="20"/>
  <c r="CJ9" i="19"/>
  <c r="AZ31" i="19"/>
  <c r="GN19" i="18"/>
  <c r="AZ12" i="18"/>
  <c r="CJ29" i="19"/>
  <c r="AZ29" i="18"/>
  <c r="DT8" i="21"/>
  <c r="DT25" i="19"/>
  <c r="FD62" i="18"/>
  <c r="DT13" i="21"/>
  <c r="FD66" i="18"/>
  <c r="AZ14" i="19"/>
  <c r="CJ35" i="18"/>
  <c r="DT34" i="20"/>
  <c r="AZ34" i="19"/>
  <c r="CJ33" i="20"/>
  <c r="FD68" i="18"/>
  <c r="CJ56" i="18"/>
  <c r="CJ27" i="17"/>
  <c r="FD20" i="18"/>
  <c r="GN20" i="19"/>
  <c r="CJ33" i="18"/>
  <c r="CJ23" i="20"/>
  <c r="FD20" i="20"/>
  <c r="FD26" i="18"/>
  <c r="HX60" i="18"/>
  <c r="DT72" i="18"/>
  <c r="GN71" i="18"/>
  <c r="FD87" i="18"/>
  <c r="CJ87" i="18"/>
  <c r="CJ5" i="18"/>
  <c r="FD95" i="18"/>
  <c r="AZ49" i="18"/>
  <c r="AZ29" i="17"/>
  <c r="HX11" i="18"/>
  <c r="FD77" i="18"/>
  <c r="AZ102" i="18"/>
  <c r="FD30" i="20"/>
  <c r="HX5" i="20"/>
  <c r="GN27" i="19"/>
  <c r="GN72" i="18"/>
  <c r="CJ79" i="18"/>
  <c r="AZ15" i="18"/>
  <c r="AZ30" i="18"/>
  <c r="FD13" i="22"/>
  <c r="HX69" i="18"/>
  <c r="FD13" i="21"/>
  <c r="AZ8" i="18"/>
  <c r="AZ28" i="20"/>
  <c r="HX17" i="18"/>
  <c r="AZ59" i="18"/>
  <c r="CJ90" i="18"/>
  <c r="GN31" i="20"/>
  <c r="GN16" i="20"/>
  <c r="FD19" i="19"/>
  <c r="FD23" i="20"/>
  <c r="HX7" i="17"/>
  <c r="DT7" i="19"/>
  <c r="HX12" i="22"/>
  <c r="GN102" i="18"/>
  <c r="AZ27" i="17"/>
  <c r="CJ19" i="20"/>
  <c r="GN26" i="18"/>
  <c r="DT7" i="18"/>
  <c r="FD78" i="18"/>
  <c r="FD71" i="18"/>
  <c r="GN17" i="21"/>
  <c r="DT19" i="20"/>
  <c r="CJ24" i="21"/>
  <c r="FD7" i="18"/>
  <c r="AZ93" i="18"/>
  <c r="GN8" i="17"/>
  <c r="HX20" i="17"/>
  <c r="CJ5" i="17"/>
  <c r="FD12" i="20"/>
  <c r="HX99" i="18"/>
  <c r="FD15" i="20"/>
  <c r="FD73" i="18"/>
  <c r="FD39" i="18"/>
  <c r="FD102" i="18"/>
  <c r="GN19" i="17"/>
  <c r="CJ16" i="18"/>
  <c r="FD26" i="17"/>
  <c r="DT74" i="18"/>
  <c r="HX48" i="18"/>
  <c r="GN28" i="18"/>
  <c r="DT22" i="17"/>
  <c r="DT40" i="18"/>
  <c r="GN34" i="18"/>
  <c r="DT8" i="19"/>
  <c r="FD15" i="18"/>
  <c r="HX30" i="18"/>
  <c r="HX8" i="18"/>
  <c r="AZ98" i="18"/>
  <c r="GN88" i="18"/>
  <c r="HX53" i="18"/>
  <c r="DT20" i="22"/>
  <c r="AZ69" i="18"/>
  <c r="GN48" i="18"/>
  <c r="FD24" i="18"/>
  <c r="CJ10" i="19"/>
  <c r="GN5" i="21"/>
  <c r="GN11" i="21"/>
  <c r="DT57" i="18"/>
  <c r="AZ20" i="22"/>
  <c r="FD16" i="19"/>
  <c r="HX54" i="18"/>
  <c r="HX11" i="19"/>
  <c r="DT46" i="18"/>
  <c r="FD91" i="18"/>
  <c r="GN87" i="18"/>
  <c r="FD7" i="19"/>
  <c r="GN12" i="21"/>
  <c r="AZ13" i="22"/>
  <c r="GN19" i="21"/>
  <c r="CJ18" i="20"/>
  <c r="HX10" i="22"/>
  <c r="FD104" i="18"/>
  <c r="GN16" i="18"/>
  <c r="FD14" i="19"/>
  <c r="DT6" i="21"/>
  <c r="AZ20" i="20"/>
  <c r="HX9" i="17"/>
  <c r="FD9" i="17"/>
  <c r="AZ14" i="18"/>
  <c r="CJ14" i="19"/>
  <c r="CJ11" i="21"/>
  <c r="CJ76" i="18"/>
  <c r="CJ22" i="21"/>
  <c r="AZ91" i="18"/>
  <c r="GN89" i="18"/>
  <c r="HX87" i="18"/>
  <c r="CJ5" i="20"/>
  <c r="HX15" i="17"/>
  <c r="HX28" i="19"/>
  <c r="CJ16" i="20"/>
  <c r="GN73" i="18"/>
  <c r="HX9" i="18"/>
  <c r="HX6" i="22"/>
  <c r="AZ29" i="19"/>
  <c r="FD25" i="18"/>
  <c r="DT96" i="18"/>
  <c r="GN9" i="19"/>
  <c r="FD35" i="18"/>
  <c r="FD44" i="18"/>
  <c r="AZ13" i="19"/>
  <c r="GN23" i="19"/>
  <c r="DT8" i="22"/>
  <c r="HX18" i="18"/>
  <c r="CJ31" i="18"/>
  <c r="CJ26" i="18"/>
  <c r="FD9" i="18"/>
  <c r="HX5" i="19"/>
  <c r="FD67" i="18"/>
  <c r="AZ16" i="20"/>
  <c r="FD16" i="20"/>
  <c r="CJ8" i="17"/>
  <c r="CJ32" i="19"/>
  <c r="AZ10" i="21"/>
  <c r="GN93" i="18"/>
  <c r="HX25" i="20"/>
  <c r="DT73" i="18"/>
  <c r="GN14" i="22"/>
  <c r="GN99" i="18"/>
  <c r="DT75" i="18"/>
  <c r="CJ103" i="18"/>
  <c r="HX47" i="18"/>
  <c r="AZ60" i="18"/>
  <c r="HX24" i="17"/>
  <c r="HX5" i="21"/>
  <c r="DT27" i="20"/>
  <c r="DT94" i="18"/>
  <c r="FD18" i="19"/>
  <c r="CJ15" i="17"/>
  <c r="HX56" i="18"/>
  <c r="FD18" i="17"/>
  <c r="DT26" i="17"/>
  <c r="AZ14" i="17"/>
  <c r="AZ32" i="20"/>
  <c r="AZ16" i="21"/>
  <c r="HX76" i="18"/>
  <c r="HX8" i="20"/>
  <c r="DT29" i="18"/>
  <c r="DT84" i="18"/>
  <c r="DT10" i="21"/>
  <c r="DT59" i="18"/>
  <c r="FD52" i="18"/>
  <c r="CJ84" i="18"/>
  <c r="CJ44" i="18"/>
  <c r="GN12" i="19"/>
  <c r="AZ72" i="18"/>
  <c r="GN24" i="17"/>
  <c r="FD49" i="18"/>
  <c r="GN62" i="18"/>
  <c r="DT49" i="18"/>
  <c r="DT23" i="20"/>
  <c r="DT15" i="17"/>
  <c r="CJ20" i="21"/>
  <c r="CJ82" i="18"/>
  <c r="DT19" i="17"/>
  <c r="GN7" i="19"/>
  <c r="DT7" i="20"/>
  <c r="DT19" i="21"/>
  <c r="DT25" i="17"/>
  <c r="HX67" i="18"/>
  <c r="GN12" i="18"/>
  <c r="HX29" i="17"/>
  <c r="HX102" i="18"/>
  <c r="GN10" i="22"/>
  <c r="HX13" i="19"/>
  <c r="DT90" i="18"/>
  <c r="CJ20" i="20"/>
  <c r="FD99" i="18"/>
  <c r="HX74" i="18"/>
  <c r="DT11" i="17"/>
  <c r="CJ45" i="18"/>
  <c r="CJ31" i="20"/>
  <c r="DT76" i="18"/>
  <c r="AZ6" i="19"/>
  <c r="AZ22" i="19"/>
  <c r="HX103" i="18"/>
  <c r="GN33" i="20"/>
  <c r="CJ10" i="21"/>
  <c r="DT22" i="18"/>
  <c r="CJ49" i="18"/>
  <c r="DT87" i="18"/>
  <c r="CJ10" i="17"/>
  <c r="CJ35" i="20"/>
  <c r="HX20" i="19"/>
  <c r="CJ94" i="18"/>
  <c r="DT38" i="18"/>
  <c r="DT9" i="22"/>
  <c r="GN7" i="22"/>
  <c r="DT17" i="18"/>
  <c r="GN15" i="20"/>
  <c r="DT11" i="18"/>
  <c r="GN8" i="20"/>
  <c r="FD20" i="17"/>
  <c r="AZ46" i="18"/>
  <c r="DT13" i="18"/>
  <c r="HX72" i="18"/>
  <c r="AZ8" i="17"/>
  <c r="HX59" i="18"/>
  <c r="CJ101" i="18"/>
  <c r="DT62" i="18"/>
  <c r="CJ25" i="18"/>
  <c r="AZ13" i="17"/>
  <c r="HX22" i="21"/>
  <c r="DT63" i="18"/>
  <c r="CJ89" i="18"/>
  <c r="FD21" i="17"/>
  <c r="CJ7" i="21"/>
  <c r="DT68" i="18"/>
  <c r="HX8" i="22"/>
  <c r="CJ15" i="18"/>
  <c r="AZ73" i="18"/>
  <c r="AZ19" i="17"/>
  <c r="DT22" i="22"/>
  <c r="CJ53" i="18"/>
  <c r="CJ13" i="18"/>
  <c r="CJ18" i="21"/>
  <c r="HX22" i="22"/>
  <c r="FD63" i="18"/>
  <c r="AZ11" i="21"/>
  <c r="HX23" i="19"/>
  <c r="CJ12" i="17"/>
  <c r="GN35" i="18"/>
  <c r="DT56" i="18"/>
  <c r="HX16" i="21"/>
  <c r="AZ6" i="17"/>
  <c r="DT35" i="19"/>
  <c r="DT61" i="18"/>
  <c r="FD17" i="17"/>
  <c r="HX25" i="18"/>
  <c r="DT45" i="18"/>
  <c r="GN7" i="20"/>
  <c r="CJ17" i="20"/>
  <c r="AZ86" i="18"/>
  <c r="HX22" i="18"/>
  <c r="CJ28" i="18"/>
  <c r="HX19" i="21"/>
  <c r="AZ15" i="21"/>
  <c r="AZ22" i="20"/>
  <c r="AZ25" i="18"/>
  <c r="AZ24" i="20"/>
  <c r="AZ95" i="18"/>
  <c r="DT78" i="18"/>
  <c r="CJ9" i="18"/>
  <c r="HX13" i="21"/>
  <c r="HX12" i="19"/>
  <c r="DT14" i="18"/>
  <c r="FD23" i="19"/>
  <c r="HX33" i="19"/>
  <c r="HX88" i="18"/>
  <c r="AZ18" i="19"/>
  <c r="HX10" i="18"/>
  <c r="AZ7" i="17"/>
  <c r="CJ11" i="20"/>
  <c r="AZ53" i="18"/>
  <c r="GN21" i="20"/>
  <c r="HX33" i="18"/>
  <c r="AZ26" i="17"/>
  <c r="DT42" i="18"/>
  <c r="AZ104" i="18"/>
  <c r="DT16" i="17"/>
  <c r="DT30" i="18"/>
  <c r="HX18" i="17"/>
  <c r="FD29" i="17"/>
  <c r="HX34" i="18"/>
  <c r="DT10" i="20"/>
  <c r="AZ23" i="18"/>
  <c r="AZ83" i="18"/>
  <c r="FD22" i="20"/>
  <c r="AZ50" i="18"/>
  <c r="AZ15" i="19"/>
  <c r="CJ23" i="21"/>
  <c r="GN10" i="17"/>
  <c r="CJ73" i="18"/>
  <c r="AZ10" i="17"/>
  <c r="GN91" i="18"/>
  <c r="FD13" i="17"/>
  <c r="CJ24" i="20"/>
  <c r="CJ24" i="17"/>
  <c r="GN8" i="21"/>
  <c r="CJ47" i="18"/>
  <c r="AZ100" i="18"/>
  <c r="DT25" i="20"/>
  <c r="FD6" i="18"/>
  <c r="GN61" i="18"/>
  <c r="AZ25" i="20"/>
  <c r="HX82" i="18"/>
  <c r="FD9" i="21"/>
  <c r="CJ15" i="21"/>
  <c r="GN98" i="18"/>
  <c r="FD8" i="17"/>
  <c r="FD15" i="21"/>
  <c r="HX23" i="21"/>
  <c r="DT18" i="21"/>
  <c r="HX13" i="17"/>
  <c r="CJ58" i="18"/>
  <c r="FD37" i="18"/>
  <c r="FD24" i="22"/>
  <c r="FD23" i="17"/>
  <c r="CJ61" i="18"/>
  <c r="GN17" i="18"/>
  <c r="CJ104" i="18"/>
  <c r="HX70" i="18"/>
  <c r="HX21" i="20"/>
  <c r="FD23" i="22"/>
  <c r="HX98" i="18"/>
  <c r="FD24" i="21"/>
  <c r="HX18" i="21"/>
  <c r="DT36" i="18"/>
  <c r="CJ50" i="18"/>
  <c r="FD8" i="19"/>
  <c r="HX66" i="18"/>
  <c r="GN14" i="21"/>
  <c r="HX65" i="18"/>
  <c r="HX16" i="22"/>
  <c r="DT86" i="18"/>
  <c r="AZ17" i="19"/>
  <c r="GN17" i="20"/>
  <c r="AZ19" i="20"/>
  <c r="FD5" i="21"/>
  <c r="FD12" i="22"/>
  <c r="FD7" i="20"/>
  <c r="HX18" i="22"/>
  <c r="GN26" i="19"/>
  <c r="DT18" i="19"/>
  <c r="AZ5" i="21"/>
  <c r="AZ10" i="22"/>
  <c r="AZ85" i="18"/>
  <c r="DT32" i="18"/>
  <c r="DT10" i="22"/>
  <c r="GN16" i="22"/>
  <c r="DT20" i="17"/>
  <c r="GN9" i="21"/>
  <c r="FD51" i="18"/>
  <c r="GN5" i="22"/>
  <c r="GN25" i="18"/>
  <c r="HX14" i="22"/>
  <c r="AZ16" i="19"/>
  <c r="FD15" i="19"/>
  <c r="FD14" i="21"/>
  <c r="AZ19" i="18"/>
  <c r="AZ67" i="18"/>
  <c r="GN29" i="18"/>
  <c r="HX9" i="19"/>
  <c r="FD15" i="17"/>
  <c r="DT12" i="21"/>
  <c r="CJ26" i="17"/>
  <c r="DT18" i="20"/>
  <c r="AZ76" i="18"/>
  <c r="HX17" i="21"/>
  <c r="FD21" i="19"/>
  <c r="GN28" i="19"/>
  <c r="GN95" i="18"/>
  <c r="FD19" i="17"/>
  <c r="HX10" i="20"/>
  <c r="DT5" i="18"/>
  <c r="FD36" i="18"/>
  <c r="AZ6" i="21"/>
  <c r="FD86" i="18"/>
  <c r="AZ25" i="19"/>
  <c r="DT14" i="19"/>
  <c r="CJ16" i="17"/>
  <c r="DT20" i="21"/>
  <c r="HX84" i="18"/>
  <c r="GN21" i="22"/>
  <c r="FD10" i="18"/>
  <c r="FD17" i="19"/>
  <c r="FD35" i="20"/>
  <c r="HX9" i="22"/>
  <c r="CJ9" i="20"/>
  <c r="FD13" i="18"/>
  <c r="CJ77" i="18"/>
  <c r="HX27" i="19"/>
  <c r="CJ19" i="18"/>
  <c r="DT12" i="20"/>
  <c r="AZ29" i="20"/>
  <c r="FD53" i="18"/>
  <c r="HX30" i="20"/>
  <c r="DT6" i="22"/>
  <c r="AZ11" i="18"/>
  <c r="DT24" i="20"/>
  <c r="HX25" i="19"/>
  <c r="HX8" i="21"/>
  <c r="GN21" i="19"/>
  <c r="GN20" i="20"/>
  <c r="HX35" i="20"/>
  <c r="CJ9" i="21"/>
  <c r="CJ29" i="20"/>
  <c r="AZ56" i="18"/>
  <c r="CJ43" i="18"/>
  <c r="DT95" i="18"/>
  <c r="DT22" i="19"/>
  <c r="FD16" i="21"/>
  <c r="AZ18" i="20"/>
  <c r="DT13" i="20"/>
  <c r="GN10" i="20"/>
  <c r="AZ9" i="20"/>
  <c r="DT35" i="20"/>
  <c r="DT5" i="22"/>
  <c r="HX9" i="21"/>
  <c r="FD10" i="22"/>
  <c r="FD64" i="18"/>
  <c r="HX32" i="19"/>
  <c r="GN24" i="19"/>
  <c r="DT30" i="19"/>
  <c r="FD9" i="22"/>
  <c r="CJ100" i="18"/>
  <c r="CJ34" i="19"/>
  <c r="HX45" i="18"/>
  <c r="CJ6" i="19"/>
  <c r="CJ32" i="18"/>
  <c r="DT13" i="19"/>
  <c r="FD32" i="18"/>
  <c r="GN8" i="19"/>
  <c r="AZ35" i="20"/>
  <c r="GN12" i="17"/>
  <c r="HX18" i="19"/>
  <c r="FD76" i="18"/>
  <c r="CJ24" i="19"/>
  <c r="AZ12" i="21"/>
  <c r="AZ21" i="20"/>
  <c r="FD11" i="17"/>
  <c r="CJ22" i="17"/>
  <c r="DT103" i="18"/>
  <c r="CJ14" i="17"/>
  <c r="AZ34" i="20"/>
  <c r="GN10" i="21"/>
  <c r="AZ34" i="18"/>
  <c r="AZ30" i="19"/>
  <c r="CJ55" i="18"/>
  <c r="HX12" i="18"/>
  <c r="CJ27" i="18"/>
  <c r="HX17" i="19"/>
  <c r="HX24" i="19"/>
  <c r="GN25" i="20"/>
  <c r="FD40" i="18"/>
  <c r="GN20" i="22"/>
  <c r="HX93" i="18"/>
  <c r="GN25" i="19"/>
  <c r="HX97" i="18"/>
  <c r="HX23" i="18"/>
  <c r="HX21" i="18"/>
  <c r="AZ62" i="18"/>
  <c r="FD92" i="18"/>
  <c r="AZ7" i="21"/>
  <c r="FD79" i="18"/>
  <c r="CJ30" i="20"/>
  <c r="GN15" i="18"/>
  <c r="AZ23" i="22"/>
  <c r="FD89" i="18"/>
  <c r="AZ27" i="20"/>
  <c r="AZ8" i="20"/>
  <c r="CJ71" i="18"/>
  <c r="GN47" i="18"/>
  <c r="FD10" i="21"/>
  <c r="AZ24" i="19"/>
  <c r="CJ28" i="19"/>
  <c r="GN14" i="20"/>
  <c r="AZ9" i="21"/>
  <c r="AZ18" i="22"/>
  <c r="AZ36" i="18"/>
  <c r="HX16" i="19"/>
  <c r="GN101" i="18"/>
  <c r="CJ21" i="20"/>
  <c r="FD34" i="20"/>
  <c r="DT14" i="20"/>
  <c r="HX85" i="18"/>
  <c r="CJ39" i="18"/>
  <c r="CJ20" i="18"/>
  <c r="GN77" i="18"/>
  <c r="GN52" i="18"/>
  <c r="CJ32" i="20"/>
  <c r="GN18" i="21"/>
  <c r="GN19" i="19"/>
  <c r="CJ12" i="19"/>
  <c r="DT24" i="22"/>
  <c r="CJ5" i="21"/>
  <c r="FD27" i="20"/>
  <c r="AZ84" i="18"/>
  <c r="FD25" i="20"/>
  <c r="CJ16" i="19"/>
  <c r="FD20" i="22"/>
  <c r="AZ8" i="21"/>
  <c r="GN9" i="22"/>
  <c r="AZ40" i="18"/>
  <c r="GN82" i="18"/>
  <c r="AZ13" i="18"/>
  <c r="DT102" i="18"/>
  <c r="GN32" i="19"/>
  <c r="HX30" i="19"/>
  <c r="FD27" i="17"/>
  <c r="CJ25" i="19"/>
  <c r="GN33" i="19"/>
  <c r="AZ32" i="18"/>
  <c r="HX9" i="20"/>
  <c r="DT10" i="18"/>
  <c r="GN19" i="22"/>
  <c r="DT85" i="18"/>
  <c r="DT11" i="19"/>
  <c r="DT47" i="18"/>
  <c r="DT29" i="20"/>
  <c r="FD82" i="18"/>
  <c r="FD28" i="19"/>
  <c r="AZ12" i="22"/>
  <c r="CJ34" i="20"/>
  <c r="CJ86" i="18"/>
  <c r="CJ35" i="19"/>
  <c r="GN5" i="19"/>
  <c r="HX24" i="21"/>
  <c r="HX20" i="20"/>
  <c r="CJ26" i="20"/>
  <c r="GN8" i="18"/>
  <c r="DT79" i="18"/>
  <c r="AZ61" i="18"/>
  <c r="HX15" i="18"/>
  <c r="FD6" i="22"/>
  <c r="GN6" i="20"/>
  <c r="HX27" i="20"/>
  <c r="FD48" i="18"/>
  <c r="GN30" i="19"/>
  <c r="HX15" i="22"/>
  <c r="GN11" i="19"/>
  <c r="GN6" i="21"/>
  <c r="AZ26" i="19"/>
  <c r="HX26" i="20"/>
  <c r="CJ18" i="18"/>
  <c r="HX39" i="18"/>
  <c r="FD5" i="20"/>
  <c r="CJ8" i="21"/>
  <c r="AZ23" i="21"/>
  <c r="AZ7" i="22"/>
  <c r="FD65" i="18"/>
  <c r="FD12" i="19"/>
  <c r="CJ20" i="17"/>
  <c r="CJ37" i="18"/>
  <c r="DT6" i="17"/>
  <c r="CJ69" i="18"/>
  <c r="HX32" i="20"/>
  <c r="GN18" i="20"/>
  <c r="GN69" i="18"/>
  <c r="GN30" i="20"/>
  <c r="HX11" i="21"/>
  <c r="CJ102" i="18"/>
  <c r="DT26" i="20"/>
  <c r="DT104" i="18"/>
  <c r="GN35" i="19"/>
  <c r="GN29" i="20"/>
  <c r="DT43" i="18"/>
  <c r="HX71" i="18"/>
  <c r="FD19" i="21"/>
  <c r="HX11" i="22"/>
  <c r="DT24" i="17"/>
  <c r="AZ28" i="18"/>
  <c r="HX14" i="18"/>
  <c r="FD8" i="18"/>
  <c r="FD97" i="18"/>
  <c r="HX13" i="22"/>
  <c r="CJ21" i="18"/>
  <c r="CJ51" i="18"/>
  <c r="HX19" i="20"/>
  <c r="GN13" i="20"/>
  <c r="HX10" i="19"/>
  <c r="GN9" i="18"/>
  <c r="HX28" i="20"/>
  <c r="DT20" i="18"/>
  <c r="FD16" i="22"/>
  <c r="AZ14" i="21"/>
  <c r="DT17" i="21"/>
  <c r="FD43" i="18"/>
  <c r="FD11" i="19"/>
  <c r="AZ6" i="22"/>
  <c r="HX14" i="19"/>
  <c r="HX17" i="20"/>
  <c r="GN22" i="21"/>
  <c r="HX90" i="18"/>
  <c r="GN17" i="22"/>
  <c r="FD11" i="20"/>
  <c r="DT12" i="19"/>
  <c r="GN22" i="22"/>
  <c r="GN75" i="18"/>
  <c r="FD18" i="21"/>
  <c r="HX26" i="19"/>
  <c r="DT99" i="18"/>
  <c r="GN49" i="18"/>
  <c r="AZ92" i="18"/>
  <c r="GN22" i="18"/>
  <c r="AZ18" i="17"/>
  <c r="FD57" i="18"/>
  <c r="GN96" i="18"/>
  <c r="HX5" i="22"/>
  <c r="CJ99" i="18"/>
  <c r="CJ21" i="21"/>
  <c r="AZ8" i="19"/>
  <c r="FD96" i="18"/>
  <c r="CJ29" i="18"/>
  <c r="CJ14" i="20"/>
  <c r="GN68" i="18"/>
  <c r="CJ6" i="20"/>
  <c r="HX28" i="18"/>
  <c r="AZ20" i="21"/>
  <c r="CJ78" i="18"/>
  <c r="HX23" i="22"/>
  <c r="DT13" i="22"/>
  <c r="FD14" i="22"/>
  <c r="DT28" i="20"/>
  <c r="DT31" i="20"/>
  <c r="DT17" i="19"/>
  <c r="HX20" i="21"/>
  <c r="CJ11" i="19"/>
  <c r="CJ31" i="19"/>
  <c r="DT9" i="20"/>
  <c r="GN23" i="21"/>
  <c r="DT8" i="20"/>
  <c r="HX13" i="20"/>
  <c r="HX34" i="19"/>
  <c r="DT16" i="21"/>
  <c r="AZ11" i="22"/>
  <c r="DT101" i="18"/>
  <c r="CJ10" i="20"/>
  <c r="AZ20" i="19"/>
  <c r="AZ19" i="22"/>
  <c r="HX6" i="21"/>
  <c r="DT52" i="18"/>
  <c r="GN31" i="18"/>
  <c r="DT11" i="22"/>
  <c r="HX12" i="20"/>
  <c r="AZ68" i="18"/>
  <c r="HX7" i="21"/>
  <c r="AZ11" i="19"/>
  <c r="CJ22" i="19"/>
  <c r="AZ70" i="18"/>
  <c r="DT17" i="20"/>
  <c r="FD5" i="22"/>
  <c r="AZ35" i="19"/>
  <c r="CJ13" i="20"/>
  <c r="FD29" i="20"/>
  <c r="GN12" i="22"/>
  <c r="FD29" i="18"/>
  <c r="AZ38" i="18"/>
  <c r="HX23" i="17"/>
  <c r="GN14" i="19"/>
  <c r="DT9" i="19"/>
  <c r="FD12" i="21"/>
  <c r="FD7" i="22"/>
  <c r="DT22" i="21"/>
  <c r="GN11" i="18"/>
  <c r="CJ80" i="18"/>
  <c r="AZ17" i="22"/>
  <c r="HX58" i="18"/>
  <c r="DT7" i="22"/>
  <c r="FD14" i="20"/>
  <c r="AZ17" i="21"/>
  <c r="CJ15" i="19"/>
  <c r="AZ12" i="20"/>
  <c r="DT33" i="19"/>
  <c r="HX50" i="18"/>
  <c r="FD12" i="18"/>
  <c r="AZ11" i="20"/>
  <c r="FD75" i="18"/>
  <c r="FD21" i="20"/>
  <c r="AZ22" i="17"/>
  <c r="DT11" i="20"/>
  <c r="FD93" i="18"/>
  <c r="HX29" i="18"/>
  <c r="FD85" i="18"/>
  <c r="HX11" i="20"/>
  <c r="FD5" i="19"/>
  <c r="DT22" i="20"/>
  <c r="DT21" i="22"/>
  <c r="FD18" i="18"/>
  <c r="AZ10" i="18"/>
  <c r="AZ16" i="18"/>
  <c r="AZ42" i="18"/>
  <c r="FD80" i="18"/>
  <c r="DT44" i="18"/>
  <c r="GN10" i="19"/>
  <c r="FD26" i="19"/>
  <c r="CJ54" i="18"/>
  <c r="DT14" i="21"/>
  <c r="FD6" i="20"/>
  <c r="FD18" i="22"/>
  <c r="DT16" i="22"/>
  <c r="HX7" i="19"/>
  <c r="FD20" i="19"/>
  <c r="FD22" i="17"/>
  <c r="DT31" i="18"/>
  <c r="DT81" i="18"/>
  <c r="HX24" i="18"/>
  <c r="HX13" i="18"/>
  <c r="DT91" i="18"/>
  <c r="AZ103" i="18"/>
  <c r="AZ43" i="18"/>
  <c r="CJ7" i="19"/>
  <c r="DT97" i="18"/>
  <c r="AZ19" i="21"/>
  <c r="HX21" i="21"/>
  <c r="AZ22" i="22"/>
  <c r="DT93" i="18"/>
  <c r="DT12" i="22"/>
  <c r="AZ10" i="19"/>
  <c r="DT7" i="21"/>
  <c r="FD34" i="19"/>
  <c r="GN20" i="21"/>
  <c r="GN15" i="22"/>
  <c r="AZ24" i="22"/>
  <c r="FD30" i="19"/>
  <c r="GN19" i="20"/>
  <c r="DT16" i="18"/>
  <c r="HX12" i="21"/>
  <c r="AZ26" i="20"/>
  <c r="HX91" i="18"/>
  <c r="DT5" i="21"/>
  <c r="AZ99" i="18"/>
  <c r="FD61" i="18"/>
  <c r="GN18" i="19"/>
  <c r="GN24" i="18"/>
  <c r="CJ19" i="19"/>
  <c r="DT12" i="18"/>
  <c r="FD25" i="19"/>
  <c r="FD17" i="22"/>
  <c r="AZ21" i="19"/>
  <c r="AZ8" i="22"/>
  <c r="CJ7" i="20"/>
  <c r="DT24" i="19"/>
  <c r="HX22" i="19"/>
  <c r="AZ21" i="18"/>
  <c r="GN18" i="22"/>
  <c r="AZ13" i="20"/>
  <c r="GN17" i="19"/>
  <c r="AZ23" i="19"/>
  <c r="FD20" i="21"/>
  <c r="CJ17" i="21"/>
  <c r="FD22" i="21"/>
  <c r="GN97" i="18"/>
  <c r="FD8" i="22"/>
  <c r="DT15" i="19"/>
  <c r="HX18" i="20"/>
  <c r="CJ27" i="20"/>
  <c r="FD5" i="18"/>
  <c r="DT34" i="19"/>
  <c r="HX49" i="18"/>
  <c r="FD19" i="18"/>
  <c r="HX21" i="19"/>
  <c r="CJ25" i="17"/>
  <c r="AZ31" i="20"/>
  <c r="CJ52" i="18"/>
  <c r="GN8" i="22"/>
  <c r="DT23" i="21"/>
  <c r="AZ23" i="20"/>
  <c r="DT10" i="19"/>
  <c r="GN21"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<sst xmlns="http://schemas.openxmlformats.org/spreadsheetml/2006/main" count="4592" uniqueCount="468">
  <si>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</si>
  <si>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</si>
  <si>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</si>
  <si>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</si>
  <si>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</si>
  <si>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</si>
  <si>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</si>
  <si>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</si>
  <si>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</si>
  <si>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</si>
  <si>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</si>
  <si>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</si>
  <si>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</si>
  <si>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</si>
  <si>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</si>
  <si>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</si>
  <si>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</si>
  <si>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</si>
  <si>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</si>
  <si>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</si>
  <si>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</si>
  <si>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</si>
  <si>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</si>
  <si>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</si>
  <si>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</si>
  <si>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</si>
  <si>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</si>
  <si>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</si>
  <si>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</si>
  <si>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</si>
  <si>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</si>
  <si>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</si>
  <si>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</si>
  <si>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</si>
  <si>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</si>
  <si>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</si>
  <si>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</si>
  <si>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</si>
  <si>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</si>
  <si>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</si>
  <si>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</si>
  <si>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</si>
  <si>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</si>
  <si>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</si>
  <si>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</si>
  <si>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</si>
  <si>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</si>
  <si>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</si>
  <si>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</si>
  <si>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</si>
  <si>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</si>
  <si>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</si>
  <si>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</si>
  <si>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</si>
  <si>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</si>
  <si>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</si>
  <si>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</si>
  <si>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</si>
  <si>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</si>
  <si>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</si>
  <si>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</si>
  <si>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</si>
  <si>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</si>
  <si>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</si>
  <si>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</si>
  <si>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</si>
  <si>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</si>
  <si>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</si>
  <si>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</si>
  <si>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</si>
  <si>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</si>
  <si>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</si>
  <si>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</si>
  <si>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</si>
  <si>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</si>
  <si>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</si>
  <si>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</si>
  <si>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</si>
  <si>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</si>
  <si>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</si>
  <si>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</si>
  <si>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</si>
  <si>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</si>
  <si>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</si>
  <si>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</si>
  <si>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</si>
  <si>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</si>
  <si>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</si>
  <si>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</si>
  <si>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</si>
  <si>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</si>
  <si>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</si>
  <si>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</si>
  <si>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</si>
  <si>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</si>
  <si>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</si>
  <si>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</si>
  <si>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</si>
  <si>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</si>
  <si>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</si>
  <si>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</si>
  <si>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</si>
  <si>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</si>
  <si>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</si>
  <si>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</si>
  <si>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</si>
  <si>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</si>
  <si>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</si>
  <si>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</si>
  <si>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</si>
  <si>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</si>
  <si>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</si>
  <si>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</si>
  <si>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</si>
  <si>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</si>
  <si>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</si>
  <si>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</si>
  <si>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</si>
  <si>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</si>
  <si>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</si>
  <si>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</si>
  <si>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</si>
  <si>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</si>
  <si>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</si>
  <si>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</si>
  <si>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</si>
  <si>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</si>
  <si>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</si>
  <si>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</si>
  <si>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</si>
  <si>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</si>
  <si>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</si>
  <si>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</si>
  <si>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</si>
  <si>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</si>
  <si>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</si>
  <si>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</si>
  <si>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</si>
  <si>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</si>
  <si>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</si>
  <si>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</si>
  <si>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</si>
  <si>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</si>
  <si>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</si>
  <si>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</si>
  <si>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</si>
  <si>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</si>
  <si>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</si>
  <si>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</si>
  <si>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</si>
  <si>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</si>
  <si>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</si>
  <si>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</si>
  <si>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</si>
  <si>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</si>
  <si>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</si>
  <si>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</si>
  <si>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</si>
  <si>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</si>
  <si>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</si>
  <si>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</si>
  <si>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</si>
  <si>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</si>
  <si>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</si>
  <si>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</si>
  <si>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</si>
  <si>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</si>
  <si>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</si>
  <si>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</si>
  <si>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</si>
  <si>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</si>
  <si>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</si>
  <si>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</si>
  <si>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</si>
  <si>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</si>
  <si>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</si>
  <si>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</si>
  <si>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</si>
  <si>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</si>
  <si>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</si>
  <si>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</si>
  <si>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</si>
  <si>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</si>
  <si>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</si>
  <si>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</si>
  <si>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</si>
  <si>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</si>
  <si>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</si>
  <si>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</si>
  <si>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</si>
  <si>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</si>
  <si>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</si>
  <si>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</si>
  <si>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</si>
  <si>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</si>
  <si>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</si>
  <si>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</si>
  <si>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</si>
  <si>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</si>
  <si>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</si>
  <si>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</si>
  <si>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</si>
  <si>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</si>
  <si>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</si>
  <si>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</si>
  <si>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</si>
  <si>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</si>
  <si>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</si>
  <si>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</si>
  <si>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</si>
  <si>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</si>
  <si>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</si>
  <si>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</si>
  <si>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</si>
  <si>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</si>
  <si>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</si>
  <si>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</si>
  <si>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</si>
  <si>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</si>
  <si>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</si>
  <si>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</si>
  <si>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</si>
  <si>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</si>
  <si>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</si>
  <si>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</si>
  <si>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</si>
  <si>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</si>
  <si>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</si>
  <si>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</si>
  <si>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</si>
  <si>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</si>
  <si>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</si>
  <si>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</si>
  <si>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</si>
  <si>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</si>
  <si>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</si>
  <si>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</si>
  <si>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</si>
  <si>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</si>
  <si>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</si>
  <si>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</si>
  <si>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</si>
  <si>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</si>
  <si>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</si>
  <si>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</si>
  <si>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</si>
  <si>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</si>
  <si>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</si>
  <si>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</si>
  <si>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</si>
  <si>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</si>
  <si>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</si>
  <si>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</si>
  <si>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</si>
  <si>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</si>
  <si>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</si>
  <si>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</si>
  <si>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</si>
  <si>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</si>
  <si>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</si>
  <si>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</si>
  <si>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</si>
  <si>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</si>
  <si>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</si>
  <si>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</si>
  <si>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</si>
  <si>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</si>
  <si>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</si>
  <si>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</si>
  <si>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</si>
  <si>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</si>
  <si>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</si>
  <si>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</si>
  <si>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</si>
  <si>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</si>
  <si>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</si>
  <si>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</si>
  <si>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</si>
  <si>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</si>
  <si>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</si>
  <si>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</si>
  <si>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</si>
  <si>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</si>
  <si>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</si>
  <si>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</si>
  <si>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</si>
  <si>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</si>
  <si>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</si>
  <si>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</si>
  <si>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</si>
  <si>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</si>
  <si>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</si>
  <si>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</si>
  <si>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</si>
  <si>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</si>
  <si>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</si>
  <si>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</si>
  <si>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</si>
  <si>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</si>
  <si>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</si>
  <si>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</si>
  <si>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</si>
  <si>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</si>
  <si>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</si>
  <si>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</si>
  <si>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</si>
  <si>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</si>
  <si>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</si>
  <si>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</si>
  <si>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</si>
  <si>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</si>
  <si>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</si>
  <si>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</si>
  <si>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</si>
  <si>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</si>
  <si>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</si>
  <si>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</si>
  <si>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</si>
  <si>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</si>
  <si>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</si>
  <si>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</si>
  <si>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</si>
  <si>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</si>
  <si>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</si>
  <si>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</si>
  <si>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</si>
  <si>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</si>
  <si>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</si>
  <si>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</si>
  <si>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</si>
  <si>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</si>
  <si>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</si>
  <si>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</si>
  <si>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</si>
  <si>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</si>
  <si>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</si>
  <si>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</si>
  <si>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</si>
  <si>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</si>
  <si>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</si>
  <si>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</si>
  <si>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</si>
  <si>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</si>
  <si>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</si>
  <si>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</si>
  <si>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</si>
  <si>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</si>
  <si>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</si>
  <si>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</si>
  <si>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</si>
  <si>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</si>
  <si>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</si>
  <si>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</si>
  <si>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</si>
  <si>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</si>
  <si>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</si>
  <si>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</si>
  <si>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</si>
  <si>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</si>
  <si>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</si>
  <si>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</si>
  <si>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</si>
  <si>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</si>
  <si>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</si>
  <si>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</si>
  <si>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</si>
  <si>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</si>
  <si>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</si>
  <si>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</si>
  <si>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</si>
  <si>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</si>
  <si>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</si>
  <si>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</si>
  <si>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</si>
  <si>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</si>
  <si>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</si>
  <si>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</si>
  <si>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</si>
  <si>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</si>
  <si>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</si>
  <si>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</si>
  <si>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</si>
  <si>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</si>
  <si>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</si>
  <si>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</si>
  <si>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</si>
  <si>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</si>
  <si>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</si>
  <si>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</si>
  <si>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</si>
  <si>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</si>
  <si>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</si>
  <si>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</si>
  <si>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</si>
  <si>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</si>
  <si>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</si>
  <si>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</si>
  <si>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</si>
  <si>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</si>
  <si>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</si>
  <si>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</si>
  <si>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</si>
  <si>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</si>
  <si>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</si>
  <si>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</si>
  <si>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</si>
  <si>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</si>
  <si>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</si>
  <si>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</si>
  <si>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</si>
  <si>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</si>
  <si>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</si>
  <si>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</si>
  <si>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</si>
  <si>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</si>
  <si>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</si>
  <si>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</si>
  <si>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</si>
  <si>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</si>
  <si>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</si>
  <si>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</si>
  <si>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</si>
  <si>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</si>
  <si>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</si>
  <si>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</si>
  <si>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</si>
  <si>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</si>
  <si>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</si>
  <si>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</si>
  <si>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</si>
  <si>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</si>
  <si>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</si>
  <si>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</si>
  <si>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</si>
  <si>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</si>
  <si>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PC5 Sheet List: Separated by a comma</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</si>
  <si>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</si>
  <si>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</si>
  <si>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</si>
  <si>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</si>
  <si>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</si>
  <si>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</si>
  <si>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</si>
  <si>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</si>
  <si>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</si>
  <si>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</si>
  <si>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</si>
  <si>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</si>
  <si>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</si>
  <si>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</si>
  <si>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</si>
  <si>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</si>
  <si>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</si>
  <si>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</si>
  <si>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</si>
  <si>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</si>
  <si>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C:\Program Files\Python39\python.exe</t>
  </si>
  <si>
    <t>RO_Data[7].ACK_DESC[</t>
  </si>
  <si>
    <t>RO_Data[7].MIN[</t>
  </si>
  <si>
    <t>RO_Data[7].SEC[</t>
  </si>
  <si>
    <t>RO_Data[7].SETPOINT[</t>
  </si>
  <si>
    <t>RO_Data[7].COND1[</t>
  </si>
  <si>
    <t>RO_Data[7].COND2[</t>
  </si>
  <si>
    <t>RO_Data[7].COND3[</t>
  </si>
  <si>
    <t>RO_Data[7].ACT1[</t>
  </si>
  <si>
    <t>RO_Data[7].ACT5[</t>
  </si>
  <si>
    <t>RO_Data[7].ACT6[</t>
  </si>
  <si>
    <t>RO_Data[7].STEP_DESC[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</si>
</sst>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5">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0" xfId="0"/>
    <xf numFmtId="0" fontId="0" fillId="0" borderId="7" xfId="0" applyBorder="1" applyAlignment="1">
      <alignment horizontal="center"/>
    </xf>
    <xf numFmtId="0" fontId="0" fillId="0" borderId="10" xfId="0" applyBorder="1"/>
    <xf numFmtId="0" fontId="0" fillId="0" borderId="29" xfId="0" applyBorder="1" applyAlignment="1">
      <alignment wrapText="1"/>
    </xf>
    <xf numFmtId="0" fontId="0" fillId="0" borderId="28" xfId="0" applyBorder="1"/>
    <xf numFmtId="0" fontId="0" fillId="0" borderId="29" xfId="0" applyBorder="1"/>
    <xf numFmtId="0" fontId="0" fillId="0" borderId="29"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29" xfId="0" applyBorder="1"/>
    <xf numFmtId="0" fontId="0" fillId="0" borderId="27" xfId="0" applyBorder="1"/>
    <xf numFmtId="0" fontId="0" fillId="0" borderId="28" xfId="0" applyBorder="1"/>
    <xf numFmtId="0" fontId="4" fillId="0" borderId="29" xfId="0" applyFont="1"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11" xfId="0" applyBorder="1" applyAlignment="1">
      <alignment wrapText="1"/>
    </xf>
    <xf numFmtId="0" fontId="0" fillId="0" borderId="11" xfId="0" applyBorder="1"/>
    <xf numFmtId="0" fontId="0" fillId="0" borderId="30" xfId="0" applyBorder="1" applyAlignment="1">
      <alignment wrapText="1"/>
    </xf>
    <xf numFmtId="0" fontId="0" fillId="0" borderId="29" xfId="0" applyBorder="1" applyAlignment="1">
      <alignment wrapText="1"/>
    </xf>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16" xfId="0" applyBorder="1"/>
    <xf numFmtId="0" fontId="0" fillId="0" borderId="31" xfId="0" applyBorder="1" applyAlignment="1" applyProtection="1">
      <alignment horizontal="center" textRotation="90"/>
      <protection locked="0"/>
    </xf>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12" xfId="0" applyBorder="1"/>
  </cellXfs>
  <cellStyles count="2">
    <cellStyle name="Normal" xfId="0" builtinId="0"/>
    <cellStyle name="Normal 2" xfId="1" xr:uid="{4B7966B9-05E9-4018-8454-D6B8F80F3D5A}"/>
  </cellStyles>
  <dxfs count="11">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866"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C12" sqref="C12"/>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8"/>
      <c r="B1" s="148"/>
    </row>
    <row r="2" spans="1:18" ht="15.75" customHeight="1" thickBot="1" x14ac:dyDescent="0.3">
      <c r="B2" t="s">
        <v>0</v>
      </c>
    </row>
    <row r="3" spans="1:18" ht="14.25" customHeight="1" thickBot="1" x14ac:dyDescent="0.3">
      <c r="B3" s="154" t="s">
        <v>1</v>
      </c>
      <c r="C3" s="155"/>
      <c r="D3" s="155"/>
      <c r="E3" s="155"/>
      <c r="F3" s="155"/>
      <c r="G3" s="155"/>
      <c r="H3" s="155"/>
      <c r="I3" s="155"/>
      <c r="J3" s="155"/>
      <c r="K3" s="156"/>
      <c r="L3" t="s">
        <v>2</v>
      </c>
    </row>
    <row r="4" spans="1:18" ht="14.25" customHeight="1" thickBot="1" x14ac:dyDescent="0.3">
      <c r="B4" s="151"/>
      <c r="C4" s="150"/>
      <c r="D4" s="150"/>
      <c r="E4" s="150"/>
      <c r="F4" s="150"/>
      <c r="G4" s="150"/>
      <c r="H4" s="150"/>
      <c r="I4" s="150"/>
      <c r="J4" s="150"/>
      <c r="K4" s="157"/>
      <c r="L4">
        <v>1</v>
      </c>
      <c r="M4" t="s">
        <v>3</v>
      </c>
    </row>
    <row r="5" spans="1:18" ht="14.25" customHeight="1" thickBot="1" x14ac:dyDescent="0.3">
      <c r="B5" s="151"/>
      <c r="C5" s="150"/>
      <c r="D5" s="150"/>
      <c r="E5" s="150"/>
      <c r="F5" s="150"/>
      <c r="G5" s="150"/>
      <c r="H5" s="150"/>
      <c r="I5" s="150"/>
      <c r="J5" s="150"/>
      <c r="K5" s="157"/>
      <c r="L5">
        <v>2</v>
      </c>
      <c r="M5" t="s">
        <v>4</v>
      </c>
    </row>
    <row r="6" spans="1:18" ht="14.25" customHeight="1" thickBot="1" x14ac:dyDescent="0.3">
      <c r="B6" s="152"/>
      <c r="C6" s="153"/>
      <c r="D6" s="153"/>
      <c r="E6" s="153"/>
      <c r="F6" s="153"/>
      <c r="G6" s="153"/>
      <c r="H6" s="153"/>
      <c r="I6" s="153"/>
      <c r="J6" s="153"/>
      <c r="K6" s="158"/>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437</v>
      </c>
      <c r="C9" s="105" t="s">
        <v>439</v>
      </c>
      <c r="D9" s="29" t="s">
        <v>7</v>
      </c>
      <c r="E9" s="29"/>
      <c r="F9" s="29"/>
      <c r="G9" s="29"/>
      <c r="H9" s="29"/>
      <c r="I9" s="29"/>
      <c r="J9" s="29"/>
      <c r="K9" s="30"/>
      <c r="M9" s="164" t="s">
        <v>432</v>
      </c>
      <c r="N9" s="168"/>
      <c r="O9" s="168"/>
      <c r="P9" s="168"/>
      <c r="Q9" s="168"/>
      <c r="R9" s="169"/>
    </row>
    <row r="10" spans="1:18" s="102" customFormat="1" x14ac:dyDescent="0.25">
      <c r="B10" s="103" t="s">
        <v>438</v>
      </c>
      <c r="C10" s="106">
        <v>0</v>
      </c>
      <c r="D10" s="107" t="s">
        <v>7</v>
      </c>
      <c r="E10" s="86"/>
      <c r="F10" s="86"/>
      <c r="G10" s="86"/>
      <c r="H10" s="86"/>
      <c r="I10" s="86"/>
      <c r="J10" s="86"/>
      <c r="K10" s="104"/>
      <c r="M10" s="165"/>
      <c r="N10" s="166"/>
      <c r="O10" s="166"/>
      <c r="P10" s="166"/>
      <c r="Q10" s="166"/>
      <c r="R10" s="167"/>
    </row>
    <row r="11" spans="1:18" x14ac:dyDescent="0.25">
      <c r="B11" s="26" t="s">
        <v>440</v>
      </c>
      <c r="C11" t="s">
        <v>456</v>
      </c>
      <c r="D11" t="s">
        <v>7</v>
      </c>
      <c r="K11" s="31"/>
      <c r="M11" s="165"/>
      <c r="N11" s="166" t="s">
        <v>433</v>
      </c>
      <c r="O11" s="166"/>
      <c r="P11" s="166"/>
      <c r="Q11" s="166"/>
      <c r="R11" s="167"/>
    </row>
    <row r="12" spans="1:18" x14ac:dyDescent="0.25">
      <c r="B12" s="26" t="s">
        <v>8</v>
      </c>
      <c r="C12" t="s">
        <v>436</v>
      </c>
      <c r="D12" t="s">
        <v>7</v>
      </c>
      <c r="K12" s="31"/>
      <c r="M12" s="91"/>
      <c r="N12" s="160" t="s">
        <v>434</v>
      </c>
      <c r="O12" s="160"/>
      <c r="P12" s="160"/>
      <c r="Q12" s="160"/>
      <c r="R12" s="161"/>
    </row>
    <row r="13" spans="1:18" ht="15.75" customHeight="1" thickBot="1" x14ac:dyDescent="0.3">
      <c r="B13" s="149" t="s">
        <v>9</v>
      </c>
      <c r="C13" s="150"/>
      <c r="D13" s="150"/>
      <c r="E13" s="150"/>
      <c r="F13" s="150"/>
      <c r="G13" s="150"/>
      <c r="H13" s="150"/>
      <c r="I13" s="159"/>
      <c r="J13" s="150"/>
      <c r="K13" s="157"/>
      <c r="M13" s="91"/>
      <c r="N13" s="160"/>
      <c r="O13" s="160"/>
      <c r="P13" s="160"/>
      <c r="Q13" s="160"/>
      <c r="R13" s="161"/>
    </row>
    <row r="14" spans="1:18" x14ac:dyDescent="0.25">
      <c r="B14" s="151"/>
      <c r="C14" s="150"/>
      <c r="D14" s="150"/>
      <c r="E14" s="150"/>
      <c r="F14" s="150"/>
      <c r="G14" s="150"/>
      <c r="H14" s="150"/>
      <c r="I14" s="150"/>
      <c r="J14" s="150"/>
      <c r="K14" s="157"/>
      <c r="M14" s="91"/>
      <c r="N14" s="160"/>
      <c r="O14" s="160"/>
      <c r="P14" s="160"/>
      <c r="Q14" s="160"/>
      <c r="R14" s="161"/>
    </row>
    <row r="15" spans="1:18" x14ac:dyDescent="0.25">
      <c r="B15" s="151"/>
      <c r="C15" s="150"/>
      <c r="D15" s="150"/>
      <c r="E15" s="150"/>
      <c r="F15" s="150"/>
      <c r="G15" s="150"/>
      <c r="H15" s="150"/>
      <c r="I15" s="150"/>
      <c r="J15" s="150"/>
      <c r="K15" s="157"/>
      <c r="M15" s="91"/>
      <c r="N15" s="160"/>
      <c r="O15" s="160"/>
      <c r="P15" s="160"/>
      <c r="Q15" s="160"/>
      <c r="R15" s="161"/>
    </row>
    <row r="16" spans="1:18" x14ac:dyDescent="0.25">
      <c r="B16" s="151"/>
      <c r="C16" s="150"/>
      <c r="D16" s="150"/>
      <c r="E16" s="150"/>
      <c r="F16" s="150"/>
      <c r="G16" s="150"/>
      <c r="H16" s="150"/>
      <c r="I16" s="150"/>
      <c r="J16" s="150"/>
      <c r="K16" s="157"/>
      <c r="M16" s="91"/>
      <c r="N16" s="160"/>
      <c r="O16" s="160"/>
      <c r="P16" s="160"/>
      <c r="Q16" s="160"/>
      <c r="R16" s="161"/>
    </row>
    <row r="17" spans="2:18" x14ac:dyDescent="0.25">
      <c r="B17" s="151"/>
      <c r="C17" s="150"/>
      <c r="D17" s="150"/>
      <c r="E17" s="150"/>
      <c r="F17" s="150"/>
      <c r="G17" s="150"/>
      <c r="H17" s="150"/>
      <c r="I17" s="150"/>
      <c r="J17" s="150"/>
      <c r="K17" s="157"/>
      <c r="M17" s="91"/>
      <c r="N17" s="160"/>
      <c r="O17" s="160"/>
      <c r="P17" s="160"/>
      <c r="Q17" s="160"/>
      <c r="R17" s="161"/>
    </row>
    <row r="18" spans="2:18" ht="15.75" customHeight="1" thickBot="1" x14ac:dyDescent="0.3">
      <c r="B18" s="152"/>
      <c r="C18" s="153"/>
      <c r="D18" s="153"/>
      <c r="E18" s="153"/>
      <c r="F18" s="153"/>
      <c r="G18" s="153"/>
      <c r="H18" s="153"/>
      <c r="I18" s="153"/>
      <c r="J18" s="153"/>
      <c r="K18" s="158"/>
      <c r="M18" s="92"/>
      <c r="N18" s="162"/>
      <c r="O18" s="162"/>
      <c r="P18" s="162"/>
      <c r="Q18" s="162"/>
      <c r="R18" s="163"/>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64" t="s">
        <v>432</v>
      </c>
      <c r="N21" s="168"/>
      <c r="O21" s="168"/>
      <c r="P21" s="168"/>
      <c r="Q21" s="168"/>
      <c r="R21" s="169"/>
    </row>
    <row r="22" spans="2:18" ht="15" customHeight="1" x14ac:dyDescent="0.25">
      <c r="B22" s="101" t="s">
        <v>23</v>
      </c>
      <c r="C22" s="100"/>
      <c r="D22" s="100"/>
      <c r="E22" s="100"/>
      <c r="F22" s="100"/>
      <c r="G22" s="100"/>
      <c r="H22" s="100"/>
      <c r="I22" s="100"/>
      <c r="J22" s="100"/>
      <c r="K22" s="99"/>
      <c r="M22" s="165"/>
      <c r="N22" s="166" t="s">
        <v>435</v>
      </c>
      <c r="O22" s="166"/>
      <c r="P22" s="166"/>
      <c r="Q22" s="166"/>
      <c r="R22" s="167"/>
    </row>
    <row r="23" spans="2:18" x14ac:dyDescent="0.25">
      <c r="B23" s="95"/>
      <c r="C23" s="100"/>
      <c r="D23" s="100"/>
      <c r="E23" s="100"/>
      <c r="F23" s="100"/>
      <c r="G23" s="100"/>
      <c r="H23" s="100"/>
      <c r="I23" s="100"/>
      <c r="J23" s="100"/>
      <c r="K23" s="99"/>
      <c r="M23" s="91"/>
      <c r="N23" s="160"/>
      <c r="O23" s="160"/>
      <c r="P23" s="160"/>
      <c r="Q23" s="160"/>
      <c r="R23" s="161"/>
    </row>
    <row r="24" spans="2:18" x14ac:dyDescent="0.25">
      <c r="B24" s="95"/>
      <c r="C24" s="100"/>
      <c r="D24" s="100"/>
      <c r="E24" s="100"/>
      <c r="F24" s="100"/>
      <c r="G24" s="100"/>
      <c r="H24" s="100"/>
      <c r="I24" s="100"/>
      <c r="J24" s="100"/>
      <c r="K24" s="99"/>
      <c r="M24" s="91"/>
      <c r="N24" s="160"/>
      <c r="O24" s="160"/>
      <c r="P24" s="160"/>
      <c r="Q24" s="160"/>
      <c r="R24" s="161"/>
    </row>
    <row r="25" spans="2:18" x14ac:dyDescent="0.25">
      <c r="B25" s="95"/>
      <c r="C25" s="100"/>
      <c r="D25" s="100"/>
      <c r="E25" s="100"/>
      <c r="F25" s="100"/>
      <c r="G25" s="100"/>
      <c r="H25" s="100"/>
      <c r="I25" s="100"/>
      <c r="J25" s="100"/>
      <c r="K25" s="99"/>
      <c r="M25" s="91"/>
      <c r="N25" s="160"/>
      <c r="O25" s="160"/>
      <c r="P25" s="160"/>
      <c r="Q25" s="160"/>
      <c r="R25" s="161"/>
    </row>
    <row r="26" spans="2:18" x14ac:dyDescent="0.25">
      <c r="B26" s="95"/>
      <c r="C26" s="100"/>
      <c r="D26" s="100"/>
      <c r="E26" s="100"/>
      <c r="F26" s="100"/>
      <c r="G26" s="100"/>
      <c r="H26" s="100"/>
      <c r="I26" s="100"/>
      <c r="J26" s="100"/>
      <c r="K26" s="99"/>
      <c r="M26" s="91"/>
      <c r="N26" s="160"/>
      <c r="O26" s="160"/>
      <c r="P26" s="160"/>
      <c r="Q26" s="160"/>
      <c r="R26" s="161"/>
    </row>
    <row r="27" spans="2:18" s="90" customFormat="1" x14ac:dyDescent="0.25">
      <c r="B27" s="95"/>
      <c r="C27" s="100"/>
      <c r="D27" s="100"/>
      <c r="E27" s="100"/>
      <c r="F27" s="100"/>
      <c r="G27" s="100"/>
      <c r="H27" s="100"/>
      <c r="I27" s="100"/>
      <c r="J27" s="100"/>
      <c r="K27" s="99"/>
      <c r="M27" s="91"/>
      <c r="N27" s="160"/>
      <c r="O27" s="160"/>
      <c r="P27" s="160"/>
      <c r="Q27" s="160"/>
      <c r="R27" s="161"/>
    </row>
    <row r="28" spans="2:18" s="90" customFormat="1" x14ac:dyDescent="0.25">
      <c r="B28" s="95"/>
      <c r="C28" s="100"/>
      <c r="D28" s="100"/>
      <c r="E28" s="100"/>
      <c r="F28" s="100"/>
      <c r="G28" s="100"/>
      <c r="H28" s="100"/>
      <c r="I28" s="100"/>
      <c r="J28" s="100"/>
      <c r="K28" s="99"/>
      <c r="M28" s="91"/>
      <c r="N28" s="160"/>
      <c r="O28" s="160"/>
      <c r="P28" s="160"/>
      <c r="Q28" s="160"/>
      <c r="R28" s="161"/>
    </row>
    <row r="29" spans="2:18" ht="15.75" customHeight="1" thickBot="1" x14ac:dyDescent="0.3">
      <c r="B29" s="96"/>
      <c r="C29" s="97"/>
      <c r="D29" s="97"/>
      <c r="E29" s="97"/>
      <c r="F29" s="97"/>
      <c r="G29" s="97"/>
      <c r="H29" s="97"/>
      <c r="I29" s="97"/>
      <c r="J29" s="97"/>
      <c r="K29" s="98"/>
      <c r="M29" s="92"/>
      <c r="N29" s="162"/>
      <c r="O29" s="162"/>
      <c r="P29" s="162"/>
      <c r="Q29" s="162"/>
      <c r="R29" s="163"/>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422</v>
      </c>
      <c r="D33" s="25" t="s">
        <v>424</v>
      </c>
      <c r="K33" s="31"/>
    </row>
    <row r="34" spans="2:11" x14ac:dyDescent="0.25">
      <c r="B34" s="26" t="s">
        <v>15</v>
      </c>
      <c r="K34" s="31"/>
    </row>
    <row r="35" spans="2:11" s="87" customFormat="1" x14ac:dyDescent="0.25">
      <c r="B35" s="88" t="s">
        <v>423</v>
      </c>
      <c r="D35" s="87" t="s">
        <v>424</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415</v>
      </c>
      <c r="C39" s="80" t="s">
        <v>416</v>
      </c>
      <c r="D39" s="80" t="s">
        <v>417</v>
      </c>
      <c r="E39" s="80" t="s">
        <v>426</v>
      </c>
      <c r="F39" s="80"/>
      <c r="G39" s="80"/>
      <c r="H39" s="80"/>
      <c r="I39" s="80"/>
      <c r="J39" s="80"/>
      <c r="K39" s="81"/>
    </row>
    <row r="40" spans="2:11" x14ac:dyDescent="0.25">
      <c r="B40" s="77"/>
      <c r="C40" s="86" t="s">
        <v>418</v>
      </c>
      <c r="D40" s="86">
        <v>1</v>
      </c>
      <c r="E40" s="86" t="s">
        <v>427</v>
      </c>
      <c r="F40" s="86"/>
      <c r="G40" s="86"/>
      <c r="H40" s="86"/>
      <c r="I40" s="86"/>
      <c r="J40" s="86"/>
      <c r="K40" s="82"/>
    </row>
    <row r="41" spans="2:11" x14ac:dyDescent="0.25">
      <c r="B41" s="77"/>
      <c r="C41" s="86" t="s">
        <v>419</v>
      </c>
      <c r="D41" s="86">
        <v>2</v>
      </c>
      <c r="E41" s="86" t="s">
        <v>428</v>
      </c>
      <c r="F41" s="86"/>
      <c r="G41" s="86"/>
      <c r="H41" s="86"/>
      <c r="I41" s="86"/>
      <c r="J41" s="86"/>
      <c r="K41" s="82"/>
    </row>
    <row r="42" spans="2:11" x14ac:dyDescent="0.25">
      <c r="B42" s="77"/>
      <c r="C42" s="84" t="s">
        <v>420</v>
      </c>
      <c r="D42" s="86">
        <v>-32</v>
      </c>
      <c r="E42" s="84" t="s">
        <v>429</v>
      </c>
      <c r="F42" s="86"/>
      <c r="G42" s="86"/>
      <c r="H42" s="86"/>
      <c r="I42" s="86"/>
      <c r="J42" s="86"/>
      <c r="K42" s="82"/>
    </row>
    <row r="43" spans="2:11" x14ac:dyDescent="0.25">
      <c r="B43" s="77"/>
      <c r="C43" s="84" t="s">
        <v>421</v>
      </c>
      <c r="D43" s="84">
        <v>-16</v>
      </c>
      <c r="E43" s="84" t="s">
        <v>429</v>
      </c>
      <c r="F43" s="86"/>
      <c r="G43" s="86"/>
      <c r="H43" s="86"/>
      <c r="I43" s="86"/>
      <c r="J43" s="86"/>
      <c r="K43" s="82"/>
    </row>
    <row r="44" spans="2:11" x14ac:dyDescent="0.25">
      <c r="B44" s="77"/>
      <c r="C44" s="84" t="s">
        <v>425</v>
      </c>
      <c r="D44" s="84">
        <v>-1</v>
      </c>
      <c r="E44" s="84" t="s">
        <v>430</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tabSelected="1"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K12" sqref="AK12"/>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76"/>
      <c r="G2" s="67" t="s">
        <v>107</v>
      </c>
      <c r="H2" s="178"/>
      <c r="I2" s="155"/>
      <c r="J2" s="156"/>
      <c r="K2" s="67" t="s">
        <v>110</v>
      </c>
      <c r="L2" s="178"/>
      <c r="M2" s="155"/>
      <c r="N2" s="156"/>
      <c r="O2" s="4" t="s">
        <v>106</v>
      </c>
      <c r="P2" s="179"/>
      <c r="Q2" s="155"/>
      <c r="R2" s="156"/>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340</v>
      </c>
      <c r="FI2" s="33" t="s">
        <v>341</v>
      </c>
      <c r="FJ2" s="33" t="s">
        <v>342</v>
      </c>
      <c r="FK2" s="33" t="s">
        <v>343</v>
      </c>
      <c r="FL2" s="33" t="s">
        <v>344</v>
      </c>
      <c r="FM2" s="33"/>
      <c r="FN2" s="33"/>
      <c r="FO2" s="33"/>
      <c r="FP2" s="33"/>
      <c r="FQ2" s="33"/>
      <c r="FR2" s="33"/>
      <c r="FS2" s="33"/>
      <c r="FT2" s="33"/>
      <c r="FU2" s="33"/>
      <c r="FV2" s="33"/>
      <c r="FW2" s="33"/>
      <c r="FX2" s="33"/>
      <c r="FY2" s="33"/>
      <c r="FZ2" s="33"/>
      <c r="GA2" s="33"/>
      <c r="GB2" s="33"/>
      <c r="GC2" s="33"/>
      <c r="GD2" s="33"/>
      <c r="GE2" s="33" t="s">
        <v>345</v>
      </c>
      <c r="GF2" s="33" t="s">
        <v>346</v>
      </c>
      <c r="GG2" s="33" t="s">
        <v>347</v>
      </c>
      <c r="GH2" s="33" t="s">
        <v>348</v>
      </c>
      <c r="GI2" s="33" t="s">
        <v>349</v>
      </c>
      <c r="GJ2" s="33" t="s">
        <v>350</v>
      </c>
      <c r="GK2" s="33" t="s">
        <v>351</v>
      </c>
      <c r="GL2" s="33" t="s">
        <v>352</v>
      </c>
      <c r="GM2" s="34" t="s">
        <v>353</v>
      </c>
      <c r="GN2" s="2"/>
      <c r="GO2" s="174"/>
      <c r="GP2" s="175"/>
      <c r="GQ2" s="176"/>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6"/>
      <c r="IB2" s="4" t="s">
        <v>18</v>
      </c>
      <c r="IC2" s="177"/>
      <c r="ID2" s="175"/>
      <c r="IE2" s="176"/>
    </row>
    <row r="3" spans="1:239" ht="15.75" customHeight="1" thickBot="1" x14ac:dyDescent="0.3">
      <c r="A3" s="113" t="s">
        <v>19</v>
      </c>
      <c r="B3" s="113"/>
      <c r="C3" s="113" t="s">
        <v>17</v>
      </c>
      <c r="D3" s="170" t="s">
        <v>20</v>
      </c>
      <c r="E3" s="171"/>
      <c r="F3" s="172"/>
      <c r="G3" s="114" t="s">
        <v>15</v>
      </c>
      <c r="H3" s="181" t="s">
        <v>20</v>
      </c>
      <c r="I3" s="171"/>
      <c r="J3" s="172"/>
      <c r="K3" s="119" t="s">
        <v>15</v>
      </c>
      <c r="L3" s="181" t="s">
        <v>20</v>
      </c>
      <c r="M3" s="171"/>
      <c r="N3" s="172"/>
      <c r="O3" s="119" t="s">
        <v>15</v>
      </c>
      <c r="P3" s="170" t="s">
        <v>20</v>
      </c>
      <c r="Q3" s="171"/>
      <c r="R3" s="172"/>
      <c r="S3" s="68"/>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47"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47" t="s">
        <v>423</v>
      </c>
      <c r="DU3" s="181" t="s">
        <v>20</v>
      </c>
      <c r="DV3" s="171"/>
      <c r="DW3" s="172"/>
      <c r="DX3" s="18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47" t="s">
        <v>423</v>
      </c>
      <c r="FE3" s="181" t="s">
        <v>20</v>
      </c>
      <c r="FF3" s="171"/>
      <c r="FG3" s="172"/>
      <c r="FH3" s="18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8"/>
      <c r="D4" s="184"/>
      <c r="E4" s="185"/>
      <c r="F4" s="186"/>
      <c r="G4" s="7"/>
      <c r="H4" s="184"/>
      <c r="I4" s="185"/>
      <c r="J4" s="186"/>
      <c r="K4" s="7"/>
      <c r="L4" s="184"/>
      <c r="M4" s="185"/>
      <c r="N4" s="186"/>
      <c r="O4" s="5"/>
      <c r="P4" s="184"/>
      <c r="Q4" s="185"/>
      <c r="R4" s="186"/>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6"/>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6"/>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6"/>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6"/>
      <c r="IB4" s="8"/>
      <c r="IC4" s="184"/>
      <c r="ID4" s="185"/>
      <c r="IE4" s="186"/>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1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C5" activePane="bottomRight" state="frozen"/>
      <selection activeCell="ED4" sqref="ED4"/>
      <selection pane="topRight" activeCell="ED4" sqref="ED4"/>
      <selection pane="bottomLeft" activeCell="ED4" sqref="ED4"/>
      <selection pane="bottomRight" activeCell="S3" sqref="S3"/>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76"/>
      <c r="G2" s="67" t="s">
        <v>107</v>
      </c>
      <c r="H2" s="178"/>
      <c r="I2" s="155"/>
      <c r="J2" s="156"/>
      <c r="K2" s="67" t="s">
        <v>110</v>
      </c>
      <c r="L2" s="178"/>
      <c r="M2" s="155"/>
      <c r="N2" s="188"/>
      <c r="O2" s="4" t="s">
        <v>106</v>
      </c>
      <c r="P2" s="179"/>
      <c r="Q2" s="155"/>
      <c r="R2" s="156"/>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6"/>
      <c r="GR2" s="33" t="s">
        <v>452</v>
      </c>
      <c r="GS2" s="33" t="s">
        <v>455</v>
      </c>
      <c r="GT2" s="33" t="s">
        <v>454</v>
      </c>
      <c r="GU2" s="33" t="s">
        <v>451</v>
      </c>
      <c r="GV2" s="33" t="s">
        <v>442</v>
      </c>
      <c r="GW2" s="33" t="s">
        <v>443</v>
      </c>
      <c r="GX2" s="33" t="s">
        <v>444</v>
      </c>
      <c r="GY2" s="33" t="s">
        <v>445</v>
      </c>
      <c r="GZ2" s="33"/>
      <c r="HA2" s="33"/>
      <c r="HB2" s="33"/>
      <c r="HC2" s="33"/>
      <c r="HD2" s="33"/>
      <c r="HE2" s="33"/>
      <c r="HF2" s="33"/>
      <c r="HG2" s="33"/>
      <c r="HH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76"/>
    </row>
    <row r="3" spans="1:239" ht="15.75" customHeight="1" thickBot="1" x14ac:dyDescent="0.3">
      <c r="A3" s="113" t="s">
        <v>19</v>
      </c>
      <c r="B3" s="113"/>
      <c r="C3" s="113" t="s">
        <v>17</v>
      </c>
      <c r="D3" s="170" t="s">
        <v>20</v>
      </c>
      <c r="E3" s="171"/>
      <c r="F3" s="172"/>
      <c r="G3" s="114" t="s">
        <v>15</v>
      </c>
      <c r="H3" s="181" t="s">
        <v>20</v>
      </c>
      <c r="I3" s="171"/>
      <c r="J3" s="172"/>
      <c r="K3" s="119" t="s">
        <v>15</v>
      </c>
      <c r="L3" s="181" t="s">
        <v>20</v>
      </c>
      <c r="M3" s="171"/>
      <c r="N3" s="172"/>
      <c r="O3" s="119" t="s">
        <v>15</v>
      </c>
      <c r="P3" s="170" t="s">
        <v>20</v>
      </c>
      <c r="Q3" s="171"/>
      <c r="R3" s="172"/>
      <c r="S3" s="68"/>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3" t="s">
        <v>423</v>
      </c>
      <c r="FE3" s="181" t="s">
        <v>20</v>
      </c>
      <c r="FF3" s="171"/>
      <c r="FG3" s="172"/>
      <c r="FH3" s="18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3" t="s">
        <v>423</v>
      </c>
      <c r="GO3" s="181" t="s">
        <v>20</v>
      </c>
      <c r="GP3" s="171"/>
      <c r="GQ3" s="172"/>
      <c r="GR3" s="18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3" t="s">
        <v>423</v>
      </c>
      <c r="HY3" s="181" t="s">
        <v>20</v>
      </c>
      <c r="HZ3" s="171"/>
      <c r="IA3" s="172"/>
      <c r="IB3" s="113" t="s">
        <v>17</v>
      </c>
      <c r="IC3" s="170" t="s">
        <v>20</v>
      </c>
      <c r="ID3" s="171"/>
      <c r="IE3" s="172"/>
    </row>
    <row r="4" spans="1:239" x14ac:dyDescent="0.25">
      <c r="A4" s="73" t="s">
        <v>21</v>
      </c>
      <c r="B4" s="73" t="s">
        <v>18</v>
      </c>
      <c r="C4" s="117"/>
      <c r="D4" s="190"/>
      <c r="E4" s="191"/>
      <c r="F4" s="193"/>
      <c r="G4" s="74"/>
      <c r="H4" s="190"/>
      <c r="I4" s="191"/>
      <c r="J4" s="193"/>
      <c r="K4" s="74"/>
      <c r="L4" s="190"/>
      <c r="M4" s="191"/>
      <c r="N4" s="192"/>
      <c r="O4" s="75"/>
      <c r="P4" s="190"/>
      <c r="Q4" s="191"/>
      <c r="R4" s="193"/>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90"/>
      <c r="BB4" s="191"/>
      <c r="BC4" s="192"/>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90"/>
      <c r="CL4" s="191"/>
      <c r="CM4" s="192"/>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90"/>
      <c r="DV4" s="191"/>
      <c r="DW4" s="19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90"/>
      <c r="FF4" s="191"/>
      <c r="FG4" s="193"/>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90"/>
      <c r="GP4" s="191"/>
      <c r="GQ4" s="193"/>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90"/>
      <c r="HZ4" s="191"/>
      <c r="IA4" s="192"/>
      <c r="IB4" s="73"/>
      <c r="IC4" s="190"/>
      <c r="ID4" s="191"/>
      <c r="IE4" s="193"/>
    </row>
    <row r="5" spans="1:239" x14ac:dyDescent="0.25">
      <c r="A5" s="8">
        <v>0</v>
      </c>
      <c r="B5" s="8" t="str">
        <f t="shared" ref="B5:B68" si="0">IF($IB5&lt;&gt;"", $IB5, "")</f>
        <v>HOME</v>
      </c>
      <c r="C5" s="47"/>
      <c r="D5" s="22" t="s">
        <v>360</v>
      </c>
      <c r="E5" s="23">
        <v>0</v>
      </c>
      <c r="F5" s="112" t="s">
        <v>22</v>
      </c>
      <c r="G5" s="129">
        <v>0</v>
      </c>
      <c r="H5" s="22" t="s">
        <v>361</v>
      </c>
      <c r="I5" s="23">
        <v>0</v>
      </c>
      <c r="J5" s="112" t="s">
        <v>22</v>
      </c>
      <c r="K5" s="129">
        <v>0</v>
      </c>
      <c r="L5" s="22" t="s">
        <v>362</v>
      </c>
      <c r="M5" s="23">
        <v>0</v>
      </c>
      <c r="N5" s="112" t="s">
        <v>22</v>
      </c>
      <c r="O5" s="132">
        <v>0</v>
      </c>
      <c r="P5" s="22" t="s">
        <v>363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369</v>
      </c>
      <c r="HZ5" s="23">
        <v>0</v>
      </c>
      <c r="IA5" s="112" t="s">
        <v>22</v>
      </c>
      <c r="IB5" s="10" t="s">
        <v>206</v>
      </c>
      <c r="IC5" s="22" t="s">
        <v>370</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16777216</v>
      </c>
      <c r="HY12" s="6" t="str">
        <f t="shared" si="11"/>
        <v>RO_Data[2].ACT6[</v>
      </c>
      <c r="HZ12" s="23">
        <f t="shared" si="22"/>
        <v>7</v>
      </c>
      <c r="IA12" s="112" t="s">
        <v>22</v>
      </c>
      <c r="IB12" s="10" t="s">
        <v>227</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228</v>
      </c>
      <c r="IC13" s="6" t="str">
        <f t="shared" si="12"/>
        <v>RO_Data[2].STEP_DESC[</v>
      </c>
      <c r="ID13" s="23">
        <f t="shared" si="23"/>
        <v>8</v>
      </c>
      <c r="IE13" s="112" t="s">
        <v>22</v>
      </c>
    </row>
    <row r="14" spans="1:239" x14ac:dyDescent="0.25">
      <c r="A14" s="8">
        <v>9</v>
      </c>
      <c r="B14" s="8" t="str">
        <f t="shared" si="0"/>
        <v>CHECK PH - HOLD FOR ACKNOWLEDGE</v>
      </c>
      <c r="C14" s="47" t="s">
        <v>441</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RO_Data[2].ACT6[</v>
      </c>
      <c r="HZ14" s="23">
        <f t="shared" si="22"/>
        <v>9</v>
      </c>
      <c r="IA14" s="112" t="s">
        <v>22</v>
      </c>
      <c r="IB14" s="10" t="s">
        <v>355</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RO_Data[2].ACT6[</v>
      </c>
      <c r="HZ15" s="23">
        <f t="shared" si="22"/>
        <v>10</v>
      </c>
      <c r="IA15" s="112" t="s">
        <v>22</v>
      </c>
      <c r="IB15" s="10" t="s">
        <v>229</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230</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231</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33554432</v>
      </c>
      <c r="HY24" s="6" t="str">
        <f t="shared" si="11"/>
        <v>RO_Data[2].ACT6[</v>
      </c>
      <c r="HZ24" s="23">
        <f t="shared" si="22"/>
        <v>19</v>
      </c>
      <c r="IA24" s="112" t="s">
        <v>22</v>
      </c>
      <c r="IB24" s="10" t="s">
        <v>227</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232</v>
      </c>
      <c r="IC25" s="6" t="str">
        <f t="shared" si="12"/>
        <v>RO_Data[2].STEP_DESC[</v>
      </c>
      <c r="ID25" s="23">
        <f t="shared" si="23"/>
        <v>20</v>
      </c>
      <c r="IE25" s="112" t="s">
        <v>22</v>
      </c>
    </row>
    <row r="26" spans="1:239" x14ac:dyDescent="0.25">
      <c r="A26" s="8">
        <v>21</v>
      </c>
      <c r="B26" s="8" t="str">
        <f t="shared" si="0"/>
        <v>CHECK PH - HOLD FOR ACKNOWLEDGE</v>
      </c>
      <c r="C26" s="47" t="s">
        <v>441</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v>1</v>
      </c>
      <c r="HN26" s="19">
        <v>1</v>
      </c>
      <c r="HO26" s="19">
        <v>1</v>
      </c>
      <c r="HP26" s="19"/>
      <c r="HQ26" s="19"/>
      <c r="HR26" s="19"/>
      <c r="HS26" s="19"/>
      <c r="HT26" s="19"/>
      <c r="HU26" s="19"/>
      <c r="HV26" s="19"/>
      <c r="HW26" s="20"/>
      <c r="HX26" s="8" cm="1">
        <f t="array" ref="HX26">Bin2DecRange($GR26:$HW26)</f>
        <v>1792</v>
      </c>
      <c r="HY26" s="6" t="str">
        <f t="shared" si="11"/>
        <v>RO_Data[2].ACT6[</v>
      </c>
      <c r="HZ26" s="23">
        <f t="shared" si="22"/>
        <v>21</v>
      </c>
      <c r="IA26" s="112" t="s">
        <v>22</v>
      </c>
      <c r="IB26" s="10" t="s">
        <v>355</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v>1</v>
      </c>
      <c r="HN27" s="19">
        <v>1</v>
      </c>
      <c r="HO27" s="19">
        <v>1</v>
      </c>
      <c r="HP27" s="19"/>
      <c r="HQ27" s="19"/>
      <c r="HR27" s="19"/>
      <c r="HS27" s="19"/>
      <c r="HT27" s="19"/>
      <c r="HU27" s="19"/>
      <c r="HV27" s="19"/>
      <c r="HW27" s="20"/>
      <c r="HX27" s="8" cm="1">
        <f t="array" ref="HX27">Bin2DecRange($GR27:$HW27)</f>
        <v>1792</v>
      </c>
      <c r="HY27" s="6" t="str">
        <f t="shared" si="11"/>
        <v>RO_Data[2].ACT6[</v>
      </c>
      <c r="HZ27" s="23">
        <f t="shared" si="22"/>
        <v>22</v>
      </c>
      <c r="IA27" s="112" t="s">
        <v>22</v>
      </c>
      <c r="IB27" s="10" t="s">
        <v>233</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230</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231</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7"/>
      <c r="HX36" s="8" cm="1">
        <f t="array" ref="HX36">Bin2DecRange($GR36:$HW36)</f>
        <v>67108864</v>
      </c>
      <c r="HY36" s="6" t="str">
        <f t="shared" si="11"/>
        <v>RO_Data[2].ACT6[</v>
      </c>
      <c r="HZ36" s="23">
        <v>31</v>
      </c>
      <c r="IA36" s="112" t="s">
        <v>22</v>
      </c>
      <c r="IB36" s="8" t="s">
        <v>227</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234</v>
      </c>
      <c r="IC37" s="6" t="str">
        <f t="shared" si="12"/>
        <v>RO_Data[2].STEP_DESC[</v>
      </c>
      <c r="ID37" s="23">
        <v>32</v>
      </c>
      <c r="IE37" s="112" t="s">
        <v>22</v>
      </c>
    </row>
    <row r="38" spans="1:239" x14ac:dyDescent="0.25">
      <c r="A38" s="8">
        <v>33</v>
      </c>
      <c r="B38" s="8" t="str">
        <f t="shared" si="0"/>
        <v>CHECK PH - HOLD FOR ACKNOWLEDGE</v>
      </c>
      <c r="C38" s="47" t="s">
        <v>441</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c r="HK38" s="19"/>
      <c r="HL38" s="19">
        <v>1</v>
      </c>
      <c r="HM38" s="19"/>
      <c r="HN38" s="19"/>
      <c r="HO38" s="19"/>
      <c r="HP38" s="16"/>
      <c r="HQ38" s="16"/>
      <c r="HR38" s="16"/>
      <c r="HS38" s="16"/>
      <c r="HT38" s="16"/>
      <c r="HU38" s="16"/>
      <c r="HV38" s="16"/>
      <c r="HW38" s="17"/>
      <c r="HX38" s="8" cm="1">
        <f t="array" ref="HX38">Bin2DecRange($GR38:$HW38)</f>
        <v>2048</v>
      </c>
      <c r="HY38" s="6" t="str">
        <f t="shared" si="11"/>
        <v>RO_Data[2].ACT6[</v>
      </c>
      <c r="HZ38" s="23">
        <v>33</v>
      </c>
      <c r="IA38" s="112" t="s">
        <v>22</v>
      </c>
      <c r="IB38" s="10" t="s">
        <v>355</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c r="HK39" s="19"/>
      <c r="HL39" s="19">
        <v>1</v>
      </c>
      <c r="HM39" s="19"/>
      <c r="HN39" s="19"/>
      <c r="HO39" s="19"/>
      <c r="HP39" s="16"/>
      <c r="HQ39" s="16"/>
      <c r="HR39" s="16"/>
      <c r="HS39" s="16"/>
      <c r="HT39" s="16"/>
      <c r="HU39" s="16"/>
      <c r="HV39" s="16"/>
      <c r="HW39" s="17"/>
      <c r="HX39" s="8" cm="1">
        <f t="array" ref="HX39">Bin2DecRange($GR39:$HW39)</f>
        <v>2048</v>
      </c>
      <c r="HY39" s="6" t="str">
        <f t="shared" si="11"/>
        <v>RO_Data[2].ACT6[</v>
      </c>
      <c r="HZ39" s="23">
        <v>34</v>
      </c>
      <c r="IA39" s="112" t="s">
        <v>22</v>
      </c>
      <c r="IB39" s="8" t="s">
        <v>235</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230</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231</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7"/>
      <c r="HX48" s="8" cm="1">
        <f t="array" ref="HX48">Bin2DecRange($GR48:$HW48)</f>
        <v>134217728</v>
      </c>
      <c r="HY48" s="6" t="str">
        <f t="shared" si="11"/>
        <v>RO_Data[2].ACT6[</v>
      </c>
      <c r="HZ48" s="23">
        <v>43</v>
      </c>
      <c r="IA48" s="112" t="s">
        <v>22</v>
      </c>
      <c r="IB48" s="8" t="s">
        <v>227</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236</v>
      </c>
      <c r="IC49" s="6" t="str">
        <f t="shared" si="12"/>
        <v>RO_Data[2].STEP_DESC[</v>
      </c>
      <c r="ID49" s="23">
        <v>44</v>
      </c>
      <c r="IE49" s="112" t="s">
        <v>22</v>
      </c>
    </row>
    <row r="50" spans="1:239" x14ac:dyDescent="0.25">
      <c r="A50" s="8">
        <v>45</v>
      </c>
      <c r="B50" s="8" t="str">
        <f t="shared" si="0"/>
        <v>CHECK PH - HOLD FOR ACKNOWLEDGE</v>
      </c>
      <c r="C50" s="47" t="s">
        <v>441</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c r="HK50" s="19"/>
      <c r="HL50" s="19"/>
      <c r="HM50" s="19"/>
      <c r="HN50" s="19">
        <v>1</v>
      </c>
      <c r="HO50" s="19">
        <v>1</v>
      </c>
      <c r="HP50" s="16"/>
      <c r="HQ50" s="16"/>
      <c r="HR50" s="16"/>
      <c r="HS50" s="16"/>
      <c r="HT50" s="16"/>
      <c r="HU50" s="16"/>
      <c r="HV50" s="16"/>
      <c r="HW50" s="17"/>
      <c r="HX50" s="8" cm="1">
        <f t="array" ref="HX50">Bin2DecRange($GR50:$HW50)</f>
        <v>768</v>
      </c>
      <c r="HY50" s="6" t="str">
        <f t="shared" si="11"/>
        <v>RO_Data[2].ACT6[</v>
      </c>
      <c r="HZ50" s="23">
        <v>45</v>
      </c>
      <c r="IA50" s="112" t="s">
        <v>22</v>
      </c>
      <c r="IB50" s="10" t="s">
        <v>355</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c r="HK51" s="19"/>
      <c r="HL51" s="19"/>
      <c r="HM51" s="19"/>
      <c r="HN51" s="19">
        <v>1</v>
      </c>
      <c r="HO51" s="19">
        <v>1</v>
      </c>
      <c r="HP51" s="16"/>
      <c r="HQ51" s="16"/>
      <c r="HR51" s="16"/>
      <c r="HS51" s="16"/>
      <c r="HT51" s="16"/>
      <c r="HU51" s="16"/>
      <c r="HV51" s="16"/>
      <c r="HW51" s="17"/>
      <c r="HX51" s="8" cm="1">
        <f t="array" ref="HX51">Bin2DecRange($GR51:$HW51)</f>
        <v>768</v>
      </c>
      <c r="HY51" s="6" t="str">
        <f t="shared" si="11"/>
        <v>RO_Data[2].ACT6[</v>
      </c>
      <c r="HZ51" s="23">
        <v>46</v>
      </c>
      <c r="IA51" s="112" t="s">
        <v>22</v>
      </c>
      <c r="IB51" s="8" t="s">
        <v>237</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230</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231</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238</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431</v>
      </c>
      <c r="IC61" s="6" t="str">
        <f t="shared" si="12"/>
        <v>RO_Data[2].STEP_DESC[</v>
      </c>
      <c r="ID61" s="23">
        <v>56</v>
      </c>
      <c r="IE61" s="112" t="s">
        <v>22</v>
      </c>
    </row>
    <row r="62" spans="1:239" x14ac:dyDescent="0.25">
      <c r="A62" s="8">
        <v>57</v>
      </c>
      <c r="B62" s="8" t="str">
        <f t="shared" si="0"/>
        <v>RECORD FLUX CHECK  - HOLD FOR ACKNOWLEDGE</v>
      </c>
      <c r="C62" s="8" t="s">
        <v>357</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356</v>
      </c>
      <c r="IC62" s="6" t="str">
        <f t="shared" si="12"/>
        <v>RO_Data[2].STEP_DESC[</v>
      </c>
      <c r="ID62" s="23">
        <v>57</v>
      </c>
      <c r="IE62" s="112" t="s">
        <v>22</v>
      </c>
    </row>
    <row r="63" spans="1:239" x14ac:dyDescent="0.25">
      <c r="A63" s="8">
        <v>58</v>
      </c>
      <c r="B63" s="8" t="str">
        <f t="shared" si="0"/>
        <v>EXTRA WASH ?  YES / NO 40</v>
      </c>
      <c r="C63" s="8" t="s">
        <v>358</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239</v>
      </c>
      <c r="IC63" s="6" t="str">
        <f t="shared" si="12"/>
        <v>RO_Data[2].STEP_DESC[</v>
      </c>
      <c r="ID63" s="23">
        <v>58</v>
      </c>
      <c r="IE63" s="112" t="s">
        <v>22</v>
      </c>
    </row>
    <row r="64" spans="1:239" x14ac:dyDescent="0.25">
      <c r="A64" s="8">
        <v>59</v>
      </c>
      <c r="B64" s="8" t="str">
        <f t="shared" si="0"/>
        <v>PUMP DOWN FEED TANK? YES / NO 62</v>
      </c>
      <c r="C64" s="8" t="s">
        <v>359</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240</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230</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231</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9" priority="2" operator="notEqual">
      <formula>"P"</formula>
    </cfRule>
  </conditionalFormatting>
  <conditionalFormatting sqref="S30:S104">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15" t="s">
        <v>107</v>
      </c>
      <c r="H2" s="178"/>
      <c r="I2" s="155"/>
      <c r="J2" s="188"/>
      <c r="K2" s="115"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70" t="s">
        <v>20</v>
      </c>
      <c r="E3" s="171"/>
      <c r="F3" s="172"/>
      <c r="G3" s="113" t="s">
        <v>15</v>
      </c>
      <c r="H3" s="181" t="s">
        <v>20</v>
      </c>
      <c r="I3" s="171"/>
      <c r="J3" s="172"/>
      <c r="K3" s="118" t="s">
        <v>15</v>
      </c>
      <c r="L3" s="181" t="s">
        <v>20</v>
      </c>
      <c r="M3" s="171"/>
      <c r="N3" s="172"/>
      <c r="O3" s="118"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112"/>
      <c r="D4" s="184"/>
      <c r="E4" s="185"/>
      <c r="F4" s="187"/>
      <c r="G4" s="7"/>
      <c r="H4" s="184"/>
      <c r="I4" s="185"/>
      <c r="J4" s="187"/>
      <c r="K4" s="7"/>
      <c r="L4" s="184"/>
      <c r="M4" s="185"/>
      <c r="N4" s="187"/>
      <c r="O4" s="5"/>
      <c r="P4" s="184"/>
      <c r="Q4" s="185"/>
      <c r="R4" s="187"/>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35" si="0">IF($IB5&lt;&gt;"", $IB5, "")</f>
        <v>HOME</v>
      </c>
      <c r="C5" s="47"/>
      <c r="D5" s="22" t="s">
        <v>371</v>
      </c>
      <c r="E5" s="23">
        <v>0</v>
      </c>
      <c r="F5" s="112" t="s">
        <v>22</v>
      </c>
      <c r="G5" s="129">
        <v>0</v>
      </c>
      <c r="H5" s="22" t="s">
        <v>372</v>
      </c>
      <c r="I5" s="23">
        <v>0</v>
      </c>
      <c r="J5" s="112" t="s">
        <v>22</v>
      </c>
      <c r="K5" s="129">
        <v>0</v>
      </c>
      <c r="L5" s="22" t="s">
        <v>373</v>
      </c>
      <c r="M5" s="23">
        <v>0</v>
      </c>
      <c r="N5" s="112" t="s">
        <v>22</v>
      </c>
      <c r="O5" s="132">
        <v>0</v>
      </c>
      <c r="P5" s="22" t="s">
        <v>374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380</v>
      </c>
      <c r="HZ5" s="23">
        <v>0</v>
      </c>
      <c r="IA5" s="112" t="s">
        <v>22</v>
      </c>
      <c r="IB5" s="10" t="s">
        <v>206</v>
      </c>
      <c r="IC5" s="22" t="s">
        <v>381</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241</v>
      </c>
      <c r="IC13" s="6" t="str">
        <f t="shared" si="12"/>
        <v>RO_Data[3].STEP_DESC[</v>
      </c>
      <c r="ID13" s="23">
        <f t="shared" si="23"/>
        <v>8</v>
      </c>
      <c r="IE13" s="112" t="s">
        <v>22</v>
      </c>
    </row>
    <row r="14" spans="1:239" x14ac:dyDescent="0.25">
      <c r="A14" s="8">
        <v>9</v>
      </c>
      <c r="B14" s="8" t="str">
        <f t="shared" si="0"/>
        <v>CHECK PH - HOLD FOR ACKNOWLEDGE</v>
      </c>
      <c r="C14" s="47" t="s">
        <v>354</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RO_Data[3].ACT6[</v>
      </c>
      <c r="HZ14" s="23">
        <f t="shared" si="22"/>
        <v>9</v>
      </c>
      <c r="IA14" s="112" t="s">
        <v>22</v>
      </c>
      <c r="IB14" s="10" t="s">
        <v>355</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RO_Data[3].ACT6[</v>
      </c>
      <c r="HZ15" s="23">
        <f t="shared" si="22"/>
        <v>10</v>
      </c>
      <c r="IA15" s="112" t="s">
        <v>22</v>
      </c>
      <c r="IB15" s="10" t="s">
        <v>242</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230</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243</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230</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244</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35">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S4" activePane="bottomRight" state="frozen"/>
      <selection activeCell="ED4" sqref="ED4"/>
      <selection pane="topRight" activeCell="ED4" sqref="ED4"/>
      <selection pane="bottomLeft" activeCell="ED4" sqref="ED4"/>
      <selection pane="bottomRight" activeCell="S3" sqref="S3"/>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15" t="s">
        <v>107</v>
      </c>
      <c r="H2" s="178"/>
      <c r="I2" s="155"/>
      <c r="J2" s="188"/>
      <c r="K2" s="115"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70" t="s">
        <v>20</v>
      </c>
      <c r="E3" s="171"/>
      <c r="F3" s="172"/>
      <c r="G3" s="113" t="s">
        <v>15</v>
      </c>
      <c r="H3" s="181" t="s">
        <v>20</v>
      </c>
      <c r="I3" s="171"/>
      <c r="J3" s="172"/>
      <c r="K3" s="118" t="s">
        <v>15</v>
      </c>
      <c r="L3" s="181" t="s">
        <v>20</v>
      </c>
      <c r="M3" s="171"/>
      <c r="N3" s="172"/>
      <c r="O3" s="118"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112"/>
      <c r="D4" s="184"/>
      <c r="E4" s="185"/>
      <c r="F4" s="187"/>
      <c r="G4" s="7"/>
      <c r="H4" s="184"/>
      <c r="I4" s="185"/>
      <c r="J4" s="187"/>
      <c r="K4" s="7"/>
      <c r="L4" s="184"/>
      <c r="M4" s="185"/>
      <c r="N4" s="187"/>
      <c r="O4" s="5"/>
      <c r="P4" s="184"/>
      <c r="Q4" s="185"/>
      <c r="R4" s="187"/>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35" si="0">IF($IB5&lt;&gt;"", $IB5, "")</f>
        <v>HOME</v>
      </c>
      <c r="C5" s="47"/>
      <c r="D5" s="22" t="s">
        <v>382</v>
      </c>
      <c r="E5" s="23">
        <v>0</v>
      </c>
      <c r="F5" s="112" t="s">
        <v>22</v>
      </c>
      <c r="G5" s="129">
        <v>0</v>
      </c>
      <c r="H5" s="22" t="s">
        <v>383</v>
      </c>
      <c r="I5" s="23">
        <v>0</v>
      </c>
      <c r="J5" s="112" t="s">
        <v>22</v>
      </c>
      <c r="K5" s="129">
        <v>0</v>
      </c>
      <c r="L5" s="22" t="s">
        <v>384</v>
      </c>
      <c r="M5" s="23">
        <v>0</v>
      </c>
      <c r="N5" s="112" t="s">
        <v>22</v>
      </c>
      <c r="O5" s="132">
        <v>0</v>
      </c>
      <c r="P5" s="22" t="s">
        <v>385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390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391</v>
      </c>
      <c r="HZ5" s="23">
        <v>0</v>
      </c>
      <c r="IA5" s="112" t="s">
        <v>22</v>
      </c>
      <c r="IB5" s="10" t="s">
        <v>206</v>
      </c>
      <c r="IC5" s="22" t="s">
        <v>392</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227</v>
      </c>
      <c r="IC8" s="6" t="str">
        <f t="shared" si="12"/>
        <v>RO_Data[4].STEP_DESC[</v>
      </c>
      <c r="ID8" s="23">
        <f t="shared" si="23"/>
        <v>3</v>
      </c>
      <c r="IE8" s="112" t="s">
        <v>22</v>
      </c>
    </row>
    <row r="9" spans="1:239" x14ac:dyDescent="0.25">
      <c r="A9" s="8">
        <v>4</v>
      </c>
      <c r="B9" s="8" t="str">
        <f t="shared" si="0"/>
        <v>CHECK PH - HOLD FOR ACKNOWLEDGE</v>
      </c>
      <c r="C9" s="47" t="s">
        <v>354</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RO_Data[4].ACT6[</v>
      </c>
      <c r="HZ9" s="23">
        <f t="shared" si="22"/>
        <v>4</v>
      </c>
      <c r="IA9" s="112" t="s">
        <v>22</v>
      </c>
      <c r="IB9" s="10" t="s">
        <v>355</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RO_Data[4].ACT6[</v>
      </c>
      <c r="HZ10" s="23">
        <f t="shared" si="22"/>
        <v>5</v>
      </c>
      <c r="IA10" s="112" t="s">
        <v>22</v>
      </c>
      <c r="IB10" s="10" t="s">
        <v>245</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246</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230</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231</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230</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243</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FC43A-B7DA-440D-993A-45E5D64216C3}">
  <sheetPr codeName="Sheet10"/>
  <dimension ref="A1:IE35"/>
  <sheetViews>
    <sheetView zoomScale="80" zoomScaleNormal="80" workbookViewId="0">
      <pane xSplit="2" ySplit="3" topLeftCell="T4" activePane="bottomRight" state="frozen"/>
      <selection activeCell="ED4" sqref="ED4"/>
      <selection pane="topRight" activeCell="ED4" sqref="ED4"/>
      <selection pane="bottomLeft" activeCell="ED4" sqref="ED4"/>
      <selection pane="bottomRight" activeCell="T3" sqref="T3:AY3"/>
    </sheetView>
  </sheetViews>
  <sheetFormatPr defaultColWidth="9.140625" defaultRowHeight="15" x14ac:dyDescent="0.25"/>
  <cols>
    <col min="1" max="1" width="6.7109375" style="141" bestFit="1" customWidth="1"/>
    <col min="2" max="2" width="45" style="141" bestFit="1" customWidth="1"/>
    <col min="3" max="3" width="29" style="141" customWidth="1"/>
    <col min="4" max="4" width="22.5703125" style="141" customWidth="1"/>
    <col min="5" max="5" width="4.42578125" style="140" bestFit="1" customWidth="1"/>
    <col min="6" max="6" width="1.85546875" style="141" customWidth="1"/>
    <col min="7" max="7" width="12.42578125" style="141" customWidth="1"/>
    <col min="8" max="8" width="17.140625" style="141" customWidth="1"/>
    <col min="9" max="9" width="4.42578125" style="140" bestFit="1" customWidth="1"/>
    <col min="10" max="10" width="1.7109375" style="141" customWidth="1"/>
    <col min="11" max="11" width="12.42578125" style="141" customWidth="1"/>
    <col min="12" max="12" width="16.42578125" style="141" customWidth="1"/>
    <col min="13" max="13" width="4.42578125" style="140" bestFit="1" customWidth="1"/>
    <col min="14" max="14" width="1.7109375" style="141" customWidth="1"/>
    <col min="15" max="15" width="12.5703125" style="141" customWidth="1"/>
    <col min="16" max="16" width="22.140625" style="141" customWidth="1"/>
    <col min="17" max="17" width="4.42578125" style="140" bestFit="1" customWidth="1"/>
    <col min="18" max="18" width="2" style="141" bestFit="1" customWidth="1"/>
    <col min="19" max="19" width="3.5703125" style="141" customWidth="1"/>
    <col min="20" max="51" width="3" style="140" customWidth="1"/>
    <col min="52" max="52" width="12.7109375" style="141" bestFit="1" customWidth="1"/>
    <col min="53" max="53" width="20.140625" style="141" bestFit="1" customWidth="1"/>
    <col min="54" max="54" width="4.42578125" style="140" bestFit="1" customWidth="1"/>
    <col min="55" max="55" width="1.7109375" style="141" bestFit="1" customWidth="1"/>
    <col min="56" max="87" width="3" style="140" customWidth="1"/>
    <col min="88" max="88" width="11.85546875" style="141" bestFit="1" customWidth="1"/>
    <col min="89" max="89" width="19.7109375" style="141" bestFit="1" customWidth="1"/>
    <col min="90" max="90" width="4.42578125" style="140" bestFit="1" customWidth="1"/>
    <col min="91" max="91" width="1.7109375" style="141" bestFit="1" customWidth="1"/>
    <col min="92" max="123" width="3" style="140" customWidth="1"/>
    <col min="124" max="124" width="11.85546875" style="141" bestFit="1" customWidth="1"/>
    <col min="125" max="125" width="19.7109375" style="141" bestFit="1" customWidth="1"/>
    <col min="126" max="126" width="4.42578125" style="140" bestFit="1" customWidth="1"/>
    <col min="127" max="127" width="1.7109375" style="141" bestFit="1" customWidth="1"/>
    <col min="128" max="142" width="3" style="140" customWidth="1"/>
    <col min="143" max="143" width="3.140625" style="140" bestFit="1" customWidth="1"/>
    <col min="144" max="159" width="3" style="140" customWidth="1"/>
    <col min="160" max="160" width="11.5703125" style="141" bestFit="1" customWidth="1"/>
    <col min="161" max="161" width="17.85546875" style="141" bestFit="1" customWidth="1"/>
    <col min="162" max="162" width="4.42578125" style="140" bestFit="1" customWidth="1"/>
    <col min="163" max="163" width="1.85546875" style="141" bestFit="1" customWidth="1"/>
    <col min="164" max="178" width="3" style="140" customWidth="1"/>
    <col min="179" max="179" width="3.140625" style="140" bestFit="1" customWidth="1"/>
    <col min="180" max="195" width="3" style="140" customWidth="1"/>
    <col min="196" max="196" width="10.7109375" style="141" bestFit="1" customWidth="1"/>
    <col min="197" max="197" width="17.85546875" style="141" bestFit="1" customWidth="1"/>
    <col min="198" max="198" width="4.42578125" style="140" bestFit="1" customWidth="1"/>
    <col min="199" max="199" width="1.85546875" style="141" bestFit="1" customWidth="1"/>
    <col min="200" max="214" width="3" style="140" customWidth="1"/>
    <col min="215" max="215" width="3.140625" style="140" bestFit="1" customWidth="1"/>
    <col min="216" max="231" width="3" style="140" customWidth="1"/>
    <col min="232" max="232" width="10.7109375" style="141" bestFit="1" customWidth="1"/>
    <col min="233" max="233" width="17.85546875" style="141" bestFit="1" customWidth="1"/>
    <col min="234" max="234" width="4.42578125" style="140" bestFit="1" customWidth="1"/>
    <col min="235" max="235" width="1.85546875" style="141" bestFit="1" customWidth="1"/>
    <col min="236" max="236" width="39.42578125" style="141" customWidth="1"/>
    <col min="237" max="237" width="23.140625" style="141" bestFit="1" customWidth="1"/>
    <col min="238" max="238" width="4.42578125" style="140" bestFit="1" customWidth="1"/>
    <col min="239" max="239" width="1.85546875" style="141" bestFit="1" customWidth="1"/>
    <col min="240" max="16384" width="9.140625" style="141"/>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46"/>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44" t="s">
        <v>107</v>
      </c>
      <c r="H2" s="178"/>
      <c r="I2" s="155"/>
      <c r="J2" s="188"/>
      <c r="K2" s="144"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46" t="s">
        <v>19</v>
      </c>
      <c r="B3" s="48"/>
      <c r="C3" s="146" t="s">
        <v>17</v>
      </c>
      <c r="D3" s="170" t="s">
        <v>20</v>
      </c>
      <c r="E3" s="171"/>
      <c r="F3" s="172"/>
      <c r="G3" s="146" t="s">
        <v>15</v>
      </c>
      <c r="H3" s="181" t="s">
        <v>20</v>
      </c>
      <c r="I3" s="171"/>
      <c r="J3" s="172"/>
      <c r="K3" s="146" t="s">
        <v>15</v>
      </c>
      <c r="L3" s="181" t="s">
        <v>20</v>
      </c>
      <c r="M3" s="171"/>
      <c r="N3" s="172"/>
      <c r="O3" s="146"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46"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46"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46"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45"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45"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45" t="s">
        <v>423</v>
      </c>
      <c r="HY3" s="181" t="s">
        <v>20</v>
      </c>
      <c r="HZ3" s="171"/>
      <c r="IA3" s="172"/>
      <c r="IB3" s="146" t="s">
        <v>17</v>
      </c>
      <c r="IC3" s="170" t="s">
        <v>20</v>
      </c>
      <c r="ID3" s="171"/>
      <c r="IE3" s="172"/>
    </row>
    <row r="4" spans="1:239" x14ac:dyDescent="0.25">
      <c r="A4" s="8" t="s">
        <v>21</v>
      </c>
      <c r="B4" s="8" t="s">
        <v>18</v>
      </c>
      <c r="C4" s="143"/>
      <c r="D4" s="184"/>
      <c r="E4" s="185"/>
      <c r="F4" s="187"/>
      <c r="G4" s="7"/>
      <c r="H4" s="184"/>
      <c r="I4" s="185"/>
      <c r="J4" s="187"/>
      <c r="K4" s="7"/>
      <c r="L4" s="184"/>
      <c r="M4" s="185"/>
      <c r="N4" s="187"/>
      <c r="O4" s="5"/>
      <c r="P4" s="184"/>
      <c r="Q4" s="185"/>
      <c r="R4" s="187"/>
      <c r="S4" s="3"/>
      <c r="T4" s="142">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42">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42">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35" si="0">IF($IB5&lt;&gt;"", $IB5, "")</f>
        <v>HOME</v>
      </c>
      <c r="C5" s="47"/>
      <c r="D5" s="22" t="s">
        <v>393</v>
      </c>
      <c r="E5" s="23">
        <v>0</v>
      </c>
      <c r="F5" s="143" t="s">
        <v>22</v>
      </c>
      <c r="G5" s="129">
        <v>0</v>
      </c>
      <c r="H5" s="22" t="s">
        <v>394</v>
      </c>
      <c r="I5" s="23">
        <v>0</v>
      </c>
      <c r="J5" s="143" t="s">
        <v>22</v>
      </c>
      <c r="K5" s="129">
        <v>0</v>
      </c>
      <c r="L5" s="22" t="s">
        <v>395</v>
      </c>
      <c r="M5" s="23">
        <v>0</v>
      </c>
      <c r="N5" s="143" t="s">
        <v>22</v>
      </c>
      <c r="O5" s="132">
        <v>0</v>
      </c>
      <c r="P5" s="22" t="s">
        <v>396</v>
      </c>
      <c r="Q5" s="23">
        <v>0</v>
      </c>
      <c r="R5" s="143"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397</v>
      </c>
      <c r="BB5" s="23">
        <v>0</v>
      </c>
      <c r="BC5" s="143"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398</v>
      </c>
      <c r="CL5" s="23">
        <v>0</v>
      </c>
      <c r="CM5" s="143"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399</v>
      </c>
      <c r="DV5" s="23">
        <v>0</v>
      </c>
      <c r="DW5" s="143"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400</v>
      </c>
      <c r="FF5" s="23">
        <v>0</v>
      </c>
      <c r="FG5" s="143"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401</v>
      </c>
      <c r="GP5" s="23">
        <v>0</v>
      </c>
      <c r="GQ5" s="143"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402</v>
      </c>
      <c r="HZ5" s="23">
        <v>0</v>
      </c>
      <c r="IA5" s="143" t="s">
        <v>22</v>
      </c>
      <c r="IB5" s="10" t="s">
        <v>206</v>
      </c>
      <c r="IC5" s="22" t="s">
        <v>403</v>
      </c>
      <c r="ID5" s="23">
        <v>0</v>
      </c>
      <c r="IE5" s="143" t="s">
        <v>22</v>
      </c>
    </row>
    <row r="6" spans="1:239" x14ac:dyDescent="0.25">
      <c r="A6" s="8">
        <v>1</v>
      </c>
      <c r="B6" s="8" t="str">
        <f t="shared" si="0"/>
        <v>FILLING FEED TANK TO SET POINT LEVEL</v>
      </c>
      <c r="C6" s="47"/>
      <c r="D6" s="6" t="str">
        <f t="shared" ref="D6:D35" si="1">D$5</f>
        <v>RO_Data[5].ACK_DESC[</v>
      </c>
      <c r="E6" s="23">
        <f>E5+1</f>
        <v>1</v>
      </c>
      <c r="F6" s="143" t="s">
        <v>22</v>
      </c>
      <c r="G6" s="129">
        <v>0</v>
      </c>
      <c r="H6" s="6" t="str">
        <f t="shared" ref="H6:H35" si="2">H$5</f>
        <v>RO_Data[5].MIN[</v>
      </c>
      <c r="I6" s="23">
        <f>I5+1</f>
        <v>1</v>
      </c>
      <c r="J6" s="143" t="s">
        <v>22</v>
      </c>
      <c r="K6" s="129">
        <v>1</v>
      </c>
      <c r="L6" s="6" t="str">
        <f t="shared" ref="L6:L35" si="3">L$5</f>
        <v>RO_Data[5].SEC[</v>
      </c>
      <c r="M6" s="23">
        <f>M5+1</f>
        <v>1</v>
      </c>
      <c r="N6" s="143" t="s">
        <v>22</v>
      </c>
      <c r="O6" s="132">
        <v>0</v>
      </c>
      <c r="P6" s="6" t="str">
        <f t="shared" ref="P6:P35" si="4">P$5</f>
        <v>RO_Data[5].SETPOINT[</v>
      </c>
      <c r="Q6" s="23">
        <f>Q5+1</f>
        <v>1</v>
      </c>
      <c r="R6" s="143"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RO_Data[5].COND1[</v>
      </c>
      <c r="BB6" s="23">
        <f>BB5+1</f>
        <v>1</v>
      </c>
      <c r="BC6" s="143"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RO_Data[5].COND2[</v>
      </c>
      <c r="CL6" s="23">
        <f>CL5+1</f>
        <v>1</v>
      </c>
      <c r="CM6" s="143"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RO_Data[5].COND3[</v>
      </c>
      <c r="DV6" s="23">
        <f>DV5+1</f>
        <v>1</v>
      </c>
      <c r="DW6" s="143"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RO_Data[5].ACT1[</v>
      </c>
      <c r="FF6" s="23">
        <f>FF5+1</f>
        <v>1</v>
      </c>
      <c r="FG6" s="143"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RO_Data[5].ACT5[</v>
      </c>
      <c r="GP6" s="23">
        <f>GP5+1</f>
        <v>1</v>
      </c>
      <c r="GQ6" s="143"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RO_Data[5].ACT6[</v>
      </c>
      <c r="HZ6" s="23">
        <f>HZ5+1</f>
        <v>1</v>
      </c>
      <c r="IA6" s="143" t="s">
        <v>22</v>
      </c>
      <c r="IB6" s="10" t="s">
        <v>224</v>
      </c>
      <c r="IC6" s="6" t="str">
        <f t="shared" ref="IC6:IC35" si="12">IC$5</f>
        <v>RO_Data[5].STEP_DESC[</v>
      </c>
      <c r="ID6" s="23">
        <f>ID5+1</f>
        <v>1</v>
      </c>
      <c r="IE6" s="143" t="s">
        <v>22</v>
      </c>
    </row>
    <row r="7" spans="1:239" x14ac:dyDescent="0.25">
      <c r="A7" s="8">
        <v>2</v>
      </c>
      <c r="B7" s="8" t="str">
        <f t="shared" si="0"/>
        <v>STARTING PUMPS</v>
      </c>
      <c r="C7" s="47"/>
      <c r="D7" s="6" t="str">
        <f t="shared" si="1"/>
        <v>RO_Data[5].ACK_DESC[</v>
      </c>
      <c r="E7" s="23">
        <f t="shared" ref="E7:E29" si="13">E6+1</f>
        <v>2</v>
      </c>
      <c r="F7" s="143" t="s">
        <v>22</v>
      </c>
      <c r="G7" s="129">
        <v>0</v>
      </c>
      <c r="H7" s="6" t="str">
        <f t="shared" si="2"/>
        <v>RO_Data[5].MIN[</v>
      </c>
      <c r="I7" s="23">
        <f t="shared" ref="I7:I29" si="14">I6+1</f>
        <v>2</v>
      </c>
      <c r="J7" s="143" t="s">
        <v>22</v>
      </c>
      <c r="K7" s="129">
        <v>30</v>
      </c>
      <c r="L7" s="6" t="str">
        <f t="shared" si="3"/>
        <v>RO_Data[5].SEC[</v>
      </c>
      <c r="M7" s="23">
        <f t="shared" ref="M7:M29" si="15">M6+1</f>
        <v>2</v>
      </c>
      <c r="N7" s="143" t="s">
        <v>22</v>
      </c>
      <c r="O7" s="132">
        <v>0</v>
      </c>
      <c r="P7" s="6" t="str">
        <f t="shared" si="4"/>
        <v>RO_Data[5].SETPOINT[</v>
      </c>
      <c r="Q7" s="23">
        <f t="shared" ref="Q7:Q29" si="16">Q6+1</f>
        <v>2</v>
      </c>
      <c r="R7" s="143"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RO_Data[5].COND1[</v>
      </c>
      <c r="BB7" s="23">
        <f t="shared" ref="BB7:BB29" si="17">BB6+1</f>
        <v>2</v>
      </c>
      <c r="BC7" s="143"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RO_Data[5].COND2[</v>
      </c>
      <c r="CL7" s="23">
        <f t="shared" ref="CL7:CL29" si="18">CL6+1</f>
        <v>2</v>
      </c>
      <c r="CM7" s="143"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9" si="19">DV6+1</f>
        <v>2</v>
      </c>
      <c r="DW7" s="143"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RO_Data[5].ACT1[</v>
      </c>
      <c r="FF7" s="23">
        <f t="shared" ref="FF7:FF29" si="20">FF6+1</f>
        <v>2</v>
      </c>
      <c r="FG7" s="143"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9" si="21">GP6+1</f>
        <v>2</v>
      </c>
      <c r="GQ7" s="143"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9" si="22">HZ6+1</f>
        <v>2</v>
      </c>
      <c r="IA7" s="143" t="s">
        <v>22</v>
      </c>
      <c r="IB7" s="10" t="s">
        <v>225</v>
      </c>
      <c r="IC7" s="6" t="str">
        <f t="shared" si="12"/>
        <v>RO_Data[5].STEP_DESC[</v>
      </c>
      <c r="ID7" s="23">
        <f t="shared" ref="ID7:ID29" si="23">ID6+1</f>
        <v>2</v>
      </c>
      <c r="IE7" s="143" t="s">
        <v>22</v>
      </c>
    </row>
    <row r="8" spans="1:239" x14ac:dyDescent="0.25">
      <c r="A8" s="8">
        <v>3</v>
      </c>
      <c r="B8" s="8" t="str">
        <f t="shared" si="0"/>
        <v>ADDING CHEMICALS</v>
      </c>
      <c r="C8" s="47"/>
      <c r="D8" s="6" t="str">
        <f t="shared" si="1"/>
        <v>RO_Data[5].ACK_DESC[</v>
      </c>
      <c r="E8" s="23">
        <f t="shared" si="13"/>
        <v>3</v>
      </c>
      <c r="F8" s="143" t="s">
        <v>22</v>
      </c>
      <c r="G8" s="129">
        <v>0</v>
      </c>
      <c r="H8" s="6" t="str">
        <f t="shared" si="2"/>
        <v>RO_Data[5].MIN[</v>
      </c>
      <c r="I8" s="23">
        <f t="shared" si="14"/>
        <v>3</v>
      </c>
      <c r="J8" s="143" t="s">
        <v>22</v>
      </c>
      <c r="K8" s="129">
        <v>1</v>
      </c>
      <c r="L8" s="6" t="str">
        <f t="shared" si="3"/>
        <v>RO_Data[5].SEC[</v>
      </c>
      <c r="M8" s="23">
        <f t="shared" si="15"/>
        <v>3</v>
      </c>
      <c r="N8" s="143" t="s">
        <v>22</v>
      </c>
      <c r="O8" s="132">
        <v>0</v>
      </c>
      <c r="P8" s="6" t="str">
        <f t="shared" si="4"/>
        <v>RO_Data[5].SETPOINT[</v>
      </c>
      <c r="Q8" s="23">
        <f t="shared" si="16"/>
        <v>3</v>
      </c>
      <c r="R8" s="143"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RO_Data[5].COND1[</v>
      </c>
      <c r="BB8" s="23">
        <f t="shared" si="17"/>
        <v>3</v>
      </c>
      <c r="BC8" s="143"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RO_Data[5].COND2[</v>
      </c>
      <c r="CL8" s="23">
        <f t="shared" si="18"/>
        <v>3</v>
      </c>
      <c r="CM8" s="143"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RO_Data[5].COND3[</v>
      </c>
      <c r="DV8" s="23">
        <f t="shared" si="19"/>
        <v>3</v>
      </c>
      <c r="DW8" s="143"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RO_Data[5].ACT1[</v>
      </c>
      <c r="FF8" s="23">
        <f t="shared" si="20"/>
        <v>3</v>
      </c>
      <c r="FG8" s="143"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43" t="s">
        <v>22</v>
      </c>
      <c r="GR8" s="21"/>
      <c r="GS8" s="19">
        <v>1</v>
      </c>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1073741824</v>
      </c>
      <c r="HY8" s="6" t="str">
        <f t="shared" si="11"/>
        <v>RO_Data[5].ACT6[</v>
      </c>
      <c r="HZ8" s="23">
        <f t="shared" si="22"/>
        <v>3</v>
      </c>
      <c r="IA8" s="143" t="s">
        <v>22</v>
      </c>
      <c r="IB8" s="10" t="s">
        <v>227</v>
      </c>
      <c r="IC8" s="6" t="str">
        <f t="shared" si="12"/>
        <v>RO_Data[5].STEP_DESC[</v>
      </c>
      <c r="ID8" s="23">
        <f t="shared" si="23"/>
        <v>3</v>
      </c>
      <c r="IE8" s="143" t="s">
        <v>22</v>
      </c>
    </row>
    <row r="9" spans="1:239" x14ac:dyDescent="0.25">
      <c r="A9" s="8">
        <v>4</v>
      </c>
      <c r="B9" s="8" t="str">
        <f t="shared" si="0"/>
        <v>CHECK PH - HOLD FOR ACKNOWLEDGE</v>
      </c>
      <c r="C9" s="47" t="s">
        <v>354</v>
      </c>
      <c r="D9" s="6" t="str">
        <f t="shared" si="1"/>
        <v>RO_Data[5].ACK_DESC[</v>
      </c>
      <c r="E9" s="23">
        <f t="shared" si="13"/>
        <v>4</v>
      </c>
      <c r="F9" s="143" t="s">
        <v>22</v>
      </c>
      <c r="G9" s="129">
        <v>0</v>
      </c>
      <c r="H9" s="6" t="str">
        <f t="shared" si="2"/>
        <v>RO_Data[5].MIN[</v>
      </c>
      <c r="I9" s="23">
        <f t="shared" si="14"/>
        <v>4</v>
      </c>
      <c r="J9" s="143" t="s">
        <v>22</v>
      </c>
      <c r="K9" s="129">
        <v>1</v>
      </c>
      <c r="L9" s="6" t="str">
        <f t="shared" si="3"/>
        <v>RO_Data[5].SEC[</v>
      </c>
      <c r="M9" s="23">
        <f t="shared" si="15"/>
        <v>4</v>
      </c>
      <c r="N9" s="143" t="s">
        <v>22</v>
      </c>
      <c r="O9" s="132">
        <v>0</v>
      </c>
      <c r="P9" s="6" t="str">
        <f t="shared" si="4"/>
        <v>RO_Data[5].SETPOINT[</v>
      </c>
      <c r="Q9" s="23">
        <f t="shared" si="16"/>
        <v>4</v>
      </c>
      <c r="R9" s="143"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RO_Data[5].COND1[</v>
      </c>
      <c r="BB9" s="23">
        <f t="shared" si="17"/>
        <v>4</v>
      </c>
      <c r="BC9" s="143"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RO_Data[5].COND2[</v>
      </c>
      <c r="CL9" s="23">
        <f t="shared" si="18"/>
        <v>4</v>
      </c>
      <c r="CM9" s="143"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RO_Data[5].COND3[</v>
      </c>
      <c r="DV9" s="23">
        <f t="shared" si="19"/>
        <v>4</v>
      </c>
      <c r="DW9" s="143"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RO_Data[5].ACT1[</v>
      </c>
      <c r="FF9" s="23">
        <f t="shared" si="20"/>
        <v>4</v>
      </c>
      <c r="FG9" s="143"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43" t="s">
        <v>22</v>
      </c>
      <c r="GR9" s="21"/>
      <c r="GS9" s="19"/>
      <c r="GT9" s="19"/>
      <c r="GU9" s="19"/>
      <c r="GV9" s="19"/>
      <c r="GW9" s="19"/>
      <c r="GX9" s="19"/>
      <c r="GY9" s="19"/>
      <c r="GZ9" s="19"/>
      <c r="HA9" s="19"/>
      <c r="HB9" s="19"/>
      <c r="HC9" s="19"/>
      <c r="HD9" s="19"/>
      <c r="HE9" s="19"/>
      <c r="HF9" s="19"/>
      <c r="HG9" s="19"/>
      <c r="HH9" s="19"/>
      <c r="HI9" s="19"/>
      <c r="HJ9" s="19"/>
      <c r="HK9" s="19"/>
      <c r="HL9" s="19"/>
      <c r="HM9" s="19">
        <v>1</v>
      </c>
      <c r="HN9" s="19"/>
      <c r="HO9" s="19">
        <v>1</v>
      </c>
      <c r="HP9" s="19"/>
      <c r="HQ9" s="19"/>
      <c r="HR9" s="19"/>
      <c r="HS9" s="19"/>
      <c r="HT9" s="19"/>
      <c r="HU9" s="19"/>
      <c r="HV9" s="19"/>
      <c r="HW9" s="20"/>
      <c r="HX9" s="8" cm="1">
        <f t="array" ref="HX9">Bin2DecRange($GR9:$HW9)</f>
        <v>1280</v>
      </c>
      <c r="HY9" s="6" t="str">
        <f t="shared" si="11"/>
        <v>RO_Data[5].ACT6[</v>
      </c>
      <c r="HZ9" s="23">
        <f t="shared" si="22"/>
        <v>4</v>
      </c>
      <c r="IA9" s="143" t="s">
        <v>22</v>
      </c>
      <c r="IB9" s="10" t="s">
        <v>355</v>
      </c>
      <c r="IC9" s="6" t="str">
        <f t="shared" si="12"/>
        <v>RO_Data[5].STEP_DESC[</v>
      </c>
      <c r="ID9" s="23">
        <f t="shared" si="23"/>
        <v>4</v>
      </c>
      <c r="IE9" s="143" t="s">
        <v>22</v>
      </c>
    </row>
    <row r="10" spans="1:239" x14ac:dyDescent="0.25">
      <c r="A10" s="8">
        <v>5</v>
      </c>
      <c r="B10" s="8" t="str">
        <f t="shared" si="0"/>
        <v>RECIRCULATE SOAK CHEMICALS</v>
      </c>
      <c r="C10" s="47"/>
      <c r="D10" s="6" t="str">
        <f t="shared" si="1"/>
        <v>RO_Data[5].ACK_DESC[</v>
      </c>
      <c r="E10" s="23">
        <f t="shared" si="13"/>
        <v>5</v>
      </c>
      <c r="F10" s="143" t="s">
        <v>22</v>
      </c>
      <c r="G10" s="129">
        <v>0</v>
      </c>
      <c r="H10" s="6" t="str">
        <f t="shared" si="2"/>
        <v>RO_Data[5].MIN[</v>
      </c>
      <c r="I10" s="23">
        <f t="shared" si="14"/>
        <v>5</v>
      </c>
      <c r="J10" s="143" t="s">
        <v>22</v>
      </c>
      <c r="K10" s="129">
        <v>1</v>
      </c>
      <c r="L10" s="6" t="str">
        <f t="shared" si="3"/>
        <v>RO_Data[5].SEC[</v>
      </c>
      <c r="M10" s="23">
        <f t="shared" si="15"/>
        <v>5</v>
      </c>
      <c r="N10" s="143" t="s">
        <v>22</v>
      </c>
      <c r="O10" s="132">
        <v>0</v>
      </c>
      <c r="P10" s="6" t="str">
        <f t="shared" si="4"/>
        <v>RO_Data[5].SETPOINT[</v>
      </c>
      <c r="Q10" s="23">
        <f t="shared" si="16"/>
        <v>5</v>
      </c>
      <c r="R10" s="143"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43"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RO_Data[5].COND2[</v>
      </c>
      <c r="CL10" s="23">
        <f t="shared" si="18"/>
        <v>5</v>
      </c>
      <c r="CM10" s="143"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43"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RO_Data[5].ACT1[</v>
      </c>
      <c r="FF10" s="23">
        <f t="shared" si="20"/>
        <v>5</v>
      </c>
      <c r="FG10" s="143"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RO_Data[5].ACT5[</v>
      </c>
      <c r="GP10" s="23">
        <f t="shared" si="21"/>
        <v>5</v>
      </c>
      <c r="GQ10" s="143" t="s">
        <v>22</v>
      </c>
      <c r="GR10" s="21"/>
      <c r="GS10" s="19"/>
      <c r="GT10" s="19"/>
      <c r="GU10" s="19"/>
      <c r="GV10" s="19"/>
      <c r="GW10" s="19"/>
      <c r="GX10" s="19"/>
      <c r="GY10" s="19"/>
      <c r="GZ10" s="19"/>
      <c r="HA10" s="19"/>
      <c r="HB10" s="19"/>
      <c r="HC10" s="19"/>
      <c r="HD10" s="19"/>
      <c r="HE10" s="19"/>
      <c r="HF10" s="19"/>
      <c r="HG10" s="19"/>
      <c r="HH10" s="19"/>
      <c r="HI10" s="19"/>
      <c r="HJ10" s="19"/>
      <c r="HK10" s="19"/>
      <c r="HL10" s="19"/>
      <c r="HM10" s="19">
        <v>1</v>
      </c>
      <c r="HN10" s="19"/>
      <c r="HO10" s="19">
        <v>1</v>
      </c>
      <c r="HP10" s="19"/>
      <c r="HQ10" s="19"/>
      <c r="HR10" s="19"/>
      <c r="HS10" s="19"/>
      <c r="HT10" s="19"/>
      <c r="HU10" s="19"/>
      <c r="HV10" s="19"/>
      <c r="HW10" s="20"/>
      <c r="HX10" s="8" cm="1">
        <f t="array" ref="HX10">Bin2DecRange($GR10:$HW10)</f>
        <v>1280</v>
      </c>
      <c r="HY10" s="6" t="str">
        <f t="shared" si="11"/>
        <v>RO_Data[5].ACT6[</v>
      </c>
      <c r="HZ10" s="23">
        <f t="shared" si="22"/>
        <v>5</v>
      </c>
      <c r="IA10" s="143" t="s">
        <v>22</v>
      </c>
      <c r="IB10" s="10" t="s">
        <v>245</v>
      </c>
      <c r="IC10" s="6" t="str">
        <f t="shared" si="12"/>
        <v>RO_Data[5].STEP_DESC[</v>
      </c>
      <c r="ID10" s="23">
        <f t="shared" si="23"/>
        <v>5</v>
      </c>
      <c r="IE10" s="143" t="s">
        <v>22</v>
      </c>
    </row>
    <row r="11" spans="1:239" x14ac:dyDescent="0.25">
      <c r="A11" s="8">
        <v>6</v>
      </c>
      <c r="B11" s="8" t="str">
        <f t="shared" si="0"/>
        <v>PAUSE</v>
      </c>
      <c r="C11" s="47"/>
      <c r="D11" s="6" t="str">
        <f t="shared" si="1"/>
        <v>RO_Data[5].ACK_DESC[</v>
      </c>
      <c r="E11" s="23">
        <f t="shared" si="13"/>
        <v>6</v>
      </c>
      <c r="F11" s="143" t="s">
        <v>22</v>
      </c>
      <c r="G11" s="129">
        <v>0</v>
      </c>
      <c r="H11" s="6" t="str">
        <f t="shared" si="2"/>
        <v>RO_Data[5].MIN[</v>
      </c>
      <c r="I11" s="23">
        <f t="shared" si="14"/>
        <v>6</v>
      </c>
      <c r="J11" s="143" t="s">
        <v>22</v>
      </c>
      <c r="K11" s="129">
        <v>10</v>
      </c>
      <c r="L11" s="6" t="str">
        <f t="shared" si="3"/>
        <v>RO_Data[5].SEC[</v>
      </c>
      <c r="M11" s="23">
        <f t="shared" si="15"/>
        <v>6</v>
      </c>
      <c r="N11" s="143" t="s">
        <v>22</v>
      </c>
      <c r="O11" s="132">
        <v>0</v>
      </c>
      <c r="P11" s="6" t="str">
        <f t="shared" si="4"/>
        <v>RO_Data[5].SETPOINT[</v>
      </c>
      <c r="Q11" s="23">
        <f t="shared" si="16"/>
        <v>6</v>
      </c>
      <c r="R11" s="143"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RO_Data[5].COND1[</v>
      </c>
      <c r="BB11" s="23">
        <f t="shared" si="17"/>
        <v>6</v>
      </c>
      <c r="BC11" s="143"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43"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43"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RO_Data[5].ACT1[</v>
      </c>
      <c r="FF11" s="23">
        <f t="shared" si="20"/>
        <v>6</v>
      </c>
      <c r="FG11" s="143"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43"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43" t="s">
        <v>22</v>
      </c>
      <c r="IB11" s="10" t="s">
        <v>222</v>
      </c>
      <c r="IC11" s="6" t="str">
        <f t="shared" si="12"/>
        <v>RO_Data[5].STEP_DESC[</v>
      </c>
      <c r="ID11" s="23">
        <f t="shared" si="23"/>
        <v>6</v>
      </c>
      <c r="IE11" s="143" t="s">
        <v>22</v>
      </c>
    </row>
    <row r="12" spans="1:239" x14ac:dyDescent="0.25">
      <c r="A12" s="8">
        <v>7</v>
      </c>
      <c r="B12" s="8" t="str">
        <f t="shared" si="0"/>
        <v>SOAKING</v>
      </c>
      <c r="C12" s="47"/>
      <c r="D12" s="6" t="str">
        <f t="shared" si="1"/>
        <v>RO_Data[5].ACK_DESC[</v>
      </c>
      <c r="E12" s="23">
        <f t="shared" si="13"/>
        <v>7</v>
      </c>
      <c r="F12" s="143" t="s">
        <v>22</v>
      </c>
      <c r="G12" s="129">
        <v>0</v>
      </c>
      <c r="H12" s="6" t="str">
        <f t="shared" si="2"/>
        <v>RO_Data[5].MIN[</v>
      </c>
      <c r="I12" s="23">
        <f t="shared" si="14"/>
        <v>7</v>
      </c>
      <c r="J12" s="143" t="s">
        <v>22</v>
      </c>
      <c r="K12" s="129">
        <v>1</v>
      </c>
      <c r="L12" s="6" t="str">
        <f t="shared" si="3"/>
        <v>RO_Data[5].SEC[</v>
      </c>
      <c r="M12" s="23">
        <f t="shared" si="15"/>
        <v>7</v>
      </c>
      <c r="N12" s="143" t="s">
        <v>22</v>
      </c>
      <c r="O12" s="132">
        <v>0</v>
      </c>
      <c r="P12" s="6" t="str">
        <f t="shared" si="4"/>
        <v>RO_Data[5].SETPOINT[</v>
      </c>
      <c r="Q12" s="23">
        <f t="shared" si="16"/>
        <v>7</v>
      </c>
      <c r="R12" s="143"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RO_Data[5].COND1[</v>
      </c>
      <c r="BB12" s="23">
        <f t="shared" si="17"/>
        <v>7</v>
      </c>
      <c r="BC12" s="143"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43"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43"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RO_Data[5].ACT1[</v>
      </c>
      <c r="FF12" s="23">
        <f t="shared" si="20"/>
        <v>7</v>
      </c>
      <c r="FG12" s="143"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43"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43" t="s">
        <v>22</v>
      </c>
      <c r="IB12" s="10" t="s">
        <v>246</v>
      </c>
      <c r="IC12" s="6" t="str">
        <f t="shared" si="12"/>
        <v>RO_Data[5].STEP_DESC[</v>
      </c>
      <c r="ID12" s="23">
        <f t="shared" si="23"/>
        <v>7</v>
      </c>
      <c r="IE12" s="143" t="s">
        <v>22</v>
      </c>
    </row>
    <row r="13" spans="1:239" x14ac:dyDescent="0.25">
      <c r="A13" s="8">
        <v>8</v>
      </c>
      <c r="B13" s="8" t="str">
        <f t="shared" si="0"/>
        <v>PUMPING DOWN FEED TANK</v>
      </c>
      <c r="C13" s="47"/>
      <c r="D13" s="6" t="str">
        <f t="shared" si="1"/>
        <v>RO_Data[5].ACK_DESC[</v>
      </c>
      <c r="E13" s="23">
        <f t="shared" si="13"/>
        <v>8</v>
      </c>
      <c r="F13" s="143" t="s">
        <v>22</v>
      </c>
      <c r="G13" s="129">
        <v>0</v>
      </c>
      <c r="H13" s="6" t="str">
        <f t="shared" si="2"/>
        <v>RO_Data[5].MIN[</v>
      </c>
      <c r="I13" s="23">
        <f t="shared" si="14"/>
        <v>8</v>
      </c>
      <c r="J13" s="143" t="s">
        <v>22</v>
      </c>
      <c r="K13" s="129">
        <v>1</v>
      </c>
      <c r="L13" s="6" t="str">
        <f t="shared" si="3"/>
        <v>RO_Data[5].SEC[</v>
      </c>
      <c r="M13" s="23">
        <f t="shared" si="15"/>
        <v>8</v>
      </c>
      <c r="N13" s="143" t="s">
        <v>22</v>
      </c>
      <c r="O13" s="132">
        <v>0</v>
      </c>
      <c r="P13" s="6" t="str">
        <f t="shared" si="4"/>
        <v>RO_Data[5].SETPOINT[</v>
      </c>
      <c r="Q13" s="23">
        <f t="shared" si="16"/>
        <v>8</v>
      </c>
      <c r="R13" s="143"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RO_Data[5].COND1[</v>
      </c>
      <c r="BB13" s="23">
        <f t="shared" si="17"/>
        <v>8</v>
      </c>
      <c r="BC13" s="143"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RO_Data[5].COND2[</v>
      </c>
      <c r="CL13" s="23">
        <f t="shared" si="18"/>
        <v>8</v>
      </c>
      <c r="CM13" s="143"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RO_Data[5].COND3[</v>
      </c>
      <c r="DV13" s="23">
        <f t="shared" si="19"/>
        <v>8</v>
      </c>
      <c r="DW13" s="143"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RO_Data[5].ACT1[</v>
      </c>
      <c r="FF13" s="23">
        <f t="shared" si="20"/>
        <v>8</v>
      </c>
      <c r="FG13" s="143"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RO_Data[5].ACT5[</v>
      </c>
      <c r="GP13" s="23">
        <f t="shared" si="21"/>
        <v>8</v>
      </c>
      <c r="GQ13" s="143"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43" t="s">
        <v>22</v>
      </c>
      <c r="IB13" s="10" t="s">
        <v>230</v>
      </c>
      <c r="IC13" s="6" t="str">
        <f t="shared" si="12"/>
        <v>RO_Data[5].STEP_DESC[</v>
      </c>
      <c r="ID13" s="23">
        <f t="shared" si="23"/>
        <v>8</v>
      </c>
      <c r="IE13" s="143" t="s">
        <v>22</v>
      </c>
    </row>
    <row r="14" spans="1:239" x14ac:dyDescent="0.25">
      <c r="A14" s="8">
        <v>9</v>
      </c>
      <c r="B14" s="8" t="str">
        <f t="shared" si="0"/>
        <v>DRAINING FEED TANK</v>
      </c>
      <c r="C14" s="47"/>
      <c r="D14" s="6" t="str">
        <f t="shared" si="1"/>
        <v>RO_Data[5].ACK_DESC[</v>
      </c>
      <c r="E14" s="23">
        <f t="shared" si="13"/>
        <v>9</v>
      </c>
      <c r="F14" s="143" t="s">
        <v>22</v>
      </c>
      <c r="G14" s="129">
        <v>0</v>
      </c>
      <c r="H14" s="6" t="str">
        <f t="shared" si="2"/>
        <v>RO_Data[5].MIN[</v>
      </c>
      <c r="I14" s="23">
        <f t="shared" si="14"/>
        <v>9</v>
      </c>
      <c r="J14" s="143" t="s">
        <v>22</v>
      </c>
      <c r="K14" s="129">
        <v>1</v>
      </c>
      <c r="L14" s="6" t="str">
        <f t="shared" si="3"/>
        <v>RO_Data[5].SEC[</v>
      </c>
      <c r="M14" s="23">
        <f t="shared" si="15"/>
        <v>9</v>
      </c>
      <c r="N14" s="143" t="s">
        <v>22</v>
      </c>
      <c r="O14" s="132">
        <v>0</v>
      </c>
      <c r="P14" s="6" t="str">
        <f t="shared" si="4"/>
        <v>RO_Data[5].SETPOINT[</v>
      </c>
      <c r="Q14" s="23">
        <f t="shared" si="16"/>
        <v>9</v>
      </c>
      <c r="R14" s="143"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RO_Data[5].COND1[</v>
      </c>
      <c r="BB14" s="23">
        <f t="shared" si="17"/>
        <v>9</v>
      </c>
      <c r="BC14" s="143"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RO_Data[5].COND2[</v>
      </c>
      <c r="CL14" s="23">
        <f t="shared" si="18"/>
        <v>9</v>
      </c>
      <c r="CM14" s="143"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43"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RO_Data[5].ACT1[</v>
      </c>
      <c r="FF14" s="23">
        <f t="shared" si="20"/>
        <v>9</v>
      </c>
      <c r="FG14" s="143"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43"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43" t="s">
        <v>22</v>
      </c>
      <c r="IB14" s="10" t="s">
        <v>231</v>
      </c>
      <c r="IC14" s="6" t="str">
        <f t="shared" si="12"/>
        <v>RO_Data[5].STEP_DESC[</v>
      </c>
      <c r="ID14" s="23">
        <f t="shared" si="23"/>
        <v>9</v>
      </c>
      <c r="IE14" s="143" t="s">
        <v>22</v>
      </c>
    </row>
    <row r="15" spans="1:239" x14ac:dyDescent="0.25">
      <c r="A15" s="8">
        <v>10</v>
      </c>
      <c r="B15" s="8" t="str">
        <f t="shared" si="0"/>
        <v>FILLING FEED TANK TO SET POINT LEVEL</v>
      </c>
      <c r="C15" s="47"/>
      <c r="D15" s="6" t="str">
        <f t="shared" si="1"/>
        <v>RO_Data[5].ACK_DESC[</v>
      </c>
      <c r="E15" s="23">
        <f t="shared" si="13"/>
        <v>10</v>
      </c>
      <c r="F15" s="143" t="s">
        <v>22</v>
      </c>
      <c r="G15" s="129">
        <v>0</v>
      </c>
      <c r="H15" s="6" t="str">
        <f t="shared" si="2"/>
        <v>RO_Data[5].MIN[</v>
      </c>
      <c r="I15" s="23">
        <f t="shared" si="14"/>
        <v>10</v>
      </c>
      <c r="J15" s="143" t="s">
        <v>22</v>
      </c>
      <c r="K15" s="129">
        <v>1</v>
      </c>
      <c r="L15" s="6" t="str">
        <f t="shared" si="3"/>
        <v>RO_Data[5].SEC[</v>
      </c>
      <c r="M15" s="23">
        <f t="shared" si="15"/>
        <v>10</v>
      </c>
      <c r="N15" s="143" t="s">
        <v>22</v>
      </c>
      <c r="O15" s="132">
        <v>0</v>
      </c>
      <c r="P15" s="6" t="str">
        <f t="shared" si="4"/>
        <v>RO_Data[5].SETPOINT[</v>
      </c>
      <c r="Q15" s="23">
        <f t="shared" si="16"/>
        <v>10</v>
      </c>
      <c r="R15" s="143"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RO_Data[5].COND1[</v>
      </c>
      <c r="BB15" s="23">
        <f t="shared" si="17"/>
        <v>10</v>
      </c>
      <c r="BC15" s="143"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43"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43"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RO_Data[5].ACT1[</v>
      </c>
      <c r="FF15" s="23">
        <f t="shared" si="20"/>
        <v>10</v>
      </c>
      <c r="FG15" s="143"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43"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43" t="s">
        <v>22</v>
      </c>
      <c r="IB15" s="10" t="s">
        <v>224</v>
      </c>
      <c r="IC15" s="6" t="str">
        <f t="shared" si="12"/>
        <v>RO_Data[5].STEP_DESC[</v>
      </c>
      <c r="ID15" s="23">
        <f t="shared" si="23"/>
        <v>10</v>
      </c>
      <c r="IE15" s="143" t="s">
        <v>22</v>
      </c>
    </row>
    <row r="16" spans="1:239" x14ac:dyDescent="0.25">
      <c r="A16" s="8">
        <v>11</v>
      </c>
      <c r="B16" s="8" t="str">
        <f t="shared" si="0"/>
        <v>STARTING PUMPS</v>
      </c>
      <c r="C16" s="47"/>
      <c r="D16" s="6" t="str">
        <f t="shared" si="1"/>
        <v>RO_Data[5].ACK_DESC[</v>
      </c>
      <c r="E16" s="23">
        <f t="shared" si="13"/>
        <v>11</v>
      </c>
      <c r="F16" s="143" t="s">
        <v>22</v>
      </c>
      <c r="G16" s="129">
        <v>0</v>
      </c>
      <c r="H16" s="6" t="str">
        <f t="shared" si="2"/>
        <v>RO_Data[5].MIN[</v>
      </c>
      <c r="I16" s="23">
        <f t="shared" si="14"/>
        <v>11</v>
      </c>
      <c r="J16" s="143" t="s">
        <v>22</v>
      </c>
      <c r="K16" s="129">
        <v>30</v>
      </c>
      <c r="L16" s="6" t="str">
        <f t="shared" si="3"/>
        <v>RO_Data[5].SEC[</v>
      </c>
      <c r="M16" s="23">
        <f t="shared" si="15"/>
        <v>11</v>
      </c>
      <c r="N16" s="143" t="s">
        <v>22</v>
      </c>
      <c r="O16" s="132">
        <v>0</v>
      </c>
      <c r="P16" s="6" t="str">
        <f t="shared" si="4"/>
        <v>RO_Data[5].SETPOINT[</v>
      </c>
      <c r="Q16" s="23">
        <f t="shared" si="16"/>
        <v>11</v>
      </c>
      <c r="R16" s="143"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RO_Data[5].COND1[</v>
      </c>
      <c r="BB16" s="23">
        <f t="shared" si="17"/>
        <v>11</v>
      </c>
      <c r="BC16" s="143"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RO_Data[5].COND2[</v>
      </c>
      <c r="CL16" s="23">
        <f t="shared" si="18"/>
        <v>11</v>
      </c>
      <c r="CM16" s="143"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43"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RO_Data[5].ACT1[</v>
      </c>
      <c r="FF16" s="23">
        <f t="shared" si="20"/>
        <v>11</v>
      </c>
      <c r="FG16" s="143"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RO_Data[5].ACT5[</v>
      </c>
      <c r="GP16" s="23">
        <f t="shared" si="21"/>
        <v>11</v>
      </c>
      <c r="GQ16" s="143"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43" t="s">
        <v>22</v>
      </c>
      <c r="IB16" s="10" t="s">
        <v>225</v>
      </c>
      <c r="IC16" s="6" t="str">
        <f t="shared" si="12"/>
        <v>RO_Data[5].STEP_DESC[</v>
      </c>
      <c r="ID16" s="23">
        <f t="shared" si="23"/>
        <v>11</v>
      </c>
      <c r="IE16" s="143" t="s">
        <v>22</v>
      </c>
    </row>
    <row r="17" spans="1:239" x14ac:dyDescent="0.25">
      <c r="A17" s="8">
        <v>12</v>
      </c>
      <c r="B17" s="8" t="str">
        <f t="shared" si="0"/>
        <v>RINSING STAGES</v>
      </c>
      <c r="C17" s="47"/>
      <c r="D17" s="6" t="str">
        <f t="shared" si="1"/>
        <v>RO_Data[5].ACK_DESC[</v>
      </c>
      <c r="E17" s="23">
        <f t="shared" si="13"/>
        <v>12</v>
      </c>
      <c r="F17" s="143" t="s">
        <v>22</v>
      </c>
      <c r="G17" s="129">
        <v>0</v>
      </c>
      <c r="H17" s="6" t="str">
        <f t="shared" si="2"/>
        <v>RO_Data[5].MIN[</v>
      </c>
      <c r="I17" s="23">
        <f t="shared" si="14"/>
        <v>12</v>
      </c>
      <c r="J17" s="143" t="s">
        <v>22</v>
      </c>
      <c r="K17" s="129">
        <v>1</v>
      </c>
      <c r="L17" s="6" t="str">
        <f t="shared" si="3"/>
        <v>RO_Data[5].SEC[</v>
      </c>
      <c r="M17" s="23">
        <f t="shared" si="15"/>
        <v>12</v>
      </c>
      <c r="N17" s="143" t="s">
        <v>22</v>
      </c>
      <c r="O17" s="132">
        <v>0</v>
      </c>
      <c r="P17" s="6" t="str">
        <f t="shared" si="4"/>
        <v>RO_Data[5].SETPOINT[</v>
      </c>
      <c r="Q17" s="23">
        <f t="shared" si="16"/>
        <v>12</v>
      </c>
      <c r="R17" s="143"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RO_Data[5].COND1[</v>
      </c>
      <c r="BB17" s="23">
        <f t="shared" si="17"/>
        <v>12</v>
      </c>
      <c r="BC17" s="143"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RO_Data[5].COND2[</v>
      </c>
      <c r="CL17" s="23">
        <f t="shared" si="18"/>
        <v>12</v>
      </c>
      <c r="CM17" s="143"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RO_Data[5].COND3[</v>
      </c>
      <c r="DV17" s="23">
        <f t="shared" si="19"/>
        <v>12</v>
      </c>
      <c r="DW17" s="143"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RO_Data[5].ACT1[</v>
      </c>
      <c r="FF17" s="23">
        <f t="shared" si="20"/>
        <v>12</v>
      </c>
      <c r="FG17" s="143"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RO_Data[5].ACT5[</v>
      </c>
      <c r="GP17" s="23">
        <f t="shared" si="21"/>
        <v>12</v>
      </c>
      <c r="GQ17" s="143"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43" t="s">
        <v>22</v>
      </c>
      <c r="IB17" s="10" t="s">
        <v>226</v>
      </c>
      <c r="IC17" s="6" t="str">
        <f t="shared" si="12"/>
        <v>RO_Data[5].STEP_DESC[</v>
      </c>
      <c r="ID17" s="23">
        <f t="shared" si="23"/>
        <v>12</v>
      </c>
      <c r="IE17" s="143" t="s">
        <v>22</v>
      </c>
    </row>
    <row r="18" spans="1:239" x14ac:dyDescent="0.25">
      <c r="A18" s="8">
        <v>13</v>
      </c>
      <c r="B18" s="8" t="str">
        <f t="shared" si="0"/>
        <v>PUMPING DOWN FEED TANK</v>
      </c>
      <c r="C18" s="47"/>
      <c r="D18" s="6" t="str">
        <f t="shared" si="1"/>
        <v>RO_Data[5].ACK_DESC[</v>
      </c>
      <c r="E18" s="23">
        <f t="shared" si="13"/>
        <v>13</v>
      </c>
      <c r="F18" s="143" t="s">
        <v>22</v>
      </c>
      <c r="G18" s="129">
        <v>0</v>
      </c>
      <c r="H18" s="6" t="str">
        <f t="shared" si="2"/>
        <v>RO_Data[5].MIN[</v>
      </c>
      <c r="I18" s="23">
        <f t="shared" si="14"/>
        <v>13</v>
      </c>
      <c r="J18" s="143" t="s">
        <v>22</v>
      </c>
      <c r="K18" s="129">
        <v>1</v>
      </c>
      <c r="L18" s="6" t="str">
        <f t="shared" si="3"/>
        <v>RO_Data[5].SEC[</v>
      </c>
      <c r="M18" s="23">
        <f t="shared" si="15"/>
        <v>13</v>
      </c>
      <c r="N18" s="143" t="s">
        <v>22</v>
      </c>
      <c r="O18" s="132">
        <v>0</v>
      </c>
      <c r="P18" s="6" t="str">
        <f t="shared" si="4"/>
        <v>RO_Data[5].SETPOINT[</v>
      </c>
      <c r="Q18" s="23">
        <f t="shared" si="16"/>
        <v>13</v>
      </c>
      <c r="R18" s="143"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RO_Data[5].COND1[</v>
      </c>
      <c r="BB18" s="23">
        <f t="shared" si="17"/>
        <v>13</v>
      </c>
      <c r="BC18" s="143"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RO_Data[5].COND2[</v>
      </c>
      <c r="CL18" s="23">
        <f t="shared" si="18"/>
        <v>13</v>
      </c>
      <c r="CM18" s="143"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RO_Data[5].COND3[</v>
      </c>
      <c r="DV18" s="23">
        <f t="shared" si="19"/>
        <v>13</v>
      </c>
      <c r="DW18" s="143"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RO_Data[5].ACT1[</v>
      </c>
      <c r="FF18" s="23">
        <f t="shared" si="20"/>
        <v>13</v>
      </c>
      <c r="FG18" s="143"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RO_Data[5].ACT5[</v>
      </c>
      <c r="GP18" s="23">
        <f t="shared" si="21"/>
        <v>13</v>
      </c>
      <c r="GQ18" s="143"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43" t="s">
        <v>22</v>
      </c>
      <c r="IB18" s="10" t="s">
        <v>230</v>
      </c>
      <c r="IC18" s="6" t="str">
        <f t="shared" si="12"/>
        <v>RO_Data[5].STEP_DESC[</v>
      </c>
      <c r="ID18" s="23">
        <f t="shared" si="23"/>
        <v>13</v>
      </c>
      <c r="IE18" s="143" t="s">
        <v>22</v>
      </c>
    </row>
    <row r="19" spans="1:239" x14ac:dyDescent="0.25">
      <c r="A19" s="8">
        <v>14</v>
      </c>
      <c r="B19" s="8" t="str">
        <f t="shared" si="0"/>
        <v>DRAINING FEED BALANCE TANK</v>
      </c>
      <c r="C19" s="47"/>
      <c r="D19" s="6" t="str">
        <f t="shared" si="1"/>
        <v>RO_Data[5].ACK_DESC[</v>
      </c>
      <c r="E19" s="23">
        <f t="shared" si="13"/>
        <v>14</v>
      </c>
      <c r="F19" s="143" t="s">
        <v>22</v>
      </c>
      <c r="G19" s="129">
        <v>0</v>
      </c>
      <c r="H19" s="6" t="str">
        <f t="shared" si="2"/>
        <v>RO_Data[5].MIN[</v>
      </c>
      <c r="I19" s="23">
        <f t="shared" si="14"/>
        <v>14</v>
      </c>
      <c r="J19" s="143" t="s">
        <v>22</v>
      </c>
      <c r="K19" s="129">
        <v>1</v>
      </c>
      <c r="L19" s="6" t="str">
        <f t="shared" si="3"/>
        <v>RO_Data[5].SEC[</v>
      </c>
      <c r="M19" s="23">
        <f t="shared" si="15"/>
        <v>14</v>
      </c>
      <c r="N19" s="143" t="s">
        <v>22</v>
      </c>
      <c r="O19" s="132">
        <v>0</v>
      </c>
      <c r="P19" s="6" t="str">
        <f t="shared" si="4"/>
        <v>RO_Data[5].SETPOINT[</v>
      </c>
      <c r="Q19" s="23">
        <f t="shared" si="16"/>
        <v>14</v>
      </c>
      <c r="R19" s="143"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RO_Data[5].COND1[</v>
      </c>
      <c r="BB19" s="23">
        <f t="shared" si="17"/>
        <v>14</v>
      </c>
      <c r="BC19" s="143"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RO_Data[5].COND2[</v>
      </c>
      <c r="CL19" s="23">
        <f t="shared" si="18"/>
        <v>14</v>
      </c>
      <c r="CM19" s="143"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43"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RO_Data[5].ACT1[</v>
      </c>
      <c r="FF19" s="23">
        <f t="shared" si="20"/>
        <v>14</v>
      </c>
      <c r="FG19" s="143"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43"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43" t="s">
        <v>22</v>
      </c>
      <c r="IB19" s="10" t="s">
        <v>243</v>
      </c>
      <c r="IC19" s="6" t="str">
        <f t="shared" si="12"/>
        <v>RO_Data[5].STEP_DESC[</v>
      </c>
      <c r="ID19" s="23">
        <f t="shared" si="23"/>
        <v>14</v>
      </c>
      <c r="IE19" s="143" t="s">
        <v>22</v>
      </c>
    </row>
    <row r="20" spans="1:239" x14ac:dyDescent="0.25">
      <c r="A20" s="8">
        <v>15</v>
      </c>
      <c r="B20" s="8" t="str">
        <f t="shared" si="0"/>
        <v>CYCLE COMPLETE</v>
      </c>
      <c r="C20" s="47"/>
      <c r="D20" s="6" t="str">
        <f t="shared" si="1"/>
        <v>RO_Data[5].ACK_DESC[</v>
      </c>
      <c r="E20" s="23">
        <f t="shared" si="13"/>
        <v>15</v>
      </c>
      <c r="F20" s="143" t="s">
        <v>22</v>
      </c>
      <c r="G20" s="129">
        <v>0</v>
      </c>
      <c r="H20" s="6" t="str">
        <f t="shared" si="2"/>
        <v>RO_Data[5].MIN[</v>
      </c>
      <c r="I20" s="23">
        <f t="shared" si="14"/>
        <v>15</v>
      </c>
      <c r="J20" s="143" t="s">
        <v>22</v>
      </c>
      <c r="K20" s="129">
        <v>0</v>
      </c>
      <c r="L20" s="6" t="str">
        <f t="shared" si="3"/>
        <v>RO_Data[5].SEC[</v>
      </c>
      <c r="M20" s="23">
        <f t="shared" si="15"/>
        <v>15</v>
      </c>
      <c r="N20" s="143" t="s">
        <v>22</v>
      </c>
      <c r="O20" s="132">
        <v>0</v>
      </c>
      <c r="P20" s="6" t="str">
        <f t="shared" si="4"/>
        <v>RO_Data[5].SETPOINT[</v>
      </c>
      <c r="Q20" s="23">
        <f t="shared" si="16"/>
        <v>15</v>
      </c>
      <c r="R20" s="143"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RO_Data[5].COND1[</v>
      </c>
      <c r="BB20" s="23">
        <f t="shared" si="17"/>
        <v>15</v>
      </c>
      <c r="BC20" s="143"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43"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43"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43"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43"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43" t="s">
        <v>22</v>
      </c>
      <c r="IB20" s="10" t="s">
        <v>223</v>
      </c>
      <c r="IC20" s="6" t="str">
        <f t="shared" si="12"/>
        <v>RO_Data[5].STEP_DESC[</v>
      </c>
      <c r="ID20" s="23">
        <f t="shared" si="23"/>
        <v>15</v>
      </c>
      <c r="IE20" s="143" t="s">
        <v>22</v>
      </c>
    </row>
    <row r="21" spans="1:239" x14ac:dyDescent="0.25">
      <c r="A21" s="8">
        <v>16</v>
      </c>
      <c r="B21" s="8" t="str">
        <f t="shared" si="0"/>
        <v/>
      </c>
      <c r="C21" s="47"/>
      <c r="D21" s="6" t="str">
        <f t="shared" si="1"/>
        <v>RO_Data[5].ACK_DESC[</v>
      </c>
      <c r="E21" s="23">
        <f t="shared" si="13"/>
        <v>16</v>
      </c>
      <c r="F21" s="143" t="s">
        <v>22</v>
      </c>
      <c r="G21" s="129">
        <v>0</v>
      </c>
      <c r="H21" s="6" t="str">
        <f t="shared" si="2"/>
        <v>RO_Data[5].MIN[</v>
      </c>
      <c r="I21" s="23">
        <f t="shared" si="14"/>
        <v>16</v>
      </c>
      <c r="J21" s="143" t="s">
        <v>22</v>
      </c>
      <c r="K21" s="129">
        <v>0</v>
      </c>
      <c r="L21" s="6" t="str">
        <f t="shared" si="3"/>
        <v>RO_Data[5].SEC[</v>
      </c>
      <c r="M21" s="23">
        <f t="shared" si="15"/>
        <v>16</v>
      </c>
      <c r="N21" s="143" t="s">
        <v>22</v>
      </c>
      <c r="O21" s="132">
        <v>0</v>
      </c>
      <c r="P21" s="6" t="str">
        <f t="shared" si="4"/>
        <v>RO_Data[5].SETPOINT[</v>
      </c>
      <c r="Q21" s="23">
        <f t="shared" si="16"/>
        <v>16</v>
      </c>
      <c r="R21" s="143"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43"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43"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43"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43"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43"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43" t="s">
        <v>22</v>
      </c>
      <c r="IB21" s="10"/>
      <c r="IC21" s="6" t="str">
        <f t="shared" si="12"/>
        <v>RO_Data[5].STEP_DESC[</v>
      </c>
      <c r="ID21" s="23">
        <f t="shared" si="23"/>
        <v>16</v>
      </c>
      <c r="IE21" s="143" t="s">
        <v>22</v>
      </c>
    </row>
    <row r="22" spans="1:239" x14ac:dyDescent="0.25">
      <c r="A22" s="8">
        <v>17</v>
      </c>
      <c r="B22" s="8" t="str">
        <f t="shared" si="0"/>
        <v/>
      </c>
      <c r="C22" s="47"/>
      <c r="D22" s="6" t="str">
        <f t="shared" si="1"/>
        <v>RO_Data[5].ACK_DESC[</v>
      </c>
      <c r="E22" s="23">
        <f t="shared" si="13"/>
        <v>17</v>
      </c>
      <c r="F22" s="143" t="s">
        <v>22</v>
      </c>
      <c r="G22" s="129">
        <v>0</v>
      </c>
      <c r="H22" s="6" t="str">
        <f t="shared" si="2"/>
        <v>RO_Data[5].MIN[</v>
      </c>
      <c r="I22" s="23">
        <f t="shared" si="14"/>
        <v>17</v>
      </c>
      <c r="J22" s="143" t="s">
        <v>22</v>
      </c>
      <c r="K22" s="129">
        <v>0</v>
      </c>
      <c r="L22" s="6" t="str">
        <f t="shared" si="3"/>
        <v>RO_Data[5].SEC[</v>
      </c>
      <c r="M22" s="23">
        <f t="shared" si="15"/>
        <v>17</v>
      </c>
      <c r="N22" s="143" t="s">
        <v>22</v>
      </c>
      <c r="O22" s="132">
        <v>0</v>
      </c>
      <c r="P22" s="6" t="str">
        <f t="shared" si="4"/>
        <v>RO_Data[5].SETPOINT[</v>
      </c>
      <c r="Q22" s="23">
        <f t="shared" si="16"/>
        <v>17</v>
      </c>
      <c r="R22" s="143"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43"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43"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43"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43"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43"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43" t="s">
        <v>22</v>
      </c>
      <c r="IB22" s="10"/>
      <c r="IC22" s="6" t="str">
        <f t="shared" si="12"/>
        <v>RO_Data[5].STEP_DESC[</v>
      </c>
      <c r="ID22" s="23">
        <f t="shared" si="23"/>
        <v>17</v>
      </c>
      <c r="IE22" s="143" t="s">
        <v>22</v>
      </c>
    </row>
    <row r="23" spans="1:239" x14ac:dyDescent="0.25">
      <c r="A23" s="8">
        <v>18</v>
      </c>
      <c r="B23" s="8" t="str">
        <f t="shared" si="0"/>
        <v/>
      </c>
      <c r="C23" s="47"/>
      <c r="D23" s="6" t="str">
        <f t="shared" si="1"/>
        <v>RO_Data[5].ACK_DESC[</v>
      </c>
      <c r="E23" s="23">
        <f t="shared" si="13"/>
        <v>18</v>
      </c>
      <c r="F23" s="143" t="s">
        <v>22</v>
      </c>
      <c r="G23" s="129">
        <v>0</v>
      </c>
      <c r="H23" s="6" t="str">
        <f t="shared" si="2"/>
        <v>RO_Data[5].MIN[</v>
      </c>
      <c r="I23" s="23">
        <f t="shared" si="14"/>
        <v>18</v>
      </c>
      <c r="J23" s="143" t="s">
        <v>22</v>
      </c>
      <c r="K23" s="129">
        <v>0</v>
      </c>
      <c r="L23" s="6" t="str">
        <f t="shared" si="3"/>
        <v>RO_Data[5].SEC[</v>
      </c>
      <c r="M23" s="23">
        <f t="shared" si="15"/>
        <v>18</v>
      </c>
      <c r="N23" s="143" t="s">
        <v>22</v>
      </c>
      <c r="O23" s="132">
        <v>0</v>
      </c>
      <c r="P23" s="6" t="str">
        <f t="shared" si="4"/>
        <v>RO_Data[5].SETPOINT[</v>
      </c>
      <c r="Q23" s="23">
        <f t="shared" si="16"/>
        <v>18</v>
      </c>
      <c r="R23" s="143"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43"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43"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43"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43"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43"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43" t="s">
        <v>22</v>
      </c>
      <c r="IB23" s="10"/>
      <c r="IC23" s="6" t="str">
        <f t="shared" si="12"/>
        <v>RO_Data[5].STEP_DESC[</v>
      </c>
      <c r="ID23" s="23">
        <f t="shared" si="23"/>
        <v>18</v>
      </c>
      <c r="IE23" s="143" t="s">
        <v>22</v>
      </c>
    </row>
    <row r="24" spans="1:239" x14ac:dyDescent="0.25">
      <c r="A24" s="8">
        <v>19</v>
      </c>
      <c r="B24" s="8" t="str">
        <f t="shared" si="0"/>
        <v/>
      </c>
      <c r="C24" s="47"/>
      <c r="D24" s="6" t="str">
        <f t="shared" si="1"/>
        <v>RO_Data[5].ACK_DESC[</v>
      </c>
      <c r="E24" s="23">
        <f t="shared" si="13"/>
        <v>19</v>
      </c>
      <c r="F24" s="143" t="s">
        <v>22</v>
      </c>
      <c r="G24" s="129">
        <v>0</v>
      </c>
      <c r="H24" s="6" t="str">
        <f t="shared" si="2"/>
        <v>RO_Data[5].MIN[</v>
      </c>
      <c r="I24" s="23">
        <f t="shared" si="14"/>
        <v>19</v>
      </c>
      <c r="J24" s="143" t="s">
        <v>22</v>
      </c>
      <c r="K24" s="129">
        <v>0</v>
      </c>
      <c r="L24" s="6" t="str">
        <f t="shared" si="3"/>
        <v>RO_Data[5].SEC[</v>
      </c>
      <c r="M24" s="23">
        <f t="shared" si="15"/>
        <v>19</v>
      </c>
      <c r="N24" s="143" t="s">
        <v>22</v>
      </c>
      <c r="O24" s="132">
        <v>0</v>
      </c>
      <c r="P24" s="6" t="str">
        <f t="shared" si="4"/>
        <v>RO_Data[5].SETPOINT[</v>
      </c>
      <c r="Q24" s="23">
        <f t="shared" si="16"/>
        <v>19</v>
      </c>
      <c r="R24" s="143"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RO_Data[5].COND1[</v>
      </c>
      <c r="BB24" s="23">
        <f t="shared" si="17"/>
        <v>19</v>
      </c>
      <c r="BC24" s="143"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RO_Data[5].COND2[</v>
      </c>
      <c r="CL24" s="23">
        <f t="shared" si="18"/>
        <v>19</v>
      </c>
      <c r="CM24" s="143"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RO_Data[5].COND3[</v>
      </c>
      <c r="DV24" s="23">
        <f t="shared" si="19"/>
        <v>19</v>
      </c>
      <c r="DW24" s="143"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RO_Data[5].ACT1[</v>
      </c>
      <c r="FF24" s="23">
        <f t="shared" si="20"/>
        <v>19</v>
      </c>
      <c r="FG24" s="143"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RO_Data[5].ACT5[</v>
      </c>
      <c r="GP24" s="23">
        <f t="shared" si="21"/>
        <v>19</v>
      </c>
      <c r="GQ24" s="143"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RO_Data[5].ACT6[</v>
      </c>
      <c r="HZ24" s="23">
        <f t="shared" si="22"/>
        <v>19</v>
      </c>
      <c r="IA24" s="143" t="s">
        <v>22</v>
      </c>
      <c r="IB24" s="10"/>
      <c r="IC24" s="6" t="str">
        <f t="shared" si="12"/>
        <v>RO_Data[5].STEP_DESC[</v>
      </c>
      <c r="ID24" s="23">
        <f t="shared" si="23"/>
        <v>19</v>
      </c>
      <c r="IE24" s="143" t="s">
        <v>22</v>
      </c>
    </row>
    <row r="25" spans="1:239" x14ac:dyDescent="0.25">
      <c r="A25" s="8">
        <v>20</v>
      </c>
      <c r="B25" s="8" t="str">
        <f t="shared" si="0"/>
        <v/>
      </c>
      <c r="C25" s="47"/>
      <c r="D25" s="6" t="str">
        <f t="shared" si="1"/>
        <v>RO_Data[5].ACK_DESC[</v>
      </c>
      <c r="E25" s="23">
        <f t="shared" si="13"/>
        <v>20</v>
      </c>
      <c r="F25" s="143" t="s">
        <v>22</v>
      </c>
      <c r="G25" s="129">
        <v>0</v>
      </c>
      <c r="H25" s="6" t="str">
        <f t="shared" si="2"/>
        <v>RO_Data[5].MIN[</v>
      </c>
      <c r="I25" s="23">
        <f t="shared" si="14"/>
        <v>20</v>
      </c>
      <c r="J25" s="143" t="s">
        <v>22</v>
      </c>
      <c r="K25" s="129">
        <v>0</v>
      </c>
      <c r="L25" s="6" t="str">
        <f t="shared" si="3"/>
        <v>RO_Data[5].SEC[</v>
      </c>
      <c r="M25" s="23">
        <f t="shared" si="15"/>
        <v>20</v>
      </c>
      <c r="N25" s="143" t="s">
        <v>22</v>
      </c>
      <c r="O25" s="132">
        <v>0</v>
      </c>
      <c r="P25" s="6" t="str">
        <f t="shared" si="4"/>
        <v>RO_Data[5].SETPOINT[</v>
      </c>
      <c r="Q25" s="23">
        <f t="shared" si="16"/>
        <v>20</v>
      </c>
      <c r="R25" s="143"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RO_Data[5].COND1[</v>
      </c>
      <c r="BB25" s="23">
        <f t="shared" si="17"/>
        <v>20</v>
      </c>
      <c r="BC25" s="143"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RO_Data[5].COND2[</v>
      </c>
      <c r="CL25" s="23">
        <f t="shared" si="18"/>
        <v>20</v>
      </c>
      <c r="CM25" s="143"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RO_Data[5].COND3[</v>
      </c>
      <c r="DV25" s="23">
        <f t="shared" si="19"/>
        <v>20</v>
      </c>
      <c r="DW25" s="143"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RO_Data[5].ACT1[</v>
      </c>
      <c r="FF25" s="23">
        <f t="shared" si="20"/>
        <v>20</v>
      </c>
      <c r="FG25" s="143"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RO_Data[5].ACT5[</v>
      </c>
      <c r="GP25" s="23">
        <f t="shared" si="21"/>
        <v>20</v>
      </c>
      <c r="GQ25" s="143"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RO_Data[5].ACT6[</v>
      </c>
      <c r="HZ25" s="23">
        <f t="shared" si="22"/>
        <v>20</v>
      </c>
      <c r="IA25" s="143" t="s">
        <v>22</v>
      </c>
      <c r="IB25" s="10"/>
      <c r="IC25" s="6" t="str">
        <f t="shared" si="12"/>
        <v>RO_Data[5].STEP_DESC[</v>
      </c>
      <c r="ID25" s="23">
        <f t="shared" si="23"/>
        <v>20</v>
      </c>
      <c r="IE25" s="143" t="s">
        <v>22</v>
      </c>
    </row>
    <row r="26" spans="1:239" x14ac:dyDescent="0.25">
      <c r="A26" s="8">
        <v>21</v>
      </c>
      <c r="B26" s="8" t="str">
        <f t="shared" si="0"/>
        <v/>
      </c>
      <c r="C26" s="47"/>
      <c r="D26" s="6" t="str">
        <f t="shared" si="1"/>
        <v>RO_Data[5].ACK_DESC[</v>
      </c>
      <c r="E26" s="23">
        <f t="shared" si="13"/>
        <v>21</v>
      </c>
      <c r="F26" s="143" t="s">
        <v>22</v>
      </c>
      <c r="G26" s="129">
        <v>0</v>
      </c>
      <c r="H26" s="6" t="str">
        <f t="shared" si="2"/>
        <v>RO_Data[5].MIN[</v>
      </c>
      <c r="I26" s="23">
        <f t="shared" si="14"/>
        <v>21</v>
      </c>
      <c r="J26" s="143" t="s">
        <v>22</v>
      </c>
      <c r="K26" s="129">
        <v>0</v>
      </c>
      <c r="L26" s="6" t="str">
        <f t="shared" si="3"/>
        <v>RO_Data[5].SEC[</v>
      </c>
      <c r="M26" s="23">
        <f t="shared" si="15"/>
        <v>21</v>
      </c>
      <c r="N26" s="143" t="s">
        <v>22</v>
      </c>
      <c r="O26" s="132">
        <v>0</v>
      </c>
      <c r="P26" s="6" t="str">
        <f t="shared" si="4"/>
        <v>RO_Data[5].SETPOINT[</v>
      </c>
      <c r="Q26" s="23">
        <f t="shared" si="16"/>
        <v>21</v>
      </c>
      <c r="R26" s="143"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RO_Data[5].COND1[</v>
      </c>
      <c r="BB26" s="23">
        <f t="shared" si="17"/>
        <v>21</v>
      </c>
      <c r="BC26" s="143"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RO_Data[5].COND2[</v>
      </c>
      <c r="CL26" s="23">
        <f t="shared" si="18"/>
        <v>21</v>
      </c>
      <c r="CM26" s="143"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RO_Data[5].COND3[</v>
      </c>
      <c r="DV26" s="23">
        <f t="shared" si="19"/>
        <v>21</v>
      </c>
      <c r="DW26" s="143"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RO_Data[5].ACT1[</v>
      </c>
      <c r="FF26" s="23">
        <f t="shared" si="20"/>
        <v>21</v>
      </c>
      <c r="FG26" s="143"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RO_Data[5].ACT5[</v>
      </c>
      <c r="GP26" s="23">
        <f t="shared" si="21"/>
        <v>21</v>
      </c>
      <c r="GQ26" s="143"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RO_Data[5].ACT6[</v>
      </c>
      <c r="HZ26" s="23">
        <f t="shared" si="22"/>
        <v>21</v>
      </c>
      <c r="IA26" s="143" t="s">
        <v>22</v>
      </c>
      <c r="IB26" s="10"/>
      <c r="IC26" s="6" t="str">
        <f t="shared" si="12"/>
        <v>RO_Data[5].STEP_DESC[</v>
      </c>
      <c r="ID26" s="23">
        <f t="shared" si="23"/>
        <v>21</v>
      </c>
      <c r="IE26" s="143" t="s">
        <v>22</v>
      </c>
    </row>
    <row r="27" spans="1:239" x14ac:dyDescent="0.25">
      <c r="A27" s="8">
        <v>22</v>
      </c>
      <c r="B27" s="8" t="str">
        <f t="shared" si="0"/>
        <v/>
      </c>
      <c r="C27" s="47"/>
      <c r="D27" s="6" t="str">
        <f t="shared" si="1"/>
        <v>RO_Data[5].ACK_DESC[</v>
      </c>
      <c r="E27" s="23">
        <f t="shared" si="13"/>
        <v>22</v>
      </c>
      <c r="F27" s="143" t="s">
        <v>22</v>
      </c>
      <c r="G27" s="129">
        <v>0</v>
      </c>
      <c r="H27" s="6" t="str">
        <f t="shared" si="2"/>
        <v>RO_Data[5].MIN[</v>
      </c>
      <c r="I27" s="23">
        <f t="shared" si="14"/>
        <v>22</v>
      </c>
      <c r="J27" s="143" t="s">
        <v>22</v>
      </c>
      <c r="K27" s="129">
        <v>0</v>
      </c>
      <c r="L27" s="6" t="str">
        <f t="shared" si="3"/>
        <v>RO_Data[5].SEC[</v>
      </c>
      <c r="M27" s="23">
        <f t="shared" si="15"/>
        <v>22</v>
      </c>
      <c r="N27" s="143" t="s">
        <v>22</v>
      </c>
      <c r="O27" s="132">
        <v>0</v>
      </c>
      <c r="P27" s="6" t="str">
        <f t="shared" si="4"/>
        <v>RO_Data[5].SETPOINT[</v>
      </c>
      <c r="Q27" s="23">
        <f t="shared" si="16"/>
        <v>22</v>
      </c>
      <c r="R27" s="143"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RO_Data[5].COND1[</v>
      </c>
      <c r="BB27" s="23">
        <f t="shared" si="17"/>
        <v>22</v>
      </c>
      <c r="BC27" s="143"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RO_Data[5].COND2[</v>
      </c>
      <c r="CL27" s="23">
        <f t="shared" si="18"/>
        <v>22</v>
      </c>
      <c r="CM27" s="143"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RO_Data[5].COND3[</v>
      </c>
      <c r="DV27" s="23">
        <f t="shared" si="19"/>
        <v>22</v>
      </c>
      <c r="DW27" s="143"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RO_Data[5].ACT1[</v>
      </c>
      <c r="FF27" s="23">
        <f t="shared" si="20"/>
        <v>22</v>
      </c>
      <c r="FG27" s="143"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RO_Data[5].ACT5[</v>
      </c>
      <c r="GP27" s="23">
        <f t="shared" si="21"/>
        <v>22</v>
      </c>
      <c r="GQ27" s="143"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RO_Data[5].ACT6[</v>
      </c>
      <c r="HZ27" s="23">
        <f t="shared" si="22"/>
        <v>22</v>
      </c>
      <c r="IA27" s="143" t="s">
        <v>22</v>
      </c>
      <c r="IB27" s="10"/>
      <c r="IC27" s="6" t="str">
        <f t="shared" si="12"/>
        <v>RO_Data[5].STEP_DESC[</v>
      </c>
      <c r="ID27" s="23">
        <f t="shared" si="23"/>
        <v>22</v>
      </c>
      <c r="IE27" s="143" t="s">
        <v>22</v>
      </c>
    </row>
    <row r="28" spans="1:239" x14ac:dyDescent="0.25">
      <c r="A28" s="8">
        <v>23</v>
      </c>
      <c r="B28" s="8" t="str">
        <f t="shared" si="0"/>
        <v/>
      </c>
      <c r="C28" s="47"/>
      <c r="D28" s="6" t="str">
        <f t="shared" si="1"/>
        <v>RO_Data[5].ACK_DESC[</v>
      </c>
      <c r="E28" s="23">
        <f t="shared" si="13"/>
        <v>23</v>
      </c>
      <c r="F28" s="143" t="s">
        <v>22</v>
      </c>
      <c r="G28" s="129">
        <v>0</v>
      </c>
      <c r="H28" s="6" t="str">
        <f t="shared" si="2"/>
        <v>RO_Data[5].MIN[</v>
      </c>
      <c r="I28" s="23">
        <f t="shared" si="14"/>
        <v>23</v>
      </c>
      <c r="J28" s="143" t="s">
        <v>22</v>
      </c>
      <c r="K28" s="129">
        <v>0</v>
      </c>
      <c r="L28" s="6" t="str">
        <f t="shared" si="3"/>
        <v>RO_Data[5].SEC[</v>
      </c>
      <c r="M28" s="23">
        <f t="shared" si="15"/>
        <v>23</v>
      </c>
      <c r="N28" s="143" t="s">
        <v>22</v>
      </c>
      <c r="O28" s="132">
        <v>0</v>
      </c>
      <c r="P28" s="6" t="str">
        <f t="shared" si="4"/>
        <v>RO_Data[5].SETPOINT[</v>
      </c>
      <c r="Q28" s="23">
        <f t="shared" si="16"/>
        <v>23</v>
      </c>
      <c r="R28" s="143"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RO_Data[5].COND1[</v>
      </c>
      <c r="BB28" s="23">
        <f t="shared" si="17"/>
        <v>23</v>
      </c>
      <c r="BC28" s="143"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RO_Data[5].COND2[</v>
      </c>
      <c r="CL28" s="23">
        <f t="shared" si="18"/>
        <v>23</v>
      </c>
      <c r="CM28" s="143"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RO_Data[5].COND3[</v>
      </c>
      <c r="DV28" s="23">
        <f t="shared" si="19"/>
        <v>23</v>
      </c>
      <c r="DW28" s="143"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RO_Data[5].ACT1[</v>
      </c>
      <c r="FF28" s="23">
        <f t="shared" si="20"/>
        <v>23</v>
      </c>
      <c r="FG28" s="143"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RO_Data[5].ACT5[</v>
      </c>
      <c r="GP28" s="23">
        <f t="shared" si="21"/>
        <v>23</v>
      </c>
      <c r="GQ28" s="143"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RO_Data[5].ACT6[</v>
      </c>
      <c r="HZ28" s="23">
        <f t="shared" si="22"/>
        <v>23</v>
      </c>
      <c r="IA28" s="143" t="s">
        <v>22</v>
      </c>
      <c r="IB28" s="10"/>
      <c r="IC28" s="6" t="str">
        <f t="shared" si="12"/>
        <v>RO_Data[5].STEP_DESC[</v>
      </c>
      <c r="ID28" s="23">
        <f t="shared" si="23"/>
        <v>23</v>
      </c>
      <c r="IE28" s="143" t="s">
        <v>22</v>
      </c>
    </row>
    <row r="29" spans="1:239" ht="15.75" customHeight="1" x14ac:dyDescent="0.25">
      <c r="A29" s="8">
        <v>24</v>
      </c>
      <c r="B29" s="8" t="str">
        <f t="shared" si="0"/>
        <v/>
      </c>
      <c r="C29" s="10"/>
      <c r="D29" s="6" t="str">
        <f t="shared" si="1"/>
        <v>RO_Data[5].ACK_DESC[</v>
      </c>
      <c r="E29" s="23">
        <f t="shared" si="13"/>
        <v>24</v>
      </c>
      <c r="F29" s="143" t="s">
        <v>22</v>
      </c>
      <c r="G29" s="132">
        <v>0</v>
      </c>
      <c r="H29" s="6" t="str">
        <f t="shared" si="2"/>
        <v>RO_Data[5].MIN[</v>
      </c>
      <c r="I29" s="23">
        <f t="shared" si="14"/>
        <v>24</v>
      </c>
      <c r="J29" s="143" t="s">
        <v>22</v>
      </c>
      <c r="K29" s="129">
        <v>0</v>
      </c>
      <c r="L29" s="6" t="str">
        <f t="shared" si="3"/>
        <v>RO_Data[5].SEC[</v>
      </c>
      <c r="M29" s="23">
        <f t="shared" si="15"/>
        <v>24</v>
      </c>
      <c r="N29" s="143" t="s">
        <v>22</v>
      </c>
      <c r="O29" s="132">
        <v>0</v>
      </c>
      <c r="P29" s="6" t="str">
        <f t="shared" si="4"/>
        <v>RO_Data[5].SETPOINT[</v>
      </c>
      <c r="Q29" s="23">
        <f t="shared" si="16"/>
        <v>24</v>
      </c>
      <c r="R29" s="143"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RO_Data[5].COND1[</v>
      </c>
      <c r="BB29" s="23">
        <f t="shared" si="17"/>
        <v>24</v>
      </c>
      <c r="BC29" s="143"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RO_Data[5].COND2[</v>
      </c>
      <c r="CL29" s="23">
        <f t="shared" si="18"/>
        <v>24</v>
      </c>
      <c r="CM29" s="143"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RO_Data[5].COND3[</v>
      </c>
      <c r="DV29" s="23">
        <f t="shared" si="19"/>
        <v>24</v>
      </c>
      <c r="DW29" s="143"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RO_Data[5].ACT1[</v>
      </c>
      <c r="FF29" s="23">
        <f t="shared" si="20"/>
        <v>24</v>
      </c>
      <c r="FG29" s="143"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RO_Data[5].ACT5[</v>
      </c>
      <c r="GP29" s="23">
        <f t="shared" si="21"/>
        <v>24</v>
      </c>
      <c r="GQ29" s="143"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RO_Data[5].ACT6[</v>
      </c>
      <c r="HZ29" s="23">
        <f t="shared" si="22"/>
        <v>24</v>
      </c>
      <c r="IA29" s="143" t="s">
        <v>22</v>
      </c>
      <c r="IB29" s="10"/>
      <c r="IC29" s="6" t="str">
        <f t="shared" si="12"/>
        <v>RO_Data[5].STEP_DESC[</v>
      </c>
      <c r="ID29" s="23">
        <f t="shared" si="23"/>
        <v>24</v>
      </c>
      <c r="IE29" s="143" t="s">
        <v>22</v>
      </c>
    </row>
    <row r="30" spans="1:239" x14ac:dyDescent="0.25">
      <c r="A30" s="8">
        <v>25</v>
      </c>
      <c r="B30" s="8" t="str">
        <f t="shared" si="0"/>
        <v/>
      </c>
      <c r="C30" s="8"/>
      <c r="D30" s="6" t="str">
        <f t="shared" si="1"/>
        <v>RO_Data[5].ACK_DESC[</v>
      </c>
      <c r="E30" s="23">
        <v>25</v>
      </c>
      <c r="F30" s="143" t="s">
        <v>22</v>
      </c>
      <c r="G30" s="132">
        <v>0</v>
      </c>
      <c r="H30" s="6" t="str">
        <f t="shared" si="2"/>
        <v>RO_Data[5].MIN[</v>
      </c>
      <c r="I30" s="23">
        <v>25</v>
      </c>
      <c r="J30" s="143" t="s">
        <v>22</v>
      </c>
      <c r="K30" s="129">
        <v>0</v>
      </c>
      <c r="L30" s="6" t="str">
        <f t="shared" si="3"/>
        <v>RO_Data[5].SEC[</v>
      </c>
      <c r="M30" s="23">
        <v>25</v>
      </c>
      <c r="N30" s="143" t="s">
        <v>22</v>
      </c>
      <c r="O30" s="132">
        <v>0</v>
      </c>
      <c r="P30" s="6" t="str">
        <f t="shared" si="4"/>
        <v>RO_Data[5].SETPOINT[</v>
      </c>
      <c r="Q30" s="23">
        <v>25</v>
      </c>
      <c r="R30" s="143"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RO_Data[5].COND1[</v>
      </c>
      <c r="BB30" s="23">
        <v>25</v>
      </c>
      <c r="BC30" s="143" t="s">
        <v>22</v>
      </c>
      <c r="BD30" s="142"/>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RO_Data[5].COND2[</v>
      </c>
      <c r="CL30" s="23">
        <v>25</v>
      </c>
      <c r="CM30" s="143" t="s">
        <v>22</v>
      </c>
      <c r="CN30" s="142"/>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RO_Data[5].COND3[</v>
      </c>
      <c r="DV30" s="23">
        <v>25</v>
      </c>
      <c r="DW30" s="143" t="s">
        <v>22</v>
      </c>
      <c r="DX30" s="142"/>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RO_Data[5].ACT1[</v>
      </c>
      <c r="FF30" s="23">
        <v>25</v>
      </c>
      <c r="FG30" s="143" t="s">
        <v>22</v>
      </c>
      <c r="FH30" s="142"/>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RO_Data[5].ACT5[</v>
      </c>
      <c r="GP30" s="23">
        <v>25</v>
      </c>
      <c r="GQ30" s="143" t="s">
        <v>22</v>
      </c>
      <c r="GR30" s="142"/>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RO_Data[5].ACT6[</v>
      </c>
      <c r="HZ30" s="23">
        <v>25</v>
      </c>
      <c r="IA30" s="143" t="s">
        <v>22</v>
      </c>
      <c r="IB30" s="8"/>
      <c r="IC30" s="6" t="str">
        <f t="shared" si="12"/>
        <v>RO_Data[5].STEP_DESC[</v>
      </c>
      <c r="ID30" s="23">
        <v>25</v>
      </c>
      <c r="IE30" s="143" t="s">
        <v>22</v>
      </c>
    </row>
    <row r="31" spans="1:239" x14ac:dyDescent="0.25">
      <c r="A31" s="8">
        <v>26</v>
      </c>
      <c r="B31" s="8" t="str">
        <f t="shared" si="0"/>
        <v/>
      </c>
      <c r="C31" s="8"/>
      <c r="D31" s="6" t="str">
        <f t="shared" si="1"/>
        <v>RO_Data[5].ACK_DESC[</v>
      </c>
      <c r="E31" s="23">
        <v>26</v>
      </c>
      <c r="F31" s="143" t="s">
        <v>22</v>
      </c>
      <c r="G31" s="132">
        <v>0</v>
      </c>
      <c r="H31" s="6" t="str">
        <f t="shared" si="2"/>
        <v>RO_Data[5].MIN[</v>
      </c>
      <c r="I31" s="23">
        <v>26</v>
      </c>
      <c r="J31" s="143" t="s">
        <v>22</v>
      </c>
      <c r="K31" s="129">
        <v>0</v>
      </c>
      <c r="L31" s="6" t="str">
        <f t="shared" si="3"/>
        <v>RO_Data[5].SEC[</v>
      </c>
      <c r="M31" s="23">
        <v>26</v>
      </c>
      <c r="N31" s="143" t="s">
        <v>22</v>
      </c>
      <c r="O31" s="132">
        <v>0</v>
      </c>
      <c r="P31" s="6" t="str">
        <f t="shared" si="4"/>
        <v>RO_Data[5].SETPOINT[</v>
      </c>
      <c r="Q31" s="23">
        <v>26</v>
      </c>
      <c r="R31" s="143"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RO_Data[5].COND1[</v>
      </c>
      <c r="BB31" s="23">
        <v>26</v>
      </c>
      <c r="BC31" s="143" t="s">
        <v>22</v>
      </c>
      <c r="BD31" s="142"/>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RO_Data[5].COND2[</v>
      </c>
      <c r="CL31" s="23">
        <v>26</v>
      </c>
      <c r="CM31" s="143" t="s">
        <v>22</v>
      </c>
      <c r="CN31" s="142"/>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RO_Data[5].COND3[</v>
      </c>
      <c r="DV31" s="23">
        <v>26</v>
      </c>
      <c r="DW31" s="143" t="s">
        <v>22</v>
      </c>
      <c r="DX31" s="142"/>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RO_Data[5].ACT1[</v>
      </c>
      <c r="FF31" s="23">
        <v>26</v>
      </c>
      <c r="FG31" s="143" t="s">
        <v>22</v>
      </c>
      <c r="FH31" s="142"/>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RO_Data[5].ACT5[</v>
      </c>
      <c r="GP31" s="23">
        <v>26</v>
      </c>
      <c r="GQ31" s="143" t="s">
        <v>22</v>
      </c>
      <c r="GR31" s="142"/>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RO_Data[5].ACT6[</v>
      </c>
      <c r="HZ31" s="23">
        <v>26</v>
      </c>
      <c r="IA31" s="143" t="s">
        <v>22</v>
      </c>
      <c r="IB31" s="8"/>
      <c r="IC31" s="6" t="str">
        <f t="shared" si="12"/>
        <v>RO_Data[5].STEP_DESC[</v>
      </c>
      <c r="ID31" s="23">
        <v>26</v>
      </c>
      <c r="IE31" s="143" t="s">
        <v>22</v>
      </c>
    </row>
    <row r="32" spans="1:239" x14ac:dyDescent="0.25">
      <c r="A32" s="8">
        <v>27</v>
      </c>
      <c r="B32" s="8" t="str">
        <f t="shared" si="0"/>
        <v/>
      </c>
      <c r="C32" s="8"/>
      <c r="D32" s="6" t="str">
        <f t="shared" si="1"/>
        <v>RO_Data[5].ACK_DESC[</v>
      </c>
      <c r="E32" s="23">
        <v>27</v>
      </c>
      <c r="F32" s="143" t="s">
        <v>22</v>
      </c>
      <c r="G32" s="132">
        <v>0</v>
      </c>
      <c r="H32" s="6" t="str">
        <f t="shared" si="2"/>
        <v>RO_Data[5].MIN[</v>
      </c>
      <c r="I32" s="23">
        <v>27</v>
      </c>
      <c r="J32" s="143" t="s">
        <v>22</v>
      </c>
      <c r="K32" s="129">
        <v>0</v>
      </c>
      <c r="L32" s="6" t="str">
        <f t="shared" si="3"/>
        <v>RO_Data[5].SEC[</v>
      </c>
      <c r="M32" s="23">
        <v>27</v>
      </c>
      <c r="N32" s="143" t="s">
        <v>22</v>
      </c>
      <c r="O32" s="132">
        <v>0</v>
      </c>
      <c r="P32" s="6" t="str">
        <f t="shared" si="4"/>
        <v>RO_Data[5].SETPOINT[</v>
      </c>
      <c r="Q32" s="23">
        <v>27</v>
      </c>
      <c r="R32" s="143"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RO_Data[5].COND1[</v>
      </c>
      <c r="BB32" s="23">
        <v>27</v>
      </c>
      <c r="BC32" s="143" t="s">
        <v>22</v>
      </c>
      <c r="BD32" s="142"/>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RO_Data[5].COND2[</v>
      </c>
      <c r="CL32" s="23">
        <v>27</v>
      </c>
      <c r="CM32" s="143" t="s">
        <v>22</v>
      </c>
      <c r="CN32" s="142"/>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RO_Data[5].COND3[</v>
      </c>
      <c r="DV32" s="23">
        <v>27</v>
      </c>
      <c r="DW32" s="143" t="s">
        <v>22</v>
      </c>
      <c r="DX32" s="142"/>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RO_Data[5].ACT1[</v>
      </c>
      <c r="FF32" s="23">
        <v>27</v>
      </c>
      <c r="FG32" s="143" t="s">
        <v>22</v>
      </c>
      <c r="FH32" s="142"/>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RO_Data[5].ACT5[</v>
      </c>
      <c r="GP32" s="23">
        <v>27</v>
      </c>
      <c r="GQ32" s="143" t="s">
        <v>22</v>
      </c>
      <c r="GR32" s="142"/>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RO_Data[5].ACT6[</v>
      </c>
      <c r="HZ32" s="23">
        <v>27</v>
      </c>
      <c r="IA32" s="143" t="s">
        <v>22</v>
      </c>
      <c r="IB32" s="8"/>
      <c r="IC32" s="6" t="str">
        <f t="shared" si="12"/>
        <v>RO_Data[5].STEP_DESC[</v>
      </c>
      <c r="ID32" s="23">
        <v>27</v>
      </c>
      <c r="IE32" s="143" t="s">
        <v>22</v>
      </c>
    </row>
    <row r="33" spans="1:239" x14ac:dyDescent="0.25">
      <c r="A33" s="8">
        <v>28</v>
      </c>
      <c r="B33" s="8" t="str">
        <f t="shared" si="0"/>
        <v/>
      </c>
      <c r="C33" s="8"/>
      <c r="D33" s="6" t="str">
        <f t="shared" si="1"/>
        <v>RO_Data[5].ACK_DESC[</v>
      </c>
      <c r="E33" s="23">
        <v>28</v>
      </c>
      <c r="F33" s="143" t="s">
        <v>22</v>
      </c>
      <c r="G33" s="132">
        <v>0</v>
      </c>
      <c r="H33" s="6" t="str">
        <f t="shared" si="2"/>
        <v>RO_Data[5].MIN[</v>
      </c>
      <c r="I33" s="23">
        <v>28</v>
      </c>
      <c r="J33" s="143" t="s">
        <v>22</v>
      </c>
      <c r="K33" s="129">
        <v>0</v>
      </c>
      <c r="L33" s="6" t="str">
        <f t="shared" si="3"/>
        <v>RO_Data[5].SEC[</v>
      </c>
      <c r="M33" s="23">
        <v>28</v>
      </c>
      <c r="N33" s="143" t="s">
        <v>22</v>
      </c>
      <c r="O33" s="132">
        <v>0</v>
      </c>
      <c r="P33" s="6" t="str">
        <f t="shared" si="4"/>
        <v>RO_Data[5].SETPOINT[</v>
      </c>
      <c r="Q33" s="23">
        <v>28</v>
      </c>
      <c r="R33" s="143"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RO_Data[5].COND1[</v>
      </c>
      <c r="BB33" s="23">
        <v>28</v>
      </c>
      <c r="BC33" s="143" t="s">
        <v>22</v>
      </c>
      <c r="BD33" s="142"/>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RO_Data[5].COND2[</v>
      </c>
      <c r="CL33" s="23">
        <v>28</v>
      </c>
      <c r="CM33" s="143" t="s">
        <v>22</v>
      </c>
      <c r="CN33" s="142"/>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RO_Data[5].COND3[</v>
      </c>
      <c r="DV33" s="23">
        <v>28</v>
      </c>
      <c r="DW33" s="143" t="s">
        <v>22</v>
      </c>
      <c r="DX33" s="142"/>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RO_Data[5].ACT1[</v>
      </c>
      <c r="FF33" s="23">
        <v>28</v>
      </c>
      <c r="FG33" s="143" t="s">
        <v>22</v>
      </c>
      <c r="FH33" s="142"/>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RO_Data[5].ACT5[</v>
      </c>
      <c r="GP33" s="23">
        <v>28</v>
      </c>
      <c r="GQ33" s="143" t="s">
        <v>22</v>
      </c>
      <c r="GR33" s="142"/>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RO_Data[5].ACT6[</v>
      </c>
      <c r="HZ33" s="23">
        <v>28</v>
      </c>
      <c r="IA33" s="143" t="s">
        <v>22</v>
      </c>
      <c r="IB33" s="8"/>
      <c r="IC33" s="6" t="str">
        <f t="shared" si="12"/>
        <v>RO_Data[5].STEP_DESC[</v>
      </c>
      <c r="ID33" s="23">
        <v>28</v>
      </c>
      <c r="IE33" s="143" t="s">
        <v>22</v>
      </c>
    </row>
    <row r="34" spans="1:239" x14ac:dyDescent="0.25">
      <c r="A34" s="8">
        <v>29</v>
      </c>
      <c r="B34" s="8" t="str">
        <f t="shared" si="0"/>
        <v/>
      </c>
      <c r="C34" s="8"/>
      <c r="D34" s="6" t="str">
        <f t="shared" si="1"/>
        <v>RO_Data[5].ACK_DESC[</v>
      </c>
      <c r="E34" s="23">
        <v>29</v>
      </c>
      <c r="F34" s="143" t="s">
        <v>22</v>
      </c>
      <c r="G34" s="132">
        <v>0</v>
      </c>
      <c r="H34" s="6" t="str">
        <f t="shared" si="2"/>
        <v>RO_Data[5].MIN[</v>
      </c>
      <c r="I34" s="23">
        <v>29</v>
      </c>
      <c r="J34" s="143" t="s">
        <v>22</v>
      </c>
      <c r="K34" s="132">
        <v>0</v>
      </c>
      <c r="L34" s="6" t="str">
        <f t="shared" si="3"/>
        <v>RO_Data[5].SEC[</v>
      </c>
      <c r="M34" s="23">
        <v>29</v>
      </c>
      <c r="N34" s="143" t="s">
        <v>22</v>
      </c>
      <c r="O34" s="132">
        <v>0</v>
      </c>
      <c r="P34" s="6" t="str">
        <f t="shared" si="4"/>
        <v>RO_Data[5].SETPOINT[</v>
      </c>
      <c r="Q34" s="23">
        <v>29</v>
      </c>
      <c r="R34" s="143"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RO_Data[5].COND1[</v>
      </c>
      <c r="BB34" s="23">
        <v>29</v>
      </c>
      <c r="BC34" s="143" t="s">
        <v>22</v>
      </c>
      <c r="BD34" s="142"/>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RO_Data[5].COND2[</v>
      </c>
      <c r="CL34" s="23">
        <v>29</v>
      </c>
      <c r="CM34" s="143" t="s">
        <v>22</v>
      </c>
      <c r="CN34" s="142"/>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RO_Data[5].COND3[</v>
      </c>
      <c r="DV34" s="23">
        <v>29</v>
      </c>
      <c r="DW34" s="143" t="s">
        <v>22</v>
      </c>
      <c r="DX34" s="142"/>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RO_Data[5].ACT1[</v>
      </c>
      <c r="FF34" s="23">
        <v>29</v>
      </c>
      <c r="FG34" s="143" t="s">
        <v>22</v>
      </c>
      <c r="FH34" s="142"/>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RO_Data[5].ACT5[</v>
      </c>
      <c r="GP34" s="23">
        <v>29</v>
      </c>
      <c r="GQ34" s="143" t="s">
        <v>22</v>
      </c>
      <c r="GR34" s="142"/>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RO_Data[5].ACT6[</v>
      </c>
      <c r="HZ34" s="23">
        <v>29</v>
      </c>
      <c r="IA34" s="143" t="s">
        <v>22</v>
      </c>
      <c r="IB34" s="8"/>
      <c r="IC34" s="6" t="str">
        <f t="shared" si="12"/>
        <v>RO_Data[5].STEP_DESC[</v>
      </c>
      <c r="ID34" s="23">
        <v>29</v>
      </c>
      <c r="IE34" s="143" t="s">
        <v>22</v>
      </c>
    </row>
    <row r="35" spans="1:239" ht="15.75" thickBot="1" x14ac:dyDescent="0.3">
      <c r="A35" s="42">
        <v>30</v>
      </c>
      <c r="B35" s="42" t="str">
        <f t="shared" si="0"/>
        <v/>
      </c>
      <c r="C35" s="42"/>
      <c r="D35" s="40" t="str">
        <f t="shared" si="1"/>
        <v>RO_Data[5].ACK_DESC[</v>
      </c>
      <c r="E35" s="41">
        <v>30</v>
      </c>
      <c r="F35" s="44" t="s">
        <v>22</v>
      </c>
      <c r="G35" s="134">
        <v>0</v>
      </c>
      <c r="H35" s="40" t="str">
        <f t="shared" si="2"/>
        <v>RO_Data[5].MIN[</v>
      </c>
      <c r="I35" s="41">
        <v>30</v>
      </c>
      <c r="J35" s="44" t="s">
        <v>22</v>
      </c>
      <c r="K35" s="134">
        <v>0</v>
      </c>
      <c r="L35" s="40" t="str">
        <f t="shared" si="3"/>
        <v>RO_Data[5].SEC[</v>
      </c>
      <c r="M35" s="41">
        <v>30</v>
      </c>
      <c r="N35" s="44" t="s">
        <v>22</v>
      </c>
      <c r="O35" s="134">
        <v>0</v>
      </c>
      <c r="P35" s="40" t="str">
        <f t="shared" si="4"/>
        <v>RO_Data[5].SETPOINT[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RO_Data[5].COND1[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RO_Data[5].COND2[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RO_Data[5].COND3[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RO_Data[5].ACT1[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RO_Data[5].ACT5[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RO_Data[5].ACT6[</v>
      </c>
      <c r="HZ35" s="41">
        <v>30</v>
      </c>
      <c r="IA35" s="44" t="s">
        <v>22</v>
      </c>
      <c r="IB35" s="42"/>
      <c r="IC35" s="40" t="str">
        <f t="shared" si="12"/>
        <v>RO_Data[5].STEP_DESC[</v>
      </c>
      <c r="ID35" s="41">
        <v>30</v>
      </c>
      <c r="IE35" s="44" t="s">
        <v>22</v>
      </c>
    </row>
  </sheetData>
  <mergeCells count="51">
    <mergeCell ref="HY4:IA4"/>
    <mergeCell ref="IC4:IE4"/>
    <mergeCell ref="D4:F4"/>
    <mergeCell ref="H4:J4"/>
    <mergeCell ref="L4:N4"/>
    <mergeCell ref="P4:R4"/>
    <mergeCell ref="BA4:BC4"/>
    <mergeCell ref="CK4:CM4"/>
    <mergeCell ref="FE3:FG3"/>
    <mergeCell ref="FH3:GM3"/>
    <mergeCell ref="GO3:GQ3"/>
    <mergeCell ref="GR3:HW3"/>
    <mergeCell ref="DU4:DW4"/>
    <mergeCell ref="FE4:FG4"/>
    <mergeCell ref="GO4:GQ4"/>
    <mergeCell ref="HY2:IA2"/>
    <mergeCell ref="IC2:IE2"/>
    <mergeCell ref="HY3:IA3"/>
    <mergeCell ref="IC3:IE3"/>
    <mergeCell ref="BA3:BC3"/>
    <mergeCell ref="BD3:CI3"/>
    <mergeCell ref="CK3:CM3"/>
    <mergeCell ref="CN3:DS3"/>
    <mergeCell ref="DU3:DW3"/>
    <mergeCell ref="DX3:FC3"/>
    <mergeCell ref="D3:F3"/>
    <mergeCell ref="H3:J3"/>
    <mergeCell ref="L3:N3"/>
    <mergeCell ref="P3:R3"/>
    <mergeCell ref="T3:AY3"/>
    <mergeCell ref="D2:F2"/>
    <mergeCell ref="H2:J2"/>
    <mergeCell ref="L2:N2"/>
    <mergeCell ref="P2:R2"/>
    <mergeCell ref="BA2:BC2"/>
    <mergeCell ref="CK2:CM2"/>
    <mergeCell ref="BD1:CM1"/>
    <mergeCell ref="CN1:DW1"/>
    <mergeCell ref="DX1:FG1"/>
    <mergeCell ref="FH1:GQ1"/>
    <mergeCell ref="DU2:DW2"/>
    <mergeCell ref="FE2:FG2"/>
    <mergeCell ref="GO2:GQ2"/>
    <mergeCell ref="GR1:IA1"/>
    <mergeCell ref="IB1:IE1"/>
    <mergeCell ref="A1:B1"/>
    <mergeCell ref="C1:F1"/>
    <mergeCell ref="G1:J1"/>
    <mergeCell ref="K1:N1"/>
    <mergeCell ref="O1:R1"/>
    <mergeCell ref="T1:BC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15" t="s">
        <v>107</v>
      </c>
      <c r="H2" s="178"/>
      <c r="I2" s="155"/>
      <c r="J2" s="188"/>
      <c r="K2" s="115"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70" t="s">
        <v>20</v>
      </c>
      <c r="E3" s="171"/>
      <c r="F3" s="172"/>
      <c r="G3" s="113" t="s">
        <v>15</v>
      </c>
      <c r="H3" s="181" t="s">
        <v>20</v>
      </c>
      <c r="I3" s="171"/>
      <c r="J3" s="172"/>
      <c r="K3" s="118" t="s">
        <v>15</v>
      </c>
      <c r="L3" s="181" t="s">
        <v>20</v>
      </c>
      <c r="M3" s="171"/>
      <c r="N3" s="172"/>
      <c r="O3" s="118"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112"/>
      <c r="D4" s="184"/>
      <c r="E4" s="185"/>
      <c r="F4" s="187"/>
      <c r="G4" s="7"/>
      <c r="H4" s="184"/>
      <c r="I4" s="185"/>
      <c r="J4" s="187"/>
      <c r="K4" s="7"/>
      <c r="L4" s="184"/>
      <c r="M4" s="185"/>
      <c r="N4" s="187"/>
      <c r="O4" s="5"/>
      <c r="P4" s="184"/>
      <c r="Q4" s="185"/>
      <c r="R4" s="187"/>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24" si="0">IF($IB5&lt;&gt;"", $IB5, "")</f>
        <v>HOME</v>
      </c>
      <c r="C5" s="47"/>
      <c r="D5" s="22" t="s">
        <v>404</v>
      </c>
      <c r="E5" s="23">
        <v>0</v>
      </c>
      <c r="F5" s="112" t="s">
        <v>22</v>
      </c>
      <c r="G5" s="129">
        <v>0</v>
      </c>
      <c r="H5" s="22" t="s">
        <v>405</v>
      </c>
      <c r="I5" s="23">
        <v>0</v>
      </c>
      <c r="J5" s="112" t="s">
        <v>22</v>
      </c>
      <c r="K5" s="129">
        <v>0</v>
      </c>
      <c r="L5" s="22" t="s">
        <v>406</v>
      </c>
      <c r="M5" s="23">
        <v>0</v>
      </c>
      <c r="N5" s="112" t="s">
        <v>22</v>
      </c>
      <c r="O5" s="132">
        <v>0</v>
      </c>
      <c r="P5" s="22" t="s">
        <v>407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408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409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410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411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412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413</v>
      </c>
      <c r="HZ5" s="23">
        <v>0</v>
      </c>
      <c r="IA5" s="112" t="s">
        <v>22</v>
      </c>
      <c r="IB5" s="10" t="s">
        <v>206</v>
      </c>
      <c r="IC5" s="22" t="s">
        <v>414</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RO_Data[6].COND1[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25">
      <c r="A8" s="8">
        <v>3</v>
      </c>
      <c r="B8" s="8" t="str">
        <f t="shared" si="0"/>
        <v>RINSING STAGES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RO_Data[6].COND1[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RO_Data[6].COND3[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226</v>
      </c>
      <c r="IC8" s="6" t="str">
        <f t="shared" si="12"/>
        <v>RO_Data[6].STEP_DESC[</v>
      </c>
      <c r="ID8" s="23">
        <f t="shared" si="23"/>
        <v>3</v>
      </c>
      <c r="IE8" s="112" t="s">
        <v>22</v>
      </c>
    </row>
    <row r="9" spans="1:239" x14ac:dyDescent="0.25">
      <c r="A9" s="8">
        <v>4</v>
      </c>
      <c r="B9" s="8" t="str">
        <f t="shared" si="0"/>
        <v>PUMPING DOWN FEED TANK</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RO_Data[6].COND1[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RO_Data[6].COND3[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RO_Data[6].ACT6[</v>
      </c>
      <c r="HZ9" s="23">
        <f t="shared" si="22"/>
        <v>4</v>
      </c>
      <c r="IA9" s="112" t="s">
        <v>22</v>
      </c>
      <c r="IB9" s="10" t="s">
        <v>230</v>
      </c>
      <c r="IC9" s="6" t="str">
        <f t="shared" si="12"/>
        <v>RO_Data[6].STEP_DESC[</v>
      </c>
      <c r="ID9" s="23">
        <f t="shared" si="23"/>
        <v>4</v>
      </c>
      <c r="IE9" s="112" t="s">
        <v>22</v>
      </c>
    </row>
    <row r="10" spans="1:239" x14ac:dyDescent="0.25">
      <c r="A10" s="8">
        <v>5</v>
      </c>
      <c r="B10" s="8" t="str">
        <f t="shared" si="0"/>
        <v>DRAINING FEED TANK</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RO_Data[6].ACT6[</v>
      </c>
      <c r="HZ10" s="23">
        <f t="shared" si="22"/>
        <v>5</v>
      </c>
      <c r="IA10" s="112" t="s">
        <v>22</v>
      </c>
      <c r="IB10" s="10" t="s">
        <v>231</v>
      </c>
      <c r="IC10" s="6" t="str">
        <f t="shared" si="12"/>
        <v>RO_Data[6].STEP_DESC[</v>
      </c>
      <c r="ID10" s="23">
        <f t="shared" si="23"/>
        <v>5</v>
      </c>
      <c r="IE10" s="112" t="s">
        <v>22</v>
      </c>
    </row>
    <row r="11" spans="1:239" x14ac:dyDescent="0.25">
      <c r="A11" s="8">
        <v>6</v>
      </c>
      <c r="B11" s="8" t="str">
        <f t="shared" si="0"/>
        <v>CYCLE COMPLETE</v>
      </c>
      <c r="C11" s="47"/>
      <c r="D11" s="6" t="str">
        <f t="shared" si="1"/>
        <v>RO_Data[6].ACK_DESC[</v>
      </c>
      <c r="E11" s="23">
        <f t="shared" si="13"/>
        <v>6</v>
      </c>
      <c r="F11" s="112" t="s">
        <v>22</v>
      </c>
      <c r="G11" s="129">
        <v>0</v>
      </c>
      <c r="H11" s="6" t="str">
        <f t="shared" si="2"/>
        <v>RO_Data[6].MIN[</v>
      </c>
      <c r="I11" s="23">
        <f t="shared" si="14"/>
        <v>6</v>
      </c>
      <c r="J11" s="112" t="s">
        <v>22</v>
      </c>
      <c r="K11" s="129">
        <v>0</v>
      </c>
      <c r="L11" s="6" t="str">
        <f t="shared" si="3"/>
        <v>RO_Data[6].SEC[</v>
      </c>
      <c r="M11" s="23">
        <f t="shared" si="15"/>
        <v>6</v>
      </c>
      <c r="N11" s="112" t="s">
        <v>22</v>
      </c>
      <c r="O11" s="132">
        <v>0</v>
      </c>
      <c r="P11" s="6" t="str">
        <f t="shared" si="4"/>
        <v>RO_Data[6].SETPOINT[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RO_Data[6].COND1[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RO_Data[6].COND3[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RO_Data[6].ACT5[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RO_Data[6].ACT6[</v>
      </c>
      <c r="HZ11" s="23">
        <f t="shared" si="22"/>
        <v>6</v>
      </c>
      <c r="IA11" s="112" t="s">
        <v>22</v>
      </c>
      <c r="IB11" s="10" t="s">
        <v>223</v>
      </c>
      <c r="IC11" s="6" t="str">
        <f t="shared" si="12"/>
        <v>RO_Data[6].STEP_DESC[</v>
      </c>
      <c r="ID11" s="23">
        <f t="shared" si="23"/>
        <v>6</v>
      </c>
      <c r="IE11" s="112" t="s">
        <v>22</v>
      </c>
    </row>
    <row r="12" spans="1:239" x14ac:dyDescent="0.25">
      <c r="A12" s="8">
        <v>7</v>
      </c>
      <c r="B12" s="8" t="str">
        <f t="shared" si="0"/>
        <v/>
      </c>
      <c r="C12" s="47"/>
      <c r="D12" s="6" t="str">
        <f t="shared" si="1"/>
        <v>RO_Data[6].ACK_DESC[</v>
      </c>
      <c r="E12" s="23">
        <f t="shared" si="13"/>
        <v>7</v>
      </c>
      <c r="F12" s="112" t="s">
        <v>22</v>
      </c>
      <c r="G12" s="129">
        <v>0</v>
      </c>
      <c r="H12" s="6" t="str">
        <f t="shared" si="2"/>
        <v>RO_Data[6].MIN[</v>
      </c>
      <c r="I12" s="23">
        <f t="shared" si="14"/>
        <v>7</v>
      </c>
      <c r="J12" s="112" t="s">
        <v>22</v>
      </c>
      <c r="K12" s="129">
        <v>0</v>
      </c>
      <c r="L12" s="6" t="str">
        <f t="shared" si="3"/>
        <v>RO_Data[6].SEC[</v>
      </c>
      <c r="M12" s="23">
        <f t="shared" si="15"/>
        <v>7</v>
      </c>
      <c r="N12" s="112" t="s">
        <v>22</v>
      </c>
      <c r="O12" s="132">
        <v>0</v>
      </c>
      <c r="P12" s="6" t="str">
        <f t="shared" si="4"/>
        <v>RO_Data[6].SETPOINT[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RO_Data[6].COND1[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c r="IC12" s="6" t="str">
        <f t="shared" si="12"/>
        <v>RO_Data[6].STEP_DESC[</v>
      </c>
      <c r="ID12" s="23">
        <f t="shared" si="23"/>
        <v>7</v>
      </c>
      <c r="IE12" s="112" t="s">
        <v>22</v>
      </c>
    </row>
    <row r="13" spans="1:239" x14ac:dyDescent="0.25">
      <c r="A13" s="8">
        <v>8</v>
      </c>
      <c r="B13" s="8" t="str">
        <f t="shared" si="0"/>
        <v/>
      </c>
      <c r="C13" s="47"/>
      <c r="D13" s="6" t="str">
        <f t="shared" si="1"/>
        <v>RO_Data[6].ACK_DESC[</v>
      </c>
      <c r="E13" s="23">
        <f t="shared" si="13"/>
        <v>8</v>
      </c>
      <c r="F13" s="112" t="s">
        <v>22</v>
      </c>
      <c r="G13" s="129">
        <v>0</v>
      </c>
      <c r="H13" s="6" t="str">
        <f t="shared" si="2"/>
        <v>RO_Data[6].MIN[</v>
      </c>
      <c r="I13" s="23">
        <f t="shared" si="14"/>
        <v>8</v>
      </c>
      <c r="J13" s="112" t="s">
        <v>22</v>
      </c>
      <c r="K13" s="129">
        <v>0</v>
      </c>
      <c r="L13" s="6" t="str">
        <f t="shared" si="3"/>
        <v>RO_Data[6].SEC[</v>
      </c>
      <c r="M13" s="23">
        <f t="shared" si="15"/>
        <v>8</v>
      </c>
      <c r="N13" s="112" t="s">
        <v>22</v>
      </c>
      <c r="O13" s="132">
        <v>0</v>
      </c>
      <c r="P13" s="6" t="str">
        <f t="shared" si="4"/>
        <v>RO_Data[6].SETPOINT[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c r="IC13" s="6" t="str">
        <f t="shared" si="12"/>
        <v>RO_Data[6].STEP_DESC[</v>
      </c>
      <c r="ID13" s="23">
        <f t="shared" si="23"/>
        <v>8</v>
      </c>
      <c r="IE13" s="112" t="s">
        <v>22</v>
      </c>
    </row>
    <row r="14" spans="1:239" x14ac:dyDescent="0.25">
      <c r="A14" s="8">
        <v>9</v>
      </c>
      <c r="B14" s="8" t="str">
        <f t="shared" si="0"/>
        <v/>
      </c>
      <c r="C14" s="47"/>
      <c r="D14" s="6" t="str">
        <f t="shared" si="1"/>
        <v>RO_Data[6].ACK_DESC[</v>
      </c>
      <c r="E14" s="23">
        <f t="shared" si="13"/>
        <v>9</v>
      </c>
      <c r="F14" s="112" t="s">
        <v>22</v>
      </c>
      <c r="G14" s="129">
        <v>0</v>
      </c>
      <c r="H14" s="6" t="str">
        <f t="shared" si="2"/>
        <v>RO_Data[6].MIN[</v>
      </c>
      <c r="I14" s="23">
        <f t="shared" si="14"/>
        <v>9</v>
      </c>
      <c r="J14" s="112" t="s">
        <v>22</v>
      </c>
      <c r="K14" s="129">
        <v>0</v>
      </c>
      <c r="L14" s="6" t="str">
        <f t="shared" si="3"/>
        <v>RO_Data[6].SEC[</v>
      </c>
      <c r="M14" s="23">
        <f t="shared" si="15"/>
        <v>9</v>
      </c>
      <c r="N14" s="112" t="s">
        <v>22</v>
      </c>
      <c r="O14" s="132">
        <v>0</v>
      </c>
      <c r="P14" s="6" t="str">
        <f t="shared" si="4"/>
        <v>RO_Data[6].SETPOINT[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RO_Data[6].COND1[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c r="IC14" s="6" t="str">
        <f t="shared" si="12"/>
        <v>RO_Data[6].STEP_DESC[</v>
      </c>
      <c r="ID14" s="23">
        <f t="shared" si="23"/>
        <v>9</v>
      </c>
      <c r="IE14" s="112" t="s">
        <v>22</v>
      </c>
    </row>
    <row r="15" spans="1:239" x14ac:dyDescent="0.25">
      <c r="A15" s="8">
        <v>10</v>
      </c>
      <c r="B15" s="8" t="str">
        <f t="shared" si="0"/>
        <v/>
      </c>
      <c r="C15" s="47"/>
      <c r="D15" s="6" t="str">
        <f t="shared" si="1"/>
        <v>RO_Data[6].ACK_DESC[</v>
      </c>
      <c r="E15" s="23">
        <f t="shared" si="13"/>
        <v>10</v>
      </c>
      <c r="F15" s="112" t="s">
        <v>22</v>
      </c>
      <c r="G15" s="129">
        <v>0</v>
      </c>
      <c r="H15" s="6" t="str">
        <f t="shared" si="2"/>
        <v>RO_Data[6].MIN[</v>
      </c>
      <c r="I15" s="23">
        <f t="shared" si="14"/>
        <v>10</v>
      </c>
      <c r="J15" s="112" t="s">
        <v>22</v>
      </c>
      <c r="K15" s="129">
        <v>0</v>
      </c>
      <c r="L15" s="6" t="str">
        <f t="shared" si="3"/>
        <v>RO_Data[6].SEC[</v>
      </c>
      <c r="M15" s="23">
        <f t="shared" si="15"/>
        <v>10</v>
      </c>
      <c r="N15" s="112" t="s">
        <v>22</v>
      </c>
      <c r="O15" s="132">
        <v>0</v>
      </c>
      <c r="P15" s="6" t="str">
        <f t="shared" si="4"/>
        <v>RO_Data[6].SETPOINT[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RO_Data[6].COND1[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RO_Data[6].COND3[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c r="IC15" s="6" t="str">
        <f t="shared" si="12"/>
        <v>RO_Data[6].STEP_DESC[</v>
      </c>
      <c r="ID15" s="23">
        <f t="shared" si="23"/>
        <v>10</v>
      </c>
      <c r="IE15" s="112" t="s">
        <v>22</v>
      </c>
    </row>
    <row r="16" spans="1:239" x14ac:dyDescent="0.25">
      <c r="A16" s="8">
        <v>11</v>
      </c>
      <c r="B16" s="8" t="str">
        <f t="shared" si="0"/>
        <v/>
      </c>
      <c r="C16" s="47"/>
      <c r="D16" s="6" t="str">
        <f t="shared" si="1"/>
        <v>RO_Data[6].ACK_DESC[</v>
      </c>
      <c r="E16" s="23">
        <f t="shared" si="13"/>
        <v>11</v>
      </c>
      <c r="F16" s="112" t="s">
        <v>22</v>
      </c>
      <c r="G16" s="129">
        <v>0</v>
      </c>
      <c r="H16" s="6" t="str">
        <f t="shared" si="2"/>
        <v>RO_Data[6].MIN[</v>
      </c>
      <c r="I16" s="23">
        <f t="shared" si="14"/>
        <v>11</v>
      </c>
      <c r="J16" s="112" t="s">
        <v>22</v>
      </c>
      <c r="K16" s="129">
        <v>0</v>
      </c>
      <c r="L16" s="6" t="str">
        <f t="shared" si="3"/>
        <v>RO_Data[6].SEC[</v>
      </c>
      <c r="M16" s="23">
        <f t="shared" si="15"/>
        <v>11</v>
      </c>
      <c r="N16" s="112" t="s">
        <v>22</v>
      </c>
      <c r="O16" s="132">
        <v>0</v>
      </c>
      <c r="P16" s="6" t="str">
        <f t="shared" si="4"/>
        <v>RO_Data[6].SETPOINT[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RO_Data[6].COND1[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RO_Data[6].COND3[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c r="IC16" s="6" t="str">
        <f t="shared" si="12"/>
        <v>RO_Data[6].STEP_DESC[</v>
      </c>
      <c r="ID16" s="23">
        <f t="shared" si="23"/>
        <v>11</v>
      </c>
      <c r="IE16" s="112" t="s">
        <v>22</v>
      </c>
    </row>
    <row r="17" spans="1:239" x14ac:dyDescent="0.25">
      <c r="A17" s="8">
        <v>12</v>
      </c>
      <c r="B17" s="8" t="str">
        <f t="shared" si="0"/>
        <v/>
      </c>
      <c r="C17" s="47"/>
      <c r="D17" s="6" t="str">
        <f t="shared" si="1"/>
        <v>RO_Data[6].ACK_DESC[</v>
      </c>
      <c r="E17" s="23">
        <f t="shared" si="13"/>
        <v>12</v>
      </c>
      <c r="F17" s="112" t="s">
        <v>22</v>
      </c>
      <c r="G17" s="129">
        <v>0</v>
      </c>
      <c r="H17" s="6" t="str">
        <f t="shared" si="2"/>
        <v>RO_Data[6].MIN[</v>
      </c>
      <c r="I17" s="23">
        <f t="shared" si="14"/>
        <v>12</v>
      </c>
      <c r="J17" s="112" t="s">
        <v>22</v>
      </c>
      <c r="K17" s="129">
        <v>0</v>
      </c>
      <c r="L17" s="6" t="str">
        <f t="shared" si="3"/>
        <v>RO_Data[6].SEC[</v>
      </c>
      <c r="M17" s="23">
        <f t="shared" si="15"/>
        <v>12</v>
      </c>
      <c r="N17" s="112" t="s">
        <v>22</v>
      </c>
      <c r="O17" s="132">
        <v>0</v>
      </c>
      <c r="P17" s="6" t="str">
        <f t="shared" si="4"/>
        <v>RO_Data[6].SETPOINT[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RO_Data[6].COND1[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c r="IC17" s="6" t="str">
        <f t="shared" si="12"/>
        <v>RO_Data[6].STEP_DESC[</v>
      </c>
      <c r="ID17" s="23">
        <f t="shared" si="23"/>
        <v>12</v>
      </c>
      <c r="IE17" s="112" t="s">
        <v>22</v>
      </c>
    </row>
    <row r="18" spans="1:239" x14ac:dyDescent="0.25">
      <c r="A18" s="8">
        <v>13</v>
      </c>
      <c r="B18" s="8" t="str">
        <f t="shared" si="0"/>
        <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B3" sqref="B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15" t="s">
        <v>107</v>
      </c>
      <c r="H2" s="178"/>
      <c r="I2" s="155"/>
      <c r="J2" s="188"/>
      <c r="K2" s="115"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70" t="s">
        <v>20</v>
      </c>
      <c r="E3" s="171"/>
      <c r="F3" s="172"/>
      <c r="G3" s="113" t="s">
        <v>15</v>
      </c>
      <c r="H3" s="181" t="s">
        <v>20</v>
      </c>
      <c r="I3" s="171"/>
      <c r="J3" s="172"/>
      <c r="K3" s="118" t="s">
        <v>15</v>
      </c>
      <c r="L3" s="181" t="s">
        <v>20</v>
      </c>
      <c r="M3" s="171"/>
      <c r="N3" s="172"/>
      <c r="O3" s="118"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47"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112"/>
      <c r="D4" s="184"/>
      <c r="E4" s="185"/>
      <c r="F4" s="187"/>
      <c r="G4" s="7"/>
      <c r="H4" s="184"/>
      <c r="I4" s="185"/>
      <c r="J4" s="187"/>
      <c r="K4" s="7"/>
      <c r="L4" s="184"/>
      <c r="M4" s="185"/>
      <c r="N4" s="187"/>
      <c r="O4" s="5"/>
      <c r="P4" s="184"/>
      <c r="Q4" s="185"/>
      <c r="R4" s="187"/>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24" si="0">IF($IB5&lt;&gt;"", $IB5, "")</f>
        <v>HOME</v>
      </c>
      <c r="C5" s="47"/>
      <c r="D5" s="22" t="s">
        <v>457</v>
      </c>
      <c r="E5" s="23">
        <v>0</v>
      </c>
      <c r="F5" s="112" t="s">
        <v>22</v>
      </c>
      <c r="G5" s="129">
        <v>0</v>
      </c>
      <c r="H5" s="22" t="s">
        <v>458</v>
      </c>
      <c r="I5" s="23">
        <v>0</v>
      </c>
      <c r="J5" s="112" t="s">
        <v>22</v>
      </c>
      <c r="K5" s="129">
        <v>0</v>
      </c>
      <c r="L5" s="22" t="s">
        <v>459</v>
      </c>
      <c r="M5" s="23">
        <v>0</v>
      </c>
      <c r="N5" s="112" t="s">
        <v>22</v>
      </c>
      <c r="O5" s="132">
        <v>0</v>
      </c>
      <c r="P5" s="22" t="s">
        <v>460</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461</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462</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463</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464</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465</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466</v>
      </c>
      <c r="HZ5" s="23">
        <v>0</v>
      </c>
      <c r="IA5" s="112" t="s">
        <v>22</v>
      </c>
      <c r="IB5" s="10" t="s">
        <v>206</v>
      </c>
      <c r="IC5" s="22" t="s">
        <v>467</v>
      </c>
      <c r="ID5" s="23">
        <v>0</v>
      </c>
      <c r="IE5" s="112" t="s">
        <v>22</v>
      </c>
    </row>
    <row r="6" spans="1:239" x14ac:dyDescent="0.25">
      <c r="A6" s="8">
        <v>1</v>
      </c>
      <c r="B6" s="8" t="str">
        <f t="shared" si="0"/>
        <v>FILLING FEED TANK TO SET POINT LEVEL</v>
      </c>
      <c r="C6" s="47"/>
      <c r="D6" s="6" t="str">
        <f t="shared" ref="D6:D24" si="1">D$5</f>
        <v>RO_Data[7].ACK_DESC[</v>
      </c>
      <c r="E6" s="23">
        <f>E5+1</f>
        <v>1</v>
      </c>
      <c r="F6" s="112" t="s">
        <v>22</v>
      </c>
      <c r="G6" s="129">
        <v>0</v>
      </c>
      <c r="H6" s="6" t="str">
        <f t="shared" ref="H6:H24" si="2">H$5</f>
        <v>RO_Data[7].MIN[</v>
      </c>
      <c r="I6" s="23">
        <f>I5+1</f>
        <v>1</v>
      </c>
      <c r="J6" s="112" t="s">
        <v>22</v>
      </c>
      <c r="K6" s="129">
        <v>1</v>
      </c>
      <c r="L6" s="6" t="str">
        <f t="shared" ref="L6:L24" si="3">L$5</f>
        <v>RO_Data[7].SEC[</v>
      </c>
      <c r="M6" s="23">
        <f>M5+1</f>
        <v>1</v>
      </c>
      <c r="N6" s="112" t="s">
        <v>22</v>
      </c>
      <c r="O6" s="132">
        <v>0</v>
      </c>
      <c r="P6" s="6" t="str">
        <f t="shared" ref="P6:P24" si="4">P$5</f>
        <v>RO_Data[7].SETPOINT[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RO_Data[7].COND1[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RO_Data[7].COND2[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RO_Data[7].COND3[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RO_Data[7].ACT1[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RO_Data[7].ACT5[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RO_Data[7].ACT6[</v>
      </c>
      <c r="HZ6" s="23">
        <f>HZ5+1</f>
        <v>1</v>
      </c>
      <c r="IA6" s="112" t="s">
        <v>22</v>
      </c>
      <c r="IB6" s="10" t="s">
        <v>224</v>
      </c>
      <c r="IC6" s="6" t="str">
        <f t="shared" ref="IC6:IC24" si="12">IC$5</f>
        <v>RO_Data[7].STEP_DESC[</v>
      </c>
      <c r="ID6" s="23">
        <f>ID5+1</f>
        <v>1</v>
      </c>
      <c r="IE6" s="112" t="s">
        <v>22</v>
      </c>
    </row>
    <row r="7" spans="1:239" x14ac:dyDescent="0.25">
      <c r="A7" s="8">
        <v>2</v>
      </c>
      <c r="B7" s="8" t="str">
        <f t="shared" si="0"/>
        <v>STARTING PUMPS</v>
      </c>
      <c r="C7" s="47"/>
      <c r="D7" s="6" t="str">
        <f t="shared" si="1"/>
        <v>RO_Data[7].ACK_DESC[</v>
      </c>
      <c r="E7" s="23">
        <f t="shared" ref="E7:E24" si="13">E6+1</f>
        <v>2</v>
      </c>
      <c r="F7" s="112" t="s">
        <v>22</v>
      </c>
      <c r="G7" s="129">
        <v>0</v>
      </c>
      <c r="H7" s="6" t="str">
        <f t="shared" si="2"/>
        <v>RO_Data[7].MIN[</v>
      </c>
      <c r="I7" s="23">
        <f t="shared" ref="I7:I24" si="14">I6+1</f>
        <v>2</v>
      </c>
      <c r="J7" s="112" t="s">
        <v>22</v>
      </c>
      <c r="K7" s="129">
        <v>30</v>
      </c>
      <c r="L7" s="6" t="str">
        <f t="shared" si="3"/>
        <v>RO_Data[7].SEC[</v>
      </c>
      <c r="M7" s="23">
        <f t="shared" ref="M7:M24" si="15">M6+1</f>
        <v>2</v>
      </c>
      <c r="N7" s="112" t="s">
        <v>22</v>
      </c>
      <c r="O7" s="132">
        <v>0</v>
      </c>
      <c r="P7" s="6" t="str">
        <f t="shared" si="4"/>
        <v>RO_Data[7].SETPOINT[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RO_Data[7].COND1[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RO_Data[7].COND2[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RO_Data[7].COND3[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RO_Data[7].ACT1[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RO_Data[7].ACT5[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RO_Data[7].ACT6[</v>
      </c>
      <c r="HZ7" s="23">
        <f t="shared" ref="HZ7:HZ24" si="22">HZ6+1</f>
        <v>2</v>
      </c>
      <c r="IA7" s="112" t="s">
        <v>22</v>
      </c>
      <c r="IB7" s="10" t="s">
        <v>225</v>
      </c>
      <c r="IC7" s="6" t="str">
        <f t="shared" si="12"/>
        <v>RO_Data[7].STEP_DESC[</v>
      </c>
      <c r="ID7" s="23">
        <f t="shared" ref="ID7:ID24" si="23">ID6+1</f>
        <v>2</v>
      </c>
      <c r="IE7" s="112" t="s">
        <v>22</v>
      </c>
    </row>
    <row r="8" spans="1:239" x14ac:dyDescent="0.25">
      <c r="A8" s="8">
        <v>3</v>
      </c>
      <c r="B8" s="8" t="str">
        <f t="shared" si="0"/>
        <v>ADDING CHEMICALS</v>
      </c>
      <c r="C8" s="47"/>
      <c r="D8" s="6" t="str">
        <f t="shared" si="1"/>
        <v>RO_Data[7].ACK_DESC[</v>
      </c>
      <c r="E8" s="23">
        <f t="shared" si="13"/>
        <v>3</v>
      </c>
      <c r="F8" s="112" t="s">
        <v>22</v>
      </c>
      <c r="G8" s="129">
        <v>0</v>
      </c>
      <c r="H8" s="6" t="str">
        <f t="shared" si="2"/>
        <v>RO_Data[7].MIN[</v>
      </c>
      <c r="I8" s="23">
        <f t="shared" si="14"/>
        <v>3</v>
      </c>
      <c r="J8" s="112" t="s">
        <v>22</v>
      </c>
      <c r="K8" s="129">
        <v>1</v>
      </c>
      <c r="L8" s="6" t="str">
        <f t="shared" si="3"/>
        <v>RO_Data[7].SEC[</v>
      </c>
      <c r="M8" s="23">
        <f t="shared" si="15"/>
        <v>3</v>
      </c>
      <c r="N8" s="112" t="s">
        <v>22</v>
      </c>
      <c r="O8" s="132">
        <v>0</v>
      </c>
      <c r="P8" s="6" t="str">
        <f t="shared" si="4"/>
        <v>RO_Data[7].SETPOINT[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RO_Data[7].COND1[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RO_Data[7].COND2[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RO_Data[7].COND3[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RO_Data[7].ACT1[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RO_Data[7].ACT5[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RO_Data[7].ACT6[</v>
      </c>
      <c r="HZ8" s="23">
        <f t="shared" si="22"/>
        <v>3</v>
      </c>
      <c r="IA8" s="112" t="s">
        <v>22</v>
      </c>
      <c r="IB8" s="10" t="s">
        <v>227</v>
      </c>
      <c r="IC8" s="6" t="str">
        <f t="shared" si="12"/>
        <v>RO_Data[7].STEP_DESC[</v>
      </c>
      <c r="ID8" s="23">
        <f t="shared" si="23"/>
        <v>3</v>
      </c>
      <c r="IE8" s="112" t="s">
        <v>22</v>
      </c>
    </row>
    <row r="9" spans="1:239" x14ac:dyDescent="0.25">
      <c r="A9" s="8">
        <v>4</v>
      </c>
      <c r="B9" s="8" t="str">
        <f t="shared" si="0"/>
        <v>CHECK PH - HOLD FOR ACKNOWLEDGE</v>
      </c>
      <c r="C9" s="47"/>
      <c r="D9" s="6" t="str">
        <f t="shared" si="1"/>
        <v>RO_Data[7].ACK_DESC[</v>
      </c>
      <c r="E9" s="23">
        <f t="shared" si="13"/>
        <v>4</v>
      </c>
      <c r="F9" s="112" t="s">
        <v>22</v>
      </c>
      <c r="G9" s="129">
        <v>0</v>
      </c>
      <c r="H9" s="6" t="str">
        <f t="shared" si="2"/>
        <v>RO_Data[7].MIN[</v>
      </c>
      <c r="I9" s="23">
        <f t="shared" si="14"/>
        <v>4</v>
      </c>
      <c r="J9" s="112" t="s">
        <v>22</v>
      </c>
      <c r="K9" s="129">
        <v>1</v>
      </c>
      <c r="L9" s="6" t="str">
        <f t="shared" si="3"/>
        <v>RO_Data[7].SEC[</v>
      </c>
      <c r="M9" s="23">
        <f t="shared" si="15"/>
        <v>4</v>
      </c>
      <c r="N9" s="112" t="s">
        <v>22</v>
      </c>
      <c r="O9" s="132">
        <v>0</v>
      </c>
      <c r="P9" s="6" t="str">
        <f t="shared" si="4"/>
        <v>RO_Data[7].SETPOINT[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RO_Data[7].COND1[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RO_Data[7].COND2[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RO_Data[7].COND3[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RO_Data[7].ACT1[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RO_Data[7].ACT5[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RO_Data[7].ACT6[</v>
      </c>
      <c r="HZ9" s="23">
        <f t="shared" si="22"/>
        <v>4</v>
      </c>
      <c r="IA9" s="112" t="s">
        <v>22</v>
      </c>
      <c r="IB9" s="10" t="s">
        <v>355</v>
      </c>
      <c r="IC9" s="6" t="str">
        <f t="shared" si="12"/>
        <v>RO_Data[7].STEP_DESC[</v>
      </c>
      <c r="ID9" s="23">
        <f t="shared" si="23"/>
        <v>4</v>
      </c>
      <c r="IE9" s="112" t="s">
        <v>22</v>
      </c>
    </row>
    <row r="10" spans="1:239" x14ac:dyDescent="0.25">
      <c r="A10" s="8">
        <v>5</v>
      </c>
      <c r="B10" s="8" t="str">
        <f t="shared" si="0"/>
        <v>SANITIZE</v>
      </c>
      <c r="C10" s="47"/>
      <c r="D10" s="6" t="str">
        <f t="shared" si="1"/>
        <v>RO_Data[7].ACK_DESC[</v>
      </c>
      <c r="E10" s="23">
        <f t="shared" si="13"/>
        <v>5</v>
      </c>
      <c r="F10" s="112" t="s">
        <v>22</v>
      </c>
      <c r="G10" s="129">
        <v>0</v>
      </c>
      <c r="H10" s="6" t="str">
        <f t="shared" si="2"/>
        <v>RO_Data[7].MIN[</v>
      </c>
      <c r="I10" s="23">
        <f t="shared" si="14"/>
        <v>5</v>
      </c>
      <c r="J10" s="112" t="s">
        <v>22</v>
      </c>
      <c r="K10" s="129">
        <v>1</v>
      </c>
      <c r="L10" s="6" t="str">
        <f t="shared" si="3"/>
        <v>RO_Data[7].SEC[</v>
      </c>
      <c r="M10" s="23">
        <f t="shared" si="15"/>
        <v>5</v>
      </c>
      <c r="N10" s="112" t="s">
        <v>22</v>
      </c>
      <c r="O10" s="132">
        <v>0</v>
      </c>
      <c r="P10" s="6" t="str">
        <f t="shared" si="4"/>
        <v>RO_Data[7].SETPOINT[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RO_Data[7].COND1[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RO_Data[7].COND2[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RO_Data[7].COND3[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RO_Data[7].ACT1[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RO_Data[7].ACT5[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RO_Data[7].ACT6[</v>
      </c>
      <c r="HZ10" s="23">
        <f t="shared" si="22"/>
        <v>5</v>
      </c>
      <c r="IA10" s="112" t="s">
        <v>22</v>
      </c>
      <c r="IB10" s="10" t="s">
        <v>111</v>
      </c>
      <c r="IC10" s="6" t="str">
        <f t="shared" si="12"/>
        <v>RO_Data[7].STEP_DESC[</v>
      </c>
      <c r="ID10" s="23">
        <f t="shared" si="23"/>
        <v>5</v>
      </c>
      <c r="IE10" s="112" t="s">
        <v>22</v>
      </c>
    </row>
    <row r="11" spans="1:239" x14ac:dyDescent="0.25">
      <c r="A11" s="8">
        <v>6</v>
      </c>
      <c r="B11" s="8" t="str">
        <f t="shared" si="0"/>
        <v>PUMPING DOWN FEED TANK</v>
      </c>
      <c r="C11" s="47"/>
      <c r="D11" s="6" t="str">
        <f t="shared" si="1"/>
        <v>RO_Data[7].ACK_DESC[</v>
      </c>
      <c r="E11" s="23">
        <f t="shared" si="13"/>
        <v>6</v>
      </c>
      <c r="F11" s="112" t="s">
        <v>22</v>
      </c>
      <c r="G11" s="129">
        <v>0</v>
      </c>
      <c r="H11" s="6" t="str">
        <f t="shared" si="2"/>
        <v>RO_Data[7].MIN[</v>
      </c>
      <c r="I11" s="23">
        <f t="shared" si="14"/>
        <v>6</v>
      </c>
      <c r="J11" s="112" t="s">
        <v>22</v>
      </c>
      <c r="K11" s="129">
        <v>1</v>
      </c>
      <c r="L11" s="6" t="str">
        <f t="shared" si="3"/>
        <v>RO_Data[7].SEC[</v>
      </c>
      <c r="M11" s="23">
        <f t="shared" si="15"/>
        <v>6</v>
      </c>
      <c r="N11" s="112" t="s">
        <v>22</v>
      </c>
      <c r="O11" s="132">
        <v>0</v>
      </c>
      <c r="P11" s="6" t="str">
        <f t="shared" si="4"/>
        <v>RO_Data[7].SETPOINT[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RO_Data[7].COND1[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RO_Data[7].COND2[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RO_Data[7].COND3[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RO_Data[7].ACT1[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RO_Data[7].ACT5[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RO_Data[7].ACT6[</v>
      </c>
      <c r="HZ11" s="23">
        <f t="shared" si="22"/>
        <v>6</v>
      </c>
      <c r="IA11" s="112" t="s">
        <v>22</v>
      </c>
      <c r="IB11" s="10" t="s">
        <v>230</v>
      </c>
      <c r="IC11" s="6" t="str">
        <f t="shared" si="12"/>
        <v>RO_Data[7].STEP_DESC[</v>
      </c>
      <c r="ID11" s="23">
        <f t="shared" si="23"/>
        <v>6</v>
      </c>
      <c r="IE11" s="112" t="s">
        <v>22</v>
      </c>
    </row>
    <row r="12" spans="1:239" x14ac:dyDescent="0.25">
      <c r="A12" s="8">
        <v>7</v>
      </c>
      <c r="B12" s="8" t="str">
        <f t="shared" si="0"/>
        <v>DRAINING BALANCE TANKS</v>
      </c>
      <c r="C12" s="47"/>
      <c r="D12" s="6" t="str">
        <f t="shared" si="1"/>
        <v>RO_Data[7].ACK_DESC[</v>
      </c>
      <c r="E12" s="23">
        <f t="shared" si="13"/>
        <v>7</v>
      </c>
      <c r="F12" s="112" t="s">
        <v>22</v>
      </c>
      <c r="G12" s="129">
        <v>0</v>
      </c>
      <c r="H12" s="6" t="str">
        <f t="shared" si="2"/>
        <v>RO_Data[7].MIN[</v>
      </c>
      <c r="I12" s="23">
        <f t="shared" si="14"/>
        <v>7</v>
      </c>
      <c r="J12" s="112" t="s">
        <v>22</v>
      </c>
      <c r="K12" s="129">
        <v>1</v>
      </c>
      <c r="L12" s="6" t="str">
        <f t="shared" si="3"/>
        <v>RO_Data[7].SEC[</v>
      </c>
      <c r="M12" s="23">
        <f t="shared" si="15"/>
        <v>7</v>
      </c>
      <c r="N12" s="112" t="s">
        <v>22</v>
      </c>
      <c r="O12" s="132">
        <v>0</v>
      </c>
      <c r="P12" s="6" t="str">
        <f t="shared" si="4"/>
        <v>RO_Data[7].SETPOINT[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RO_Data[7].COND1[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RO_Data[7].COND2[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RO_Data[7].COND3[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RO_Data[7].ACT1[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RO_Data[7].ACT5[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RO_Data[7].ACT6[</v>
      </c>
      <c r="HZ12" s="23">
        <f t="shared" si="22"/>
        <v>7</v>
      </c>
      <c r="IA12" s="112" t="s">
        <v>22</v>
      </c>
      <c r="IB12" s="10" t="s">
        <v>247</v>
      </c>
      <c r="IC12" s="6" t="str">
        <f t="shared" si="12"/>
        <v>RO_Data[7].STEP_DESC[</v>
      </c>
      <c r="ID12" s="23">
        <f t="shared" si="23"/>
        <v>7</v>
      </c>
      <c r="IE12" s="112" t="s">
        <v>22</v>
      </c>
    </row>
    <row r="13" spans="1:239" x14ac:dyDescent="0.25">
      <c r="A13" s="8">
        <v>8</v>
      </c>
      <c r="B13" s="8" t="str">
        <f t="shared" si="0"/>
        <v>FILLING FEED TANK TO SET POINT LEVEL</v>
      </c>
      <c r="C13" s="47"/>
      <c r="D13" s="6" t="str">
        <f t="shared" si="1"/>
        <v>RO_Data[7].ACK_DESC[</v>
      </c>
      <c r="E13" s="23">
        <f t="shared" si="13"/>
        <v>8</v>
      </c>
      <c r="F13" s="112" t="s">
        <v>22</v>
      </c>
      <c r="G13" s="129">
        <v>0</v>
      </c>
      <c r="H13" s="6" t="str">
        <f t="shared" si="2"/>
        <v>RO_Data[7].MIN[</v>
      </c>
      <c r="I13" s="23">
        <f t="shared" si="14"/>
        <v>8</v>
      </c>
      <c r="J13" s="112" t="s">
        <v>22</v>
      </c>
      <c r="K13" s="129">
        <v>1</v>
      </c>
      <c r="L13" s="6" t="str">
        <f t="shared" si="3"/>
        <v>RO_Data[7].SEC[</v>
      </c>
      <c r="M13" s="23">
        <f t="shared" si="15"/>
        <v>8</v>
      </c>
      <c r="N13" s="112" t="s">
        <v>22</v>
      </c>
      <c r="O13" s="132">
        <v>0</v>
      </c>
      <c r="P13" s="6" t="str">
        <f t="shared" si="4"/>
        <v>RO_Data[7].SETPOINT[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RO_Data[7].COND1[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RO_Data[7].COND2[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RO_Data[7].COND3[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RO_Data[7].ACT1[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RO_Data[7].ACT5[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RO_Data[7].ACT6[</v>
      </c>
      <c r="HZ13" s="23">
        <f t="shared" si="22"/>
        <v>8</v>
      </c>
      <c r="IA13" s="112" t="s">
        <v>22</v>
      </c>
      <c r="IB13" s="10" t="s">
        <v>224</v>
      </c>
      <c r="IC13" s="6" t="str">
        <f t="shared" si="12"/>
        <v>RO_Data[7].STEP_DESC[</v>
      </c>
      <c r="ID13" s="23">
        <f t="shared" si="23"/>
        <v>8</v>
      </c>
      <c r="IE13" s="112" t="s">
        <v>22</v>
      </c>
    </row>
    <row r="14" spans="1:239" x14ac:dyDescent="0.25">
      <c r="A14" s="8">
        <v>9</v>
      </c>
      <c r="B14" s="8" t="str">
        <f t="shared" si="0"/>
        <v>STARTING PUMPS</v>
      </c>
      <c r="C14" s="47"/>
      <c r="D14" s="6" t="str">
        <f t="shared" si="1"/>
        <v>RO_Data[7].ACK_DESC[</v>
      </c>
      <c r="E14" s="23">
        <f t="shared" si="13"/>
        <v>9</v>
      </c>
      <c r="F14" s="112" t="s">
        <v>22</v>
      </c>
      <c r="G14" s="129">
        <v>0</v>
      </c>
      <c r="H14" s="6" t="str">
        <f t="shared" si="2"/>
        <v>RO_Data[7].MIN[</v>
      </c>
      <c r="I14" s="23">
        <f t="shared" si="14"/>
        <v>9</v>
      </c>
      <c r="J14" s="112" t="s">
        <v>22</v>
      </c>
      <c r="K14" s="129">
        <v>30</v>
      </c>
      <c r="L14" s="6" t="str">
        <f t="shared" si="3"/>
        <v>RO_Data[7].SEC[</v>
      </c>
      <c r="M14" s="23">
        <f t="shared" si="15"/>
        <v>9</v>
      </c>
      <c r="N14" s="112" t="s">
        <v>22</v>
      </c>
      <c r="O14" s="132">
        <v>0</v>
      </c>
      <c r="P14" s="6" t="str">
        <f t="shared" si="4"/>
        <v>RO_Data[7].SETPOINT[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RO_Data[7].COND1[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RO_Data[7].COND2[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RO_Data[7].COND3[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RO_Data[7].ACT1[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RO_Data[7].ACT5[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RO_Data[7].ACT6[</v>
      </c>
      <c r="HZ14" s="23">
        <f t="shared" si="22"/>
        <v>9</v>
      </c>
      <c r="IA14" s="112" t="s">
        <v>22</v>
      </c>
      <c r="IB14" s="10" t="s">
        <v>225</v>
      </c>
      <c r="IC14" s="6" t="str">
        <f t="shared" si="12"/>
        <v>RO_Data[7].STEP_DESC[</v>
      </c>
      <c r="ID14" s="23">
        <f t="shared" si="23"/>
        <v>9</v>
      </c>
      <c r="IE14" s="112" t="s">
        <v>22</v>
      </c>
    </row>
    <row r="15" spans="1:239" x14ac:dyDescent="0.25">
      <c r="A15" s="8">
        <v>10</v>
      </c>
      <c r="B15" s="8" t="str">
        <f t="shared" si="0"/>
        <v>RINSING STAGES</v>
      </c>
      <c r="C15" s="47"/>
      <c r="D15" s="6" t="str">
        <f t="shared" si="1"/>
        <v>RO_Data[7].ACK_DESC[</v>
      </c>
      <c r="E15" s="23">
        <f t="shared" si="13"/>
        <v>10</v>
      </c>
      <c r="F15" s="112" t="s">
        <v>22</v>
      </c>
      <c r="G15" s="129">
        <v>0</v>
      </c>
      <c r="H15" s="6" t="str">
        <f t="shared" si="2"/>
        <v>RO_Data[7].MIN[</v>
      </c>
      <c r="I15" s="23">
        <f t="shared" si="14"/>
        <v>10</v>
      </c>
      <c r="J15" s="112" t="s">
        <v>22</v>
      </c>
      <c r="K15" s="129">
        <v>1</v>
      </c>
      <c r="L15" s="6" t="str">
        <f t="shared" si="3"/>
        <v>RO_Data[7].SEC[</v>
      </c>
      <c r="M15" s="23">
        <f t="shared" si="15"/>
        <v>10</v>
      </c>
      <c r="N15" s="112" t="s">
        <v>22</v>
      </c>
      <c r="O15" s="132">
        <v>0</v>
      </c>
      <c r="P15" s="6" t="str">
        <f t="shared" si="4"/>
        <v>RO_Data[7].SETPOINT[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RO_Data[7].COND1[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RO_Data[7].COND2[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RO_Data[7].COND3[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RO_Data[7].ACT1[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RO_Data[7].ACT5[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RO_Data[7].ACT6[</v>
      </c>
      <c r="HZ15" s="23">
        <f t="shared" si="22"/>
        <v>10</v>
      </c>
      <c r="IA15" s="112" t="s">
        <v>22</v>
      </c>
      <c r="IB15" s="10" t="s">
        <v>226</v>
      </c>
      <c r="IC15" s="6" t="str">
        <f t="shared" si="12"/>
        <v>RO_Data[7].STEP_DESC[</v>
      </c>
      <c r="ID15" s="23">
        <f t="shared" si="23"/>
        <v>10</v>
      </c>
      <c r="IE15" s="112" t="s">
        <v>22</v>
      </c>
    </row>
    <row r="16" spans="1:239" x14ac:dyDescent="0.25">
      <c r="A16" s="8">
        <v>11</v>
      </c>
      <c r="B16" s="8" t="str">
        <f t="shared" si="0"/>
        <v>PUMPING DOWN FEED TANK</v>
      </c>
      <c r="C16" s="47"/>
      <c r="D16" s="6" t="str">
        <f t="shared" si="1"/>
        <v>RO_Data[7].ACK_DESC[</v>
      </c>
      <c r="E16" s="23">
        <f t="shared" si="13"/>
        <v>11</v>
      </c>
      <c r="F16" s="112" t="s">
        <v>22</v>
      </c>
      <c r="G16" s="129">
        <v>0</v>
      </c>
      <c r="H16" s="6" t="str">
        <f t="shared" si="2"/>
        <v>RO_Data[7].MIN[</v>
      </c>
      <c r="I16" s="23">
        <f t="shared" si="14"/>
        <v>11</v>
      </c>
      <c r="J16" s="112" t="s">
        <v>22</v>
      </c>
      <c r="K16" s="129">
        <v>1</v>
      </c>
      <c r="L16" s="6" t="str">
        <f t="shared" si="3"/>
        <v>RO_Data[7].SEC[</v>
      </c>
      <c r="M16" s="23">
        <f t="shared" si="15"/>
        <v>11</v>
      </c>
      <c r="N16" s="112" t="s">
        <v>22</v>
      </c>
      <c r="O16" s="132">
        <v>0</v>
      </c>
      <c r="P16" s="6" t="str">
        <f t="shared" si="4"/>
        <v>RO_Data[7].SETPOINT[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RO_Data[7].COND1[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RO_Data[7].COND2[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RO_Data[7].COND3[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RO_Data[7].ACT1[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RO_Data[7].ACT5[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RO_Data[7].ACT6[</v>
      </c>
      <c r="HZ16" s="23">
        <f t="shared" si="22"/>
        <v>11</v>
      </c>
      <c r="IA16" s="112" t="s">
        <v>22</v>
      </c>
      <c r="IB16" s="10" t="s">
        <v>230</v>
      </c>
      <c r="IC16" s="6" t="str">
        <f t="shared" si="12"/>
        <v>RO_Data[7].STEP_DESC[</v>
      </c>
      <c r="ID16" s="23">
        <f t="shared" si="23"/>
        <v>11</v>
      </c>
      <c r="IE16" s="112" t="s">
        <v>22</v>
      </c>
    </row>
    <row r="17" spans="1:239" x14ac:dyDescent="0.25">
      <c r="A17" s="8">
        <v>12</v>
      </c>
      <c r="B17" s="8" t="str">
        <f t="shared" si="0"/>
        <v>DRAINING FEED TANK</v>
      </c>
      <c r="C17" s="47"/>
      <c r="D17" s="6" t="str">
        <f t="shared" si="1"/>
        <v>RO_Data[7].ACK_DESC[</v>
      </c>
      <c r="E17" s="23">
        <f t="shared" si="13"/>
        <v>12</v>
      </c>
      <c r="F17" s="112" t="s">
        <v>22</v>
      </c>
      <c r="G17" s="129">
        <v>0</v>
      </c>
      <c r="H17" s="6" t="str">
        <f t="shared" si="2"/>
        <v>RO_Data[7].MIN[</v>
      </c>
      <c r="I17" s="23">
        <f t="shared" si="14"/>
        <v>12</v>
      </c>
      <c r="J17" s="112" t="s">
        <v>22</v>
      </c>
      <c r="K17" s="129">
        <v>1</v>
      </c>
      <c r="L17" s="6" t="str">
        <f t="shared" si="3"/>
        <v>RO_Data[7].SEC[</v>
      </c>
      <c r="M17" s="23">
        <f t="shared" si="15"/>
        <v>12</v>
      </c>
      <c r="N17" s="112" t="s">
        <v>22</v>
      </c>
      <c r="O17" s="132">
        <v>0</v>
      </c>
      <c r="P17" s="6" t="str">
        <f t="shared" si="4"/>
        <v>RO_Data[7].SETPOINT[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RO_Data[7].COND1[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RO_Data[7].COND2[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RO_Data[7].COND3[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RO_Data[7].ACT1[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RO_Data[7].ACT5[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RO_Data[7].ACT6[</v>
      </c>
      <c r="HZ17" s="23">
        <f t="shared" si="22"/>
        <v>12</v>
      </c>
      <c r="IA17" s="112" t="s">
        <v>22</v>
      </c>
      <c r="IB17" s="10" t="s">
        <v>231</v>
      </c>
      <c r="IC17" s="6" t="str">
        <f t="shared" si="12"/>
        <v>RO_Data[7].STEP_DESC[</v>
      </c>
      <c r="ID17" s="23">
        <f t="shared" si="23"/>
        <v>12</v>
      </c>
      <c r="IE17" s="112" t="s">
        <v>22</v>
      </c>
    </row>
    <row r="18" spans="1:239" x14ac:dyDescent="0.25">
      <c r="A18" s="8">
        <v>13</v>
      </c>
      <c r="B18" s="8" t="str">
        <f t="shared" si="0"/>
        <v>CYCLE COMPLETE</v>
      </c>
      <c r="C18" s="47"/>
      <c r="D18" s="6" t="str">
        <f t="shared" si="1"/>
        <v>RO_Data[7].ACK_DESC[</v>
      </c>
      <c r="E18" s="23">
        <f t="shared" si="13"/>
        <v>13</v>
      </c>
      <c r="F18" s="112" t="s">
        <v>22</v>
      </c>
      <c r="G18" s="129">
        <v>0</v>
      </c>
      <c r="H18" s="6" t="str">
        <f t="shared" si="2"/>
        <v>RO_Data[7].MIN[</v>
      </c>
      <c r="I18" s="23">
        <f t="shared" si="14"/>
        <v>13</v>
      </c>
      <c r="J18" s="112" t="s">
        <v>22</v>
      </c>
      <c r="K18" s="129">
        <v>0</v>
      </c>
      <c r="L18" s="6" t="str">
        <f t="shared" si="3"/>
        <v>RO_Data[7].SEC[</v>
      </c>
      <c r="M18" s="23">
        <f t="shared" si="15"/>
        <v>13</v>
      </c>
      <c r="N18" s="112" t="s">
        <v>22</v>
      </c>
      <c r="O18" s="132">
        <v>0</v>
      </c>
      <c r="P18" s="6" t="str">
        <f t="shared" si="4"/>
        <v>RO_Data[7].SETPOINT[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RO_Data[7].COND1[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RO_Data[7].COND2[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RO_Data[7].COND3[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RO_Data[7].ACT1[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RO_Data[7].ACT5[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RO_Data[7].ACT6[</v>
      </c>
      <c r="HZ18" s="23">
        <f t="shared" si="22"/>
        <v>13</v>
      </c>
      <c r="IA18" s="112" t="s">
        <v>22</v>
      </c>
      <c r="IB18" s="10" t="s">
        <v>223</v>
      </c>
      <c r="IC18" s="6" t="str">
        <f t="shared" si="12"/>
        <v>RO_Data[7].STEP_DESC[</v>
      </c>
      <c r="ID18" s="23">
        <f t="shared" si="23"/>
        <v>13</v>
      </c>
      <c r="IE18" s="112" t="s">
        <v>22</v>
      </c>
    </row>
    <row r="19" spans="1:239" x14ac:dyDescent="0.25">
      <c r="A19" s="8">
        <v>14</v>
      </c>
      <c r="B19" s="8" t="str">
        <f t="shared" si="0"/>
        <v/>
      </c>
      <c r="C19" s="47"/>
      <c r="D19" s="6" t="str">
        <f t="shared" si="1"/>
        <v>RO_Data[7].ACK_DESC[</v>
      </c>
      <c r="E19" s="23">
        <f t="shared" si="13"/>
        <v>14</v>
      </c>
      <c r="F19" s="112" t="s">
        <v>22</v>
      </c>
      <c r="G19" s="129">
        <v>0</v>
      </c>
      <c r="H19" s="6" t="str">
        <f t="shared" si="2"/>
        <v>RO_Data[7].MIN[</v>
      </c>
      <c r="I19" s="23">
        <f t="shared" si="14"/>
        <v>14</v>
      </c>
      <c r="J19" s="112" t="s">
        <v>22</v>
      </c>
      <c r="K19" s="129">
        <v>0</v>
      </c>
      <c r="L19" s="6" t="str">
        <f t="shared" si="3"/>
        <v>RO_Data[7].SEC[</v>
      </c>
      <c r="M19" s="23">
        <f t="shared" si="15"/>
        <v>14</v>
      </c>
      <c r="N19" s="112" t="s">
        <v>22</v>
      </c>
      <c r="O19" s="132">
        <v>0</v>
      </c>
      <c r="P19" s="6" t="str">
        <f t="shared" si="4"/>
        <v>RO_Data[7].SETPOINT[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RO_Data[7].COND1[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RO_Data[7].COND2[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RO_Data[7].COND3[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RO_Data[7].ACT1[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RO_Data[7].ACT5[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RO_Data[7].ACT6[</v>
      </c>
      <c r="HZ19" s="23">
        <f t="shared" si="22"/>
        <v>14</v>
      </c>
      <c r="IA19" s="112" t="s">
        <v>22</v>
      </c>
      <c r="IB19" s="10"/>
      <c r="IC19" s="6" t="str">
        <f t="shared" si="12"/>
        <v>RO_Data[7].STEP_DESC[</v>
      </c>
      <c r="ID19" s="23">
        <f t="shared" si="23"/>
        <v>14</v>
      </c>
      <c r="IE19" s="112" t="s">
        <v>22</v>
      </c>
    </row>
    <row r="20" spans="1:239" x14ac:dyDescent="0.25">
      <c r="A20" s="8">
        <v>15</v>
      </c>
      <c r="B20" s="8" t="str">
        <f t="shared" si="0"/>
        <v/>
      </c>
      <c r="C20" s="47"/>
      <c r="D20" s="6" t="str">
        <f t="shared" si="1"/>
        <v>RO_Data[7].ACK_DESC[</v>
      </c>
      <c r="E20" s="23">
        <f t="shared" si="13"/>
        <v>15</v>
      </c>
      <c r="F20" s="112" t="s">
        <v>22</v>
      </c>
      <c r="G20" s="129">
        <v>0</v>
      </c>
      <c r="H20" s="6" t="str">
        <f t="shared" si="2"/>
        <v>RO_Data[7].MIN[</v>
      </c>
      <c r="I20" s="23">
        <f t="shared" si="14"/>
        <v>15</v>
      </c>
      <c r="J20" s="112" t="s">
        <v>22</v>
      </c>
      <c r="K20" s="129">
        <v>0</v>
      </c>
      <c r="L20" s="6" t="str">
        <f t="shared" si="3"/>
        <v>RO_Data[7].SEC[</v>
      </c>
      <c r="M20" s="23">
        <f t="shared" si="15"/>
        <v>15</v>
      </c>
      <c r="N20" s="112" t="s">
        <v>22</v>
      </c>
      <c r="O20" s="132">
        <v>0</v>
      </c>
      <c r="P20" s="6" t="str">
        <f t="shared" si="4"/>
        <v>RO_Data[7].SETPOINT[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RO_Data[7].COND1[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RO_Data[7].COND2[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RO_Data[7].COND3[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RO_Data[7].ACT1[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RO_Data[7].ACT5[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RO_Data[7].ACT6[</v>
      </c>
      <c r="HZ20" s="23">
        <f t="shared" si="22"/>
        <v>15</v>
      </c>
      <c r="IA20" s="112" t="s">
        <v>22</v>
      </c>
      <c r="IB20" s="10"/>
      <c r="IC20" s="6" t="str">
        <f t="shared" si="12"/>
        <v>RO_Data[7].STEP_DESC[</v>
      </c>
      <c r="ID20" s="23">
        <f t="shared" si="23"/>
        <v>15</v>
      </c>
      <c r="IE20" s="112" t="s">
        <v>22</v>
      </c>
    </row>
    <row r="21" spans="1:239" x14ac:dyDescent="0.25">
      <c r="A21" s="8">
        <v>16</v>
      </c>
      <c r="B21" s="8" t="str">
        <f t="shared" si="0"/>
        <v/>
      </c>
      <c r="C21" s="47"/>
      <c r="D21" s="6" t="str">
        <f t="shared" si="1"/>
        <v>RO_Data[7].ACK_DESC[</v>
      </c>
      <c r="E21" s="23">
        <f t="shared" si="13"/>
        <v>16</v>
      </c>
      <c r="F21" s="112" t="s">
        <v>22</v>
      </c>
      <c r="G21" s="129">
        <v>0</v>
      </c>
      <c r="H21" s="6" t="str">
        <f t="shared" si="2"/>
        <v>RO_Data[7].MIN[</v>
      </c>
      <c r="I21" s="23">
        <f t="shared" si="14"/>
        <v>16</v>
      </c>
      <c r="J21" s="112" t="s">
        <v>22</v>
      </c>
      <c r="K21" s="129">
        <v>0</v>
      </c>
      <c r="L21" s="6" t="str">
        <f t="shared" si="3"/>
        <v>RO_Data[7].SEC[</v>
      </c>
      <c r="M21" s="23">
        <f t="shared" si="15"/>
        <v>16</v>
      </c>
      <c r="N21" s="112" t="s">
        <v>22</v>
      </c>
      <c r="O21" s="132">
        <v>0</v>
      </c>
      <c r="P21" s="6" t="str">
        <f t="shared" si="4"/>
        <v>RO_Data[7].SETPOINT[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RO_Data[7].COND1[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RO_Data[7].COND2[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RO_Data[7].COND3[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RO_Data[7].ACT1[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RO_Data[7].ACT5[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RO_Data[7].ACT6[</v>
      </c>
      <c r="HZ21" s="23">
        <f t="shared" si="22"/>
        <v>16</v>
      </c>
      <c r="IA21" s="112" t="s">
        <v>22</v>
      </c>
      <c r="IB21" s="10"/>
      <c r="IC21" s="6" t="str">
        <f t="shared" si="12"/>
        <v>RO_Data[7].STEP_DESC[</v>
      </c>
      <c r="ID21" s="23">
        <f t="shared" si="23"/>
        <v>16</v>
      </c>
      <c r="IE21" s="112" t="s">
        <v>22</v>
      </c>
    </row>
    <row r="22" spans="1:239" x14ac:dyDescent="0.25">
      <c r="A22" s="8">
        <v>17</v>
      </c>
      <c r="B22" s="8" t="str">
        <f t="shared" si="0"/>
        <v/>
      </c>
      <c r="C22" s="47"/>
      <c r="D22" s="6" t="str">
        <f t="shared" si="1"/>
        <v>RO_Data[7].ACK_DESC[</v>
      </c>
      <c r="E22" s="23">
        <f t="shared" si="13"/>
        <v>17</v>
      </c>
      <c r="F22" s="112" t="s">
        <v>22</v>
      </c>
      <c r="G22" s="129">
        <v>0</v>
      </c>
      <c r="H22" s="6" t="str">
        <f t="shared" si="2"/>
        <v>RO_Data[7].MIN[</v>
      </c>
      <c r="I22" s="23">
        <f t="shared" si="14"/>
        <v>17</v>
      </c>
      <c r="J22" s="112" t="s">
        <v>22</v>
      </c>
      <c r="K22" s="129">
        <v>0</v>
      </c>
      <c r="L22" s="6" t="str">
        <f t="shared" si="3"/>
        <v>RO_Data[7].SEC[</v>
      </c>
      <c r="M22" s="23">
        <f t="shared" si="15"/>
        <v>17</v>
      </c>
      <c r="N22" s="112" t="s">
        <v>22</v>
      </c>
      <c r="O22" s="132">
        <v>0</v>
      </c>
      <c r="P22" s="6" t="str">
        <f t="shared" si="4"/>
        <v>RO_Data[7].SETPOINT[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RO_Data[7].COND1[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RO_Data[7].COND2[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RO_Data[7].COND3[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RO_Data[7].ACT1[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RO_Data[7].ACT5[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RO_Data[7].ACT6[</v>
      </c>
      <c r="HZ22" s="23">
        <f t="shared" si="22"/>
        <v>17</v>
      </c>
      <c r="IA22" s="112" t="s">
        <v>22</v>
      </c>
      <c r="IB22" s="10"/>
      <c r="IC22" s="6" t="str">
        <f t="shared" si="12"/>
        <v>RO_Data[7].STEP_DESC[</v>
      </c>
      <c r="ID22" s="23">
        <f t="shared" si="23"/>
        <v>17</v>
      </c>
      <c r="IE22" s="112" t="s">
        <v>22</v>
      </c>
    </row>
    <row r="23" spans="1:239" x14ac:dyDescent="0.25">
      <c r="A23" s="8">
        <v>18</v>
      </c>
      <c r="B23" s="8" t="str">
        <f t="shared" si="0"/>
        <v/>
      </c>
      <c r="C23" s="47"/>
      <c r="D23" s="6" t="str">
        <f t="shared" si="1"/>
        <v>RO_Data[7].ACK_DESC[</v>
      </c>
      <c r="E23" s="23">
        <f t="shared" si="13"/>
        <v>18</v>
      </c>
      <c r="F23" s="112" t="s">
        <v>22</v>
      </c>
      <c r="G23" s="129">
        <v>0</v>
      </c>
      <c r="H23" s="6" t="str">
        <f t="shared" si="2"/>
        <v>RO_Data[7].MIN[</v>
      </c>
      <c r="I23" s="23">
        <f t="shared" si="14"/>
        <v>18</v>
      </c>
      <c r="J23" s="112" t="s">
        <v>22</v>
      </c>
      <c r="K23" s="129">
        <v>0</v>
      </c>
      <c r="L23" s="6" t="str">
        <f t="shared" si="3"/>
        <v>RO_Data[7].SEC[</v>
      </c>
      <c r="M23" s="23">
        <f t="shared" si="15"/>
        <v>18</v>
      </c>
      <c r="N23" s="112" t="s">
        <v>22</v>
      </c>
      <c r="O23" s="132">
        <v>0</v>
      </c>
      <c r="P23" s="6" t="str">
        <f t="shared" si="4"/>
        <v>RO_Data[7].SETPOINT[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RO_Data[7].COND1[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RO_Data[7].COND2[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RO_Data[7].COND3[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RO_Data[7].ACT1[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RO_Data[7].ACT5[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RO_Data[7].ACT6[</v>
      </c>
      <c r="HZ23" s="23">
        <f t="shared" si="22"/>
        <v>18</v>
      </c>
      <c r="IA23" s="112" t="s">
        <v>22</v>
      </c>
      <c r="IB23" s="10"/>
      <c r="IC23" s="6" t="str">
        <f t="shared" si="12"/>
        <v>RO_Data[7].STEP_DESC[</v>
      </c>
      <c r="ID23" s="23">
        <f t="shared" si="23"/>
        <v>18</v>
      </c>
      <c r="IE23" s="112" t="s">
        <v>22</v>
      </c>
    </row>
    <row r="24" spans="1:239" ht="15.75" thickBot="1" x14ac:dyDescent="0.3">
      <c r="A24" s="42">
        <v>19</v>
      </c>
      <c r="B24" s="42" t="str">
        <f t="shared" si="0"/>
        <v/>
      </c>
      <c r="C24" s="54"/>
      <c r="D24" s="40" t="str">
        <f t="shared" si="1"/>
        <v>RO_Data[7].ACK_DESC[</v>
      </c>
      <c r="E24" s="41">
        <f t="shared" si="13"/>
        <v>19</v>
      </c>
      <c r="F24" s="44" t="s">
        <v>22</v>
      </c>
      <c r="G24" s="131">
        <v>0</v>
      </c>
      <c r="H24" s="40" t="str">
        <f t="shared" si="2"/>
        <v>RO_Data[7].MIN[</v>
      </c>
      <c r="I24" s="41">
        <f t="shared" si="14"/>
        <v>19</v>
      </c>
      <c r="J24" s="44" t="s">
        <v>22</v>
      </c>
      <c r="K24" s="131">
        <v>0</v>
      </c>
      <c r="L24" s="40" t="str">
        <f t="shared" si="3"/>
        <v>RO_Data[7].SEC[</v>
      </c>
      <c r="M24" s="41">
        <f t="shared" si="15"/>
        <v>19</v>
      </c>
      <c r="N24" s="44" t="s">
        <v>22</v>
      </c>
      <c r="O24" s="134">
        <v>0</v>
      </c>
      <c r="P24" s="40" t="str">
        <f t="shared" si="4"/>
        <v>RO_Data[7].SETPOINT[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RO_Data[7].COND1[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RO_Data[7].COND2[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RO_Data[7].COND3[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RO_Data[7].ACT1[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RO_Data[7].ACT5[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RO_Data[7].ACT6[</v>
      </c>
      <c r="HZ24" s="41">
        <f t="shared" si="22"/>
        <v>19</v>
      </c>
      <c r="IA24" s="44" t="s">
        <v>22</v>
      </c>
      <c r="IB24" s="43"/>
      <c r="IC24" s="40" t="str">
        <f t="shared" si="12"/>
        <v>RO_Data[7].STEP_DESC[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248</v>
      </c>
    </row>
    <row r="3" spans="2:2" ht="15" x14ac:dyDescent="0.2">
      <c r="B3" s="60"/>
    </row>
    <row r="4" spans="2:2" ht="14.25" x14ac:dyDescent="0.2">
      <c r="B4" s="62" t="s">
        <v>249</v>
      </c>
    </row>
    <row r="5" spans="2:2" ht="15" x14ac:dyDescent="0.2">
      <c r="B5" s="63" t="s">
        <v>250</v>
      </c>
    </row>
    <row r="6" spans="2:2" ht="15" x14ac:dyDescent="0.2">
      <c r="B6" s="63" t="s">
        <v>251</v>
      </c>
    </row>
    <row r="7" spans="2:2" ht="15" x14ac:dyDescent="0.2">
      <c r="B7" s="63" t="s">
        <v>252</v>
      </c>
    </row>
    <row r="8" spans="2:2" ht="15" x14ac:dyDescent="0.2">
      <c r="B8" s="63" t="s">
        <v>253</v>
      </c>
    </row>
    <row r="9" spans="2:2" ht="15" x14ac:dyDescent="0.2">
      <c r="B9" s="63" t="s">
        <v>254</v>
      </c>
    </row>
    <row r="10" spans="2:2" ht="15" x14ac:dyDescent="0.2">
      <c r="B10" s="63" t="s">
        <v>255</v>
      </c>
    </row>
    <row r="11" spans="2:2" ht="15" x14ac:dyDescent="0.2">
      <c r="B11" s="63" t="s">
        <v>256</v>
      </c>
    </row>
    <row r="12" spans="2:2" ht="15" x14ac:dyDescent="0.2">
      <c r="B12" s="63" t="s">
        <v>257</v>
      </c>
    </row>
    <row r="13" spans="2:2" ht="15" x14ac:dyDescent="0.2">
      <c r="B13" s="63" t="s">
        <v>258</v>
      </c>
    </row>
    <row r="14" spans="2:2" ht="15" x14ac:dyDescent="0.2">
      <c r="B14" s="63" t="s">
        <v>259</v>
      </c>
    </row>
    <row r="15" spans="2:2" ht="15" x14ac:dyDescent="0.2">
      <c r="B15" s="63" t="s">
        <v>260</v>
      </c>
    </row>
    <row r="16" spans="2:2" ht="15" x14ac:dyDescent="0.2">
      <c r="B16" s="63" t="s">
        <v>261</v>
      </c>
    </row>
    <row r="17" spans="2:3" ht="15" x14ac:dyDescent="0.2">
      <c r="B17" s="63" t="s">
        <v>262</v>
      </c>
    </row>
    <row r="18" spans="2:3" ht="15" x14ac:dyDescent="0.2">
      <c r="B18" s="63" t="s">
        <v>263</v>
      </c>
    </row>
    <row r="19" spans="2:3" ht="15" x14ac:dyDescent="0.2">
      <c r="B19" s="63" t="s">
        <v>264</v>
      </c>
      <c r="C19" s="63"/>
    </row>
    <row r="20" spans="2:3" ht="15" x14ac:dyDescent="0.2">
      <c r="B20" s="63" t="s">
        <v>265</v>
      </c>
    </row>
    <row r="21" spans="2:3" ht="15" x14ac:dyDescent="0.2">
      <c r="B21" s="63" t="s">
        <v>266</v>
      </c>
    </row>
    <row r="22" spans="2:3" ht="15" x14ac:dyDescent="0.2">
      <c r="B22" s="63" t="s">
        <v>267</v>
      </c>
    </row>
    <row r="23" spans="2:3" ht="15" x14ac:dyDescent="0.2">
      <c r="B23" s="63" t="s">
        <v>268</v>
      </c>
      <c r="C23" s="64"/>
    </row>
    <row r="24" spans="2:3" ht="15" x14ac:dyDescent="0.2">
      <c r="B24" s="63" t="s">
        <v>269</v>
      </c>
    </row>
    <row r="25" spans="2:3" ht="15" x14ac:dyDescent="0.2">
      <c r="B25" s="63" t="s">
        <v>270</v>
      </c>
    </row>
    <row r="26" spans="2:3" ht="15" x14ac:dyDescent="0.2">
      <c r="B26" s="63" t="s">
        <v>271</v>
      </c>
    </row>
    <row r="27" spans="2:3" ht="15" x14ac:dyDescent="0.2">
      <c r="B27" s="63" t="s">
        <v>272</v>
      </c>
    </row>
    <row r="28" spans="2:3" ht="15" x14ac:dyDescent="0.2">
      <c r="B28" s="63" t="s">
        <v>273</v>
      </c>
    </row>
    <row r="29" spans="2:3" ht="15" x14ac:dyDescent="0.2">
      <c r="B29" s="63" t="s">
        <v>274</v>
      </c>
    </row>
    <row r="30" spans="2:3" ht="15" x14ac:dyDescent="0.2">
      <c r="B30" s="63" t="s">
        <v>275</v>
      </c>
    </row>
    <row r="31" spans="2:3" ht="15" x14ac:dyDescent="0.2">
      <c r="B31" s="63" t="s">
        <v>276</v>
      </c>
    </row>
    <row r="32" spans="2:3" ht="15" x14ac:dyDescent="0.2">
      <c r="B32" s="63" t="s">
        <v>277</v>
      </c>
    </row>
    <row r="33" spans="2:3" ht="15" x14ac:dyDescent="0.2">
      <c r="B33" s="63" t="s">
        <v>278</v>
      </c>
    </row>
    <row r="34" spans="2:3" ht="15" x14ac:dyDescent="0.2">
      <c r="B34" s="63" t="s">
        <v>279</v>
      </c>
    </row>
    <row r="35" spans="2:3" ht="15" x14ac:dyDescent="0.2">
      <c r="B35" s="63" t="s">
        <v>280</v>
      </c>
    </row>
    <row r="36" spans="2:3" ht="15" x14ac:dyDescent="0.2">
      <c r="B36" s="65"/>
    </row>
    <row r="37" spans="2:3" ht="14.25" x14ac:dyDescent="0.2">
      <c r="B37" s="62" t="s">
        <v>281</v>
      </c>
    </row>
    <row r="38" spans="2:3" ht="15" x14ac:dyDescent="0.2">
      <c r="B38" s="63" t="s">
        <v>282</v>
      </c>
      <c r="C38" s="63"/>
    </row>
    <row r="39" spans="2:3" ht="15" x14ac:dyDescent="0.2">
      <c r="B39" s="63" t="s">
        <v>283</v>
      </c>
    </row>
    <row r="40" spans="2:3" ht="15" x14ac:dyDescent="0.2">
      <c r="B40" s="63" t="s">
        <v>284</v>
      </c>
    </row>
    <row r="41" spans="2:3" ht="15" x14ac:dyDescent="0.2">
      <c r="B41" s="63" t="s">
        <v>285</v>
      </c>
      <c r="C41" s="63"/>
    </row>
    <row r="42" spans="2:3" ht="15" x14ac:dyDescent="0.2">
      <c r="B42" s="63" t="s">
        <v>286</v>
      </c>
    </row>
    <row r="43" spans="2:3" ht="15" x14ac:dyDescent="0.2">
      <c r="B43" s="63" t="s">
        <v>287</v>
      </c>
    </row>
    <row r="44" spans="2:3" ht="15" x14ac:dyDescent="0.2">
      <c r="B44" s="63" t="s">
        <v>288</v>
      </c>
    </row>
    <row r="45" spans="2:3" ht="15" x14ac:dyDescent="0.2">
      <c r="B45" s="63" t="s">
        <v>289</v>
      </c>
    </row>
    <row r="46" spans="2:3" ht="15" x14ac:dyDescent="0.2">
      <c r="B46" s="63" t="s">
        <v>290</v>
      </c>
    </row>
    <row r="47" spans="2:3" ht="15" x14ac:dyDescent="0.2">
      <c r="B47" s="63" t="s">
        <v>291</v>
      </c>
    </row>
    <row r="48" spans="2:3" ht="15" x14ac:dyDescent="0.2">
      <c r="B48" s="63" t="s">
        <v>292</v>
      </c>
    </row>
    <row r="49" spans="2:3" ht="17.25" x14ac:dyDescent="0.2">
      <c r="B49" s="63" t="s">
        <v>293</v>
      </c>
    </row>
    <row r="50" spans="2:3" ht="17.25" x14ac:dyDescent="0.2">
      <c r="B50" s="63" t="s">
        <v>294</v>
      </c>
    </row>
    <row r="51" spans="2:3" ht="17.25" x14ac:dyDescent="0.2">
      <c r="B51" s="63" t="s">
        <v>295</v>
      </c>
    </row>
    <row r="52" spans="2:3" ht="15" x14ac:dyDescent="0.2">
      <c r="B52" s="63" t="s">
        <v>296</v>
      </c>
    </row>
    <row r="53" spans="2:3" ht="15" x14ac:dyDescent="0.2">
      <c r="B53" s="63" t="s">
        <v>297</v>
      </c>
      <c r="C53" s="64"/>
    </row>
    <row r="54" spans="2:3" ht="15" x14ac:dyDescent="0.2">
      <c r="B54" s="63" t="s">
        <v>298</v>
      </c>
    </row>
    <row r="55" spans="2:3" ht="15" x14ac:dyDescent="0.2">
      <c r="B55" s="63" t="s">
        <v>299</v>
      </c>
    </row>
    <row r="56" spans="2:3" ht="15" x14ac:dyDescent="0.2">
      <c r="B56" s="63" t="s">
        <v>300</v>
      </c>
    </row>
    <row r="57" spans="2:3" ht="17.25" x14ac:dyDescent="0.2">
      <c r="B57" s="63" t="s">
        <v>301</v>
      </c>
    </row>
    <row r="58" spans="2:3" ht="17.25" x14ac:dyDescent="0.2">
      <c r="B58" s="63" t="s">
        <v>302</v>
      </c>
    </row>
    <row r="59" spans="2:3" ht="17.25" x14ac:dyDescent="0.2">
      <c r="B59" s="63" t="s">
        <v>303</v>
      </c>
    </row>
    <row r="60" spans="2:3" ht="17.25" x14ac:dyDescent="0.2">
      <c r="B60" s="63" t="s">
        <v>304</v>
      </c>
    </row>
    <row r="61" spans="2:3" ht="15" x14ac:dyDescent="0.2">
      <c r="B61" s="63" t="s">
        <v>305</v>
      </c>
      <c r="C61" s="64"/>
    </row>
    <row r="62" spans="2:3" ht="15" x14ac:dyDescent="0.2">
      <c r="B62" s="63" t="s">
        <v>306</v>
      </c>
      <c r="C62" s="64"/>
    </row>
    <row r="63" spans="2:3" ht="15" x14ac:dyDescent="0.2">
      <c r="B63" s="63" t="s">
        <v>307</v>
      </c>
    </row>
    <row r="64" spans="2:3" ht="15" x14ac:dyDescent="0.2">
      <c r="B64" s="63" t="s">
        <v>308</v>
      </c>
    </row>
    <row r="65" spans="2:2" ht="15" x14ac:dyDescent="0.2">
      <c r="B65" s="63" t="s">
        <v>309</v>
      </c>
    </row>
    <row r="66" spans="2:2" ht="15" x14ac:dyDescent="0.2">
      <c r="B66" s="63" t="s">
        <v>310</v>
      </c>
    </row>
    <row r="67" spans="2:2" ht="15" x14ac:dyDescent="0.2">
      <c r="B67" s="63" t="s">
        <v>311</v>
      </c>
    </row>
    <row r="68" spans="2:2" ht="15" x14ac:dyDescent="0.2">
      <c r="B68" s="63" t="s">
        <v>312</v>
      </c>
    </row>
    <row r="69" spans="2:2" ht="15" x14ac:dyDescent="0.2">
      <c r="B69" s="63"/>
    </row>
    <row r="70" spans="2:2" ht="14.25" x14ac:dyDescent="0.2">
      <c r="B70" s="62" t="s">
        <v>313</v>
      </c>
    </row>
    <row r="71" spans="2:2" ht="15" x14ac:dyDescent="0.2">
      <c r="B71" s="63" t="s">
        <v>314</v>
      </c>
    </row>
    <row r="72" spans="2:2" ht="15" x14ac:dyDescent="0.2">
      <c r="B72" s="63" t="s">
        <v>315</v>
      </c>
    </row>
    <row r="73" spans="2:2" ht="15" x14ac:dyDescent="0.2">
      <c r="B73" s="63" t="s">
        <v>316</v>
      </c>
    </row>
    <row r="74" spans="2:2" ht="15" x14ac:dyDescent="0.2">
      <c r="B74" s="63" t="s">
        <v>317</v>
      </c>
    </row>
    <row r="75" spans="2:2" ht="15" x14ac:dyDescent="0.2">
      <c r="B75" s="63" t="s">
        <v>318</v>
      </c>
    </row>
    <row r="76" spans="2:2" ht="15" x14ac:dyDescent="0.2">
      <c r="B76" s="63" t="s">
        <v>319</v>
      </c>
    </row>
    <row r="77" spans="2:2" ht="15" x14ac:dyDescent="0.2">
      <c r="B77" s="63" t="s">
        <v>320</v>
      </c>
    </row>
    <row r="78" spans="2:2" ht="15" x14ac:dyDescent="0.2">
      <c r="B78" s="63" t="s">
        <v>321</v>
      </c>
    </row>
    <row r="79" spans="2:2" ht="15" x14ac:dyDescent="0.2">
      <c r="B79" s="63" t="s">
        <v>322</v>
      </c>
    </row>
    <row r="80" spans="2:2" ht="15" x14ac:dyDescent="0.2">
      <c r="B80" s="63" t="s">
        <v>323</v>
      </c>
    </row>
    <row r="81" spans="2:3" ht="15" x14ac:dyDescent="0.2">
      <c r="B81" s="63" t="s">
        <v>324</v>
      </c>
    </row>
    <row r="82" spans="2:3" ht="15" x14ac:dyDescent="0.2">
      <c r="B82" s="63" t="s">
        <v>325</v>
      </c>
    </row>
    <row r="83" spans="2:3" ht="15" x14ac:dyDescent="0.2">
      <c r="B83" s="63" t="s">
        <v>326</v>
      </c>
    </row>
    <row r="84" spans="2:3" ht="15" x14ac:dyDescent="0.2">
      <c r="B84" s="63" t="s">
        <v>327</v>
      </c>
    </row>
    <row r="85" spans="2:3" ht="15" x14ac:dyDescent="0.2">
      <c r="B85" s="63" t="s">
        <v>328</v>
      </c>
    </row>
    <row r="86" spans="2:3" ht="15" x14ac:dyDescent="0.2">
      <c r="B86" s="63" t="s">
        <v>329</v>
      </c>
    </row>
    <row r="87" spans="2:3" ht="15" x14ac:dyDescent="0.2">
      <c r="B87" s="63" t="s">
        <v>330</v>
      </c>
    </row>
    <row r="88" spans="2:3" ht="15" x14ac:dyDescent="0.2">
      <c r="B88" s="63" t="s">
        <v>331</v>
      </c>
    </row>
    <row r="89" spans="2:3" ht="15" x14ac:dyDescent="0.2">
      <c r="B89" s="63" t="s">
        <v>332</v>
      </c>
    </row>
    <row r="90" spans="2:3" ht="15" x14ac:dyDescent="0.2">
      <c r="B90" s="63" t="s">
        <v>333</v>
      </c>
    </row>
    <row r="91" spans="2:3" ht="15" x14ac:dyDescent="0.2">
      <c r="B91" s="63" t="s">
        <v>334</v>
      </c>
    </row>
    <row r="92" spans="2:3" ht="15" x14ac:dyDescent="0.2">
      <c r="B92" s="63" t="s">
        <v>335</v>
      </c>
    </row>
    <row r="93" spans="2:3" ht="15" x14ac:dyDescent="0.2">
      <c r="B93" s="63" t="s">
        <v>336</v>
      </c>
    </row>
    <row r="94" spans="2:3" ht="15" x14ac:dyDescent="0.2">
      <c r="B94" s="63" t="s">
        <v>337</v>
      </c>
    </row>
    <row r="95" spans="2:3" ht="15" x14ac:dyDescent="0.2">
      <c r="B95" s="63" t="s">
        <v>338</v>
      </c>
      <c r="C95" s="64"/>
    </row>
    <row r="96" spans="2:3" ht="15" x14ac:dyDescent="0.2">
      <c r="B96" s="63"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Main Program</vt:lpstr>
      <vt:lpstr>PINCHART-PROC</vt:lpstr>
      <vt:lpstr>PINCHART-CIP</vt:lpstr>
      <vt:lpstr>PINCHART-CIP-Short Wash</vt:lpstr>
      <vt:lpstr>PINCHART-CIP-Acid Soak</vt:lpstr>
      <vt:lpstr>PINCHART-CIP- Enzyme Soak </vt:lpstr>
      <vt:lpstr>PINCHART-CIP-Rinse</vt:lpstr>
      <vt:lpstr>PINCHART-CIP-Sanitize</vt:lpstr>
      <vt:lpstr>CONDITION BIT OVERVIEW</vt:lpstr>
      <vt:lpstr>'PINCHART-CIP'!Print_Area</vt:lpstr>
      <vt:lpstr>'PINCHART-CIP- Enzyme Soak '!Print_Area</vt:lpstr>
      <vt:lpstr>'PINCHART-CIP-Acid Soak'!Print_Area</vt:lpstr>
      <vt:lpstr>'PINCHART-CIP-Rinse'!Print_Area</vt:lpstr>
      <vt:lpstr>'PINCHART-CIP-Sanitize'!Print_Area</vt:lpstr>
      <vt:lpstr>'PINCHART-CIP-Short Wash'!Print_Area</vt:lpstr>
      <vt:lpstr>'PINCHART-PROC'!Print_Area</vt:lpstr>
      <vt:lpstr>'PINCHART-CIP'!Print_Titles</vt:lpstr>
      <vt:lpstr>'PINCHART-CIP- Enzyme Soak '!Print_Titles</vt:lpstr>
      <vt:lpstr>'PINCHART-CIP-Acid Soak'!Print_Titles</vt:lpstr>
      <vt:lpstr>'PINCHART-CIP-Rinse'!Print_Titles</vt:lpstr>
      <vt:lpstr>'PINCHART-CIP-Sanitize'!Print_Titles</vt:lpstr>
      <vt:lpstr>'PINCHART-CIP-Short Wash'!Print_Titles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2020-10-28T15:09:30Z</dcterms:modified>
</cp:coreProperties>
</file>
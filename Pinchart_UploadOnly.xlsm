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CCS\MTPyPinchart\"/>
    </mc:Choice>
  </mc:AlternateContent>
  <xr:revisionPtr revIDLastSave="0" documentId="13_ncr:1_{D94497E9-4207-4103-8754-E20F0500EE1B}" xr6:coauthVersionLast="46" xr6:coauthVersionMax="46" xr10:uidLastSave="{00000000-0000-0000-0000-000000000000}"/>
  <bookViews>
    <workbookView xWindow="-120" yWindow="-120" windowWidth="28905" windowHeight="13545" activeTab="1" xr2:uid="{00000000-000D-0000-FFFF-FFFF00000000}"/>
  </bookViews>
  <sheets>
    <sheet name="Main Program" sheetId="1" r:id="rId1"/>
    <sheet name="PINCHART-PROC" sheetId="24" r:id="rId2"/>
  </sheets>
  <functionGroups builtInGroupCount="19"/>
  <definedNames>
    <definedName name="DATATYPES">'Main Program'!$B$20:$B$25</definedName>
    <definedName name="_xlnm.Print_Area" localSheetId="1">'PINCHART-PROC'!$A$1:$IA$29</definedName>
    <definedName name="_xlnm.Print_Titles" localSheetId="1">'PINCHART-PROC'!$A:$B</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M29" i="24" l="1"/>
  <c r="JI29" i="24"/>
  <c r="HY29" i="24"/>
  <c r="GO29" i="24"/>
  <c r="FE29" i="24"/>
  <c r="DU29" i="24"/>
  <c r="CK29" i="24"/>
  <c r="BA29" i="24"/>
  <c r="S29" i="24"/>
  <c r="P29" i="24"/>
  <c r="L29" i="24"/>
  <c r="H29" i="24"/>
  <c r="D29" i="24"/>
  <c r="B29" i="24"/>
  <c r="JM28" i="24"/>
  <c r="JI28" i="24"/>
  <c r="HY28" i="24"/>
  <c r="GO28" i="24"/>
  <c r="FE28" i="24"/>
  <c r="DU28" i="24"/>
  <c r="CK28" i="24"/>
  <c r="BA28" i="24"/>
  <c r="S28" i="24"/>
  <c r="P28" i="24"/>
  <c r="L28" i="24"/>
  <c r="H28" i="24"/>
  <c r="D28" i="24"/>
  <c r="B28" i="24"/>
  <c r="JM27" i="24"/>
  <c r="JI27" i="24"/>
  <c r="HY27" i="24"/>
  <c r="GO27" i="24"/>
  <c r="FE27" i="24"/>
  <c r="DU27" i="24"/>
  <c r="CK27" i="24"/>
  <c r="BA27" i="24"/>
  <c r="S27" i="24"/>
  <c r="P27" i="24"/>
  <c r="L27" i="24"/>
  <c r="H27" i="24"/>
  <c r="D27" i="24"/>
  <c r="B27" i="24"/>
  <c r="JM26" i="24"/>
  <c r="JI26" i="24"/>
  <c r="HY26" i="24"/>
  <c r="GO26" i="24"/>
  <c r="FE26" i="24"/>
  <c r="DU26" i="24"/>
  <c r="CK26" i="24"/>
  <c r="BA26" i="24"/>
  <c r="S26" i="24"/>
  <c r="P26" i="24"/>
  <c r="L26" i="24"/>
  <c r="H26" i="24"/>
  <c r="D26" i="24"/>
  <c r="B26" i="24"/>
  <c r="JM25" i="24"/>
  <c r="JI25" i="24"/>
  <c r="HY25" i="24"/>
  <c r="GO25" i="24"/>
  <c r="FE25" i="24"/>
  <c r="DU25" i="24"/>
  <c r="CK25" i="24"/>
  <c r="BA25" i="24"/>
  <c r="S25" i="24"/>
  <c r="P25" i="24"/>
  <c r="L25" i="24"/>
  <c r="H25" i="24"/>
  <c r="D25" i="24"/>
  <c r="B25" i="24"/>
  <c r="JM24" i="24"/>
  <c r="JI24" i="24"/>
  <c r="HY24" i="24"/>
  <c r="GO24" i="24"/>
  <c r="FE24" i="24"/>
  <c r="DU24" i="24"/>
  <c r="CK24" i="24"/>
  <c r="BA24" i="24"/>
  <c r="S24" i="24"/>
  <c r="P24" i="24"/>
  <c r="L24" i="24"/>
  <c r="H24" i="24"/>
  <c r="D24" i="24"/>
  <c r="B24" i="24"/>
  <c r="JM23" i="24"/>
  <c r="JI23" i="24"/>
  <c r="HY23" i="24"/>
  <c r="GO23" i="24"/>
  <c r="FE23" i="24"/>
  <c r="DU23" i="24"/>
  <c r="CK23" i="24"/>
  <c r="BA23" i="24"/>
  <c r="S23" i="24"/>
  <c r="P23" i="24"/>
  <c r="L23" i="24"/>
  <c r="H23" i="24"/>
  <c r="D23" i="24"/>
  <c r="B23" i="24"/>
  <c r="JM22" i="24"/>
  <c r="JI22" i="24"/>
  <c r="HY22" i="24"/>
  <c r="GO22" i="24"/>
  <c r="FE22" i="24"/>
  <c r="DU22" i="24"/>
  <c r="CK22" i="24"/>
  <c r="BA22" i="24"/>
  <c r="S22" i="24"/>
  <c r="P22" i="24"/>
  <c r="L22" i="24"/>
  <c r="H22" i="24"/>
  <c r="D22" i="24"/>
  <c r="B22" i="24"/>
  <c r="JM21" i="24"/>
  <c r="JI21" i="24"/>
  <c r="HY21" i="24"/>
  <c r="GO21" i="24"/>
  <c r="FE21" i="24"/>
  <c r="DU21" i="24"/>
  <c r="CK21" i="24"/>
  <c r="BA21" i="24"/>
  <c r="S21" i="24"/>
  <c r="P21" i="24"/>
  <c r="L21" i="24"/>
  <c r="H21" i="24"/>
  <c r="D21" i="24"/>
  <c r="B21" i="24"/>
  <c r="JM20" i="24"/>
  <c r="JI20" i="24"/>
  <c r="HY20" i="24"/>
  <c r="GO20" i="24"/>
  <c r="FE20" i="24"/>
  <c r="DU20" i="24"/>
  <c r="CK20" i="24"/>
  <c r="BA20" i="24"/>
  <c r="S20" i="24"/>
  <c r="P20" i="24"/>
  <c r="L20" i="24"/>
  <c r="H20" i="24"/>
  <c r="D20" i="24"/>
  <c r="B20" i="24"/>
  <c r="JM19" i="24"/>
  <c r="JI19" i="24"/>
  <c r="HY19" i="24"/>
  <c r="GO19" i="24"/>
  <c r="FE19" i="24"/>
  <c r="DU19" i="24"/>
  <c r="CK19" i="24"/>
  <c r="BA19" i="24"/>
  <c r="S19" i="24"/>
  <c r="P19" i="24"/>
  <c r="L19" i="24"/>
  <c r="H19" i="24"/>
  <c r="D19" i="24"/>
  <c r="B19" i="24"/>
  <c r="JM18" i="24"/>
  <c r="JI18" i="24"/>
  <c r="HY18" i="24"/>
  <c r="GO18" i="24"/>
  <c r="FE18" i="24"/>
  <c r="DU18" i="24"/>
  <c r="CK18" i="24"/>
  <c r="BA18" i="24"/>
  <c r="S18" i="24"/>
  <c r="P18" i="24"/>
  <c r="L18" i="24"/>
  <c r="H18" i="24"/>
  <c r="D18" i="24"/>
  <c r="B18" i="24"/>
  <c r="JM17" i="24"/>
  <c r="JI17" i="24"/>
  <c r="HY17" i="24"/>
  <c r="GO17" i="24"/>
  <c r="FE17" i="24"/>
  <c r="DU17" i="24"/>
  <c r="CK17" i="24"/>
  <c r="BA17" i="24"/>
  <c r="S17" i="24"/>
  <c r="P17" i="24"/>
  <c r="L17" i="24"/>
  <c r="H17" i="24"/>
  <c r="D17" i="24"/>
  <c r="B17" i="24"/>
  <c r="JM16" i="24"/>
  <c r="JI16" i="24"/>
  <c r="HY16" i="24"/>
  <c r="GO16" i="24"/>
  <c r="FE16" i="24"/>
  <c r="DU16" i="24"/>
  <c r="CK16" i="24"/>
  <c r="BA16" i="24"/>
  <c r="S16" i="24"/>
  <c r="P16" i="24"/>
  <c r="L16" i="24"/>
  <c r="H16" i="24"/>
  <c r="D16" i="24"/>
  <c r="B16" i="24"/>
  <c r="JM15" i="24"/>
  <c r="JI15" i="24"/>
  <c r="HY15" i="24"/>
  <c r="GO15" i="24"/>
  <c r="FE15" i="24"/>
  <c r="DU15" i="24"/>
  <c r="CK15" i="24"/>
  <c r="BA15" i="24"/>
  <c r="S15" i="24"/>
  <c r="P15" i="24"/>
  <c r="L15" i="24"/>
  <c r="H15" i="24"/>
  <c r="D15" i="24"/>
  <c r="B15" i="24"/>
  <c r="JM14" i="24"/>
  <c r="JI14" i="24"/>
  <c r="HY14" i="24"/>
  <c r="GO14" i="24"/>
  <c r="FE14" i="24"/>
  <c r="DU14" i="24"/>
  <c r="CK14" i="24"/>
  <c r="BA14" i="24"/>
  <c r="S14" i="24"/>
  <c r="P14" i="24"/>
  <c r="L14" i="24"/>
  <c r="H14" i="24"/>
  <c r="D14" i="24"/>
  <c r="B14" i="24"/>
  <c r="JM13" i="24"/>
  <c r="JI13" i="24"/>
  <c r="HY13" i="24"/>
  <c r="GO13" i="24"/>
  <c r="FE13" i="24"/>
  <c r="DU13" i="24"/>
  <c r="CK13" i="24"/>
  <c r="BA13" i="24"/>
  <c r="S13" i="24"/>
  <c r="P13" i="24"/>
  <c r="L13" i="24"/>
  <c r="H13" i="24"/>
  <c r="D13" i="24"/>
  <c r="B13" i="24"/>
  <c r="JM12" i="24"/>
  <c r="JI12" i="24"/>
  <c r="HY12" i="24"/>
  <c r="GO12" i="24"/>
  <c r="FE12" i="24"/>
  <c r="DU12" i="24"/>
  <c r="CK12" i="24"/>
  <c r="BA12" i="24"/>
  <c r="S12" i="24"/>
  <c r="P12" i="24"/>
  <c r="L12" i="24"/>
  <c r="H12" i="24"/>
  <c r="D12" i="24"/>
  <c r="B12" i="24"/>
  <c r="JM11" i="24"/>
  <c r="JI11" i="24"/>
  <c r="HY11" i="24"/>
  <c r="GO11" i="24"/>
  <c r="FE11" i="24"/>
  <c r="DU11" i="24"/>
  <c r="CK11" i="24"/>
  <c r="BA11" i="24"/>
  <c r="S11" i="24"/>
  <c r="P11" i="24"/>
  <c r="L11" i="24"/>
  <c r="H11" i="24"/>
  <c r="D11" i="24"/>
  <c r="B11" i="24"/>
  <c r="JM10" i="24"/>
  <c r="JI10" i="24"/>
  <c r="HY10" i="24"/>
  <c r="GO10" i="24"/>
  <c r="FE10" i="24"/>
  <c r="DU10" i="24"/>
  <c r="CK10" i="24"/>
  <c r="BA10" i="24"/>
  <c r="S10" i="24"/>
  <c r="P10" i="24"/>
  <c r="L10" i="24"/>
  <c r="H10" i="24"/>
  <c r="D10" i="24"/>
  <c r="B10" i="24"/>
  <c r="JM9" i="24"/>
  <c r="JI9" i="24"/>
  <c r="HY9" i="24"/>
  <c r="GO9" i="24"/>
  <c r="FE9" i="24"/>
  <c r="DU9" i="24"/>
  <c r="CK9" i="24"/>
  <c r="BA9" i="24"/>
  <c r="S9" i="24"/>
  <c r="P9" i="24"/>
  <c r="L9" i="24"/>
  <c r="H9" i="24"/>
  <c r="D9" i="24"/>
  <c r="B9" i="24"/>
  <c r="JM8" i="24"/>
  <c r="JI8" i="24"/>
  <c r="HY8" i="24"/>
  <c r="GO8" i="24"/>
  <c r="FE8" i="24"/>
  <c r="DU8" i="24"/>
  <c r="CK8" i="24"/>
  <c r="BA8" i="24"/>
  <c r="S8" i="24"/>
  <c r="P8" i="24"/>
  <c r="L8" i="24"/>
  <c r="H8" i="24"/>
  <c r="D8" i="24"/>
  <c r="B8" i="24"/>
  <c r="JM7" i="24"/>
  <c r="JI7" i="24"/>
  <c r="HY7" i="24"/>
  <c r="GO7" i="24"/>
  <c r="FE7" i="24"/>
  <c r="DU7" i="24"/>
  <c r="CK7" i="24"/>
  <c r="BA7" i="24"/>
  <c r="S7" i="24"/>
  <c r="P7" i="24"/>
  <c r="L7" i="24"/>
  <c r="H7" i="24"/>
  <c r="D7" i="24"/>
  <c r="B7" i="24"/>
  <c r="JN6" i="24"/>
  <c r="JN7" i="24" s="1"/>
  <c r="JN8" i="24" s="1"/>
  <c r="JN9" i="24" s="1"/>
  <c r="JN10" i="24" s="1"/>
  <c r="JN11" i="24" s="1"/>
  <c r="JN12" i="24" s="1"/>
  <c r="JN13" i="24" s="1"/>
  <c r="JN14" i="24" s="1"/>
  <c r="JN15" i="24" s="1"/>
  <c r="JN16" i="24" s="1"/>
  <c r="JN17" i="24" s="1"/>
  <c r="JN18" i="24" s="1"/>
  <c r="JN19" i="24" s="1"/>
  <c r="JN20" i="24" s="1"/>
  <c r="JN21" i="24" s="1"/>
  <c r="JN22" i="24" s="1"/>
  <c r="JN23" i="24" s="1"/>
  <c r="JN24" i="24" s="1"/>
  <c r="JN25" i="24" s="1"/>
  <c r="JN26" i="24" s="1"/>
  <c r="JN27" i="24" s="1"/>
  <c r="JN28" i="24" s="1"/>
  <c r="JN29" i="24" s="1"/>
  <c r="JM6" i="24"/>
  <c r="JJ6" i="24"/>
  <c r="JJ7" i="24" s="1"/>
  <c r="JJ8" i="24" s="1"/>
  <c r="JJ9" i="24" s="1"/>
  <c r="JJ10" i="24" s="1"/>
  <c r="JJ11" i="24" s="1"/>
  <c r="JJ12" i="24" s="1"/>
  <c r="JJ13" i="24" s="1"/>
  <c r="JJ14" i="24" s="1"/>
  <c r="JJ15" i="24" s="1"/>
  <c r="JJ16" i="24" s="1"/>
  <c r="JJ17" i="24" s="1"/>
  <c r="JJ18" i="24" s="1"/>
  <c r="JJ19" i="24" s="1"/>
  <c r="JJ20" i="24" s="1"/>
  <c r="JJ21" i="24" s="1"/>
  <c r="JJ22" i="24" s="1"/>
  <c r="JJ23" i="24" s="1"/>
  <c r="JJ24" i="24" s="1"/>
  <c r="JJ25" i="24" s="1"/>
  <c r="JJ26" i="24" s="1"/>
  <c r="JJ27" i="24" s="1"/>
  <c r="JJ28" i="24" s="1"/>
  <c r="JJ29" i="24" s="1"/>
  <c r="JI6" i="24"/>
  <c r="HZ6" i="24"/>
  <c r="HZ7" i="24" s="1"/>
  <c r="HZ8" i="24" s="1"/>
  <c r="HZ9" i="24" s="1"/>
  <c r="HZ10" i="24" s="1"/>
  <c r="HZ11" i="24" s="1"/>
  <c r="HZ12" i="24" s="1"/>
  <c r="HZ13" i="24" s="1"/>
  <c r="HZ14" i="24" s="1"/>
  <c r="HZ15" i="24" s="1"/>
  <c r="HZ16" i="24" s="1"/>
  <c r="HZ17" i="24" s="1"/>
  <c r="HZ18" i="24" s="1"/>
  <c r="HZ19" i="24" s="1"/>
  <c r="HZ20" i="24" s="1"/>
  <c r="HZ21" i="24" s="1"/>
  <c r="HZ22" i="24" s="1"/>
  <c r="HZ23" i="24" s="1"/>
  <c r="HZ24" i="24" s="1"/>
  <c r="HZ25" i="24" s="1"/>
  <c r="HZ26" i="24" s="1"/>
  <c r="HZ27" i="24" s="1"/>
  <c r="HZ28" i="24" s="1"/>
  <c r="HZ29" i="24" s="1"/>
  <c r="HY6" i="24"/>
  <c r="GP6" i="24"/>
  <c r="GP7" i="24" s="1"/>
  <c r="GP8" i="24" s="1"/>
  <c r="GP9" i="24" s="1"/>
  <c r="GP10" i="24" s="1"/>
  <c r="GP11" i="24" s="1"/>
  <c r="GP12" i="24" s="1"/>
  <c r="GP13" i="24" s="1"/>
  <c r="GP14" i="24" s="1"/>
  <c r="GP15" i="24" s="1"/>
  <c r="GP16" i="24" s="1"/>
  <c r="GP17" i="24" s="1"/>
  <c r="GP18" i="24" s="1"/>
  <c r="GP19" i="24" s="1"/>
  <c r="GP20" i="24" s="1"/>
  <c r="GP21" i="24" s="1"/>
  <c r="GP22" i="24" s="1"/>
  <c r="GP23" i="24" s="1"/>
  <c r="GP24" i="24" s="1"/>
  <c r="GP25" i="24" s="1"/>
  <c r="GP26" i="24" s="1"/>
  <c r="GP27" i="24" s="1"/>
  <c r="GP28" i="24" s="1"/>
  <c r="GP29" i="24" s="1"/>
  <c r="GO6" i="24"/>
  <c r="FF6" i="24"/>
  <c r="FF7" i="24" s="1"/>
  <c r="FF8" i="24" s="1"/>
  <c r="FF9" i="24" s="1"/>
  <c r="FF10" i="24" s="1"/>
  <c r="FF11" i="24" s="1"/>
  <c r="FF12" i="24" s="1"/>
  <c r="FF13" i="24" s="1"/>
  <c r="FF14" i="24" s="1"/>
  <c r="FF15" i="24" s="1"/>
  <c r="FF16" i="24" s="1"/>
  <c r="FF17" i="24" s="1"/>
  <c r="FF18" i="24" s="1"/>
  <c r="FF19" i="24" s="1"/>
  <c r="FF20" i="24" s="1"/>
  <c r="FF21" i="24" s="1"/>
  <c r="FF22" i="24" s="1"/>
  <c r="FF23" i="24" s="1"/>
  <c r="FF24" i="24" s="1"/>
  <c r="FF25" i="24" s="1"/>
  <c r="FF26" i="24" s="1"/>
  <c r="FF27" i="24" s="1"/>
  <c r="FF28" i="24" s="1"/>
  <c r="FF29" i="24" s="1"/>
  <c r="FE6" i="24"/>
  <c r="DV6" i="24"/>
  <c r="DV7" i="24" s="1"/>
  <c r="DV8" i="24" s="1"/>
  <c r="DV9" i="24" s="1"/>
  <c r="DV10" i="24" s="1"/>
  <c r="DV11" i="24" s="1"/>
  <c r="DV12" i="24" s="1"/>
  <c r="DV13" i="24" s="1"/>
  <c r="DV14" i="24" s="1"/>
  <c r="DV15" i="24" s="1"/>
  <c r="DV16" i="24" s="1"/>
  <c r="DV17" i="24" s="1"/>
  <c r="DV18" i="24" s="1"/>
  <c r="DV19" i="24" s="1"/>
  <c r="DV20" i="24" s="1"/>
  <c r="DV21" i="24" s="1"/>
  <c r="DV22" i="24" s="1"/>
  <c r="DV23" i="24" s="1"/>
  <c r="DV24" i="24" s="1"/>
  <c r="DV25" i="24" s="1"/>
  <c r="DV26" i="24" s="1"/>
  <c r="DV27" i="24" s="1"/>
  <c r="DV28" i="24" s="1"/>
  <c r="DV29" i="24" s="1"/>
  <c r="DU6" i="24"/>
  <c r="CL6" i="24"/>
  <c r="CL7" i="24" s="1"/>
  <c r="CL8" i="24" s="1"/>
  <c r="CL9" i="24" s="1"/>
  <c r="CL10" i="24" s="1"/>
  <c r="CL11" i="24" s="1"/>
  <c r="CL12" i="24" s="1"/>
  <c r="CL13" i="24" s="1"/>
  <c r="CL14" i="24" s="1"/>
  <c r="CL15" i="24" s="1"/>
  <c r="CL16" i="24" s="1"/>
  <c r="CL17" i="24" s="1"/>
  <c r="CL18" i="24" s="1"/>
  <c r="CL19" i="24" s="1"/>
  <c r="CL20" i="24" s="1"/>
  <c r="CL21" i="24" s="1"/>
  <c r="CL22" i="24" s="1"/>
  <c r="CL23" i="24" s="1"/>
  <c r="CL24" i="24" s="1"/>
  <c r="CL25" i="24" s="1"/>
  <c r="CL26" i="24" s="1"/>
  <c r="CL27" i="24" s="1"/>
  <c r="CL28" i="24" s="1"/>
  <c r="CL29" i="24" s="1"/>
  <c r="CK6" i="24"/>
  <c r="BB6" i="24"/>
  <c r="BB7" i="24" s="1"/>
  <c r="BB8" i="24" s="1"/>
  <c r="BB9" i="24" s="1"/>
  <c r="BB10" i="24" s="1"/>
  <c r="BB11" i="24" s="1"/>
  <c r="BB12" i="24" s="1"/>
  <c r="BB13" i="24" s="1"/>
  <c r="BB14" i="24" s="1"/>
  <c r="BB15" i="24" s="1"/>
  <c r="BB16" i="24" s="1"/>
  <c r="BB17" i="24" s="1"/>
  <c r="BB18" i="24" s="1"/>
  <c r="BB19" i="24" s="1"/>
  <c r="BB20" i="24" s="1"/>
  <c r="BB21" i="24" s="1"/>
  <c r="BB22" i="24" s="1"/>
  <c r="BB23" i="24" s="1"/>
  <c r="BB24" i="24" s="1"/>
  <c r="BB25" i="24" s="1"/>
  <c r="BB26" i="24" s="1"/>
  <c r="BB27" i="24" s="1"/>
  <c r="BB28" i="24" s="1"/>
  <c r="BB29" i="24" s="1"/>
  <c r="BA6" i="24"/>
  <c r="S6" i="24"/>
  <c r="Q6" i="24"/>
  <c r="Q7" i="24" s="1"/>
  <c r="Q8" i="24" s="1"/>
  <c r="Q9" i="24" s="1"/>
  <c r="Q10" i="24" s="1"/>
  <c r="Q11" i="24" s="1"/>
  <c r="Q12" i="24" s="1"/>
  <c r="Q13" i="24" s="1"/>
  <c r="Q14" i="24" s="1"/>
  <c r="Q15" i="24" s="1"/>
  <c r="Q16" i="24" s="1"/>
  <c r="Q17" i="24" s="1"/>
  <c r="Q18" i="24" s="1"/>
  <c r="Q19" i="24" s="1"/>
  <c r="Q20" i="24" s="1"/>
  <c r="Q21" i="24" s="1"/>
  <c r="Q22" i="24" s="1"/>
  <c r="Q23" i="24" s="1"/>
  <c r="Q24" i="24" s="1"/>
  <c r="Q25" i="24" s="1"/>
  <c r="Q26" i="24" s="1"/>
  <c r="Q27" i="24" s="1"/>
  <c r="Q28" i="24" s="1"/>
  <c r="Q29" i="24" s="1"/>
  <c r="P6" i="24"/>
  <c r="M6" i="24"/>
  <c r="M7" i="24" s="1"/>
  <c r="M8" i="24" s="1"/>
  <c r="M9" i="24" s="1"/>
  <c r="M10" i="24" s="1"/>
  <c r="M11" i="24" s="1"/>
  <c r="M12" i="24" s="1"/>
  <c r="M13" i="24" s="1"/>
  <c r="M14" i="24" s="1"/>
  <c r="M15" i="24" s="1"/>
  <c r="M16" i="24" s="1"/>
  <c r="M17" i="24" s="1"/>
  <c r="M18" i="24" s="1"/>
  <c r="M19" i="24" s="1"/>
  <c r="M20" i="24" s="1"/>
  <c r="M21" i="24" s="1"/>
  <c r="M22" i="24" s="1"/>
  <c r="M23" i="24" s="1"/>
  <c r="M24" i="24" s="1"/>
  <c r="M25" i="24" s="1"/>
  <c r="M26" i="24" s="1"/>
  <c r="M27" i="24" s="1"/>
  <c r="M28" i="24" s="1"/>
  <c r="M29" i="24" s="1"/>
  <c r="L6" i="24"/>
  <c r="I6" i="24"/>
  <c r="I7" i="24" s="1"/>
  <c r="I8" i="24" s="1"/>
  <c r="I9" i="24" s="1"/>
  <c r="I10" i="24" s="1"/>
  <c r="I11" i="24" s="1"/>
  <c r="I12" i="24" s="1"/>
  <c r="I13" i="24" s="1"/>
  <c r="I14" i="24" s="1"/>
  <c r="I15" i="24" s="1"/>
  <c r="I16" i="24" s="1"/>
  <c r="I17" i="24" s="1"/>
  <c r="I18" i="24" s="1"/>
  <c r="I19" i="24" s="1"/>
  <c r="I20" i="24" s="1"/>
  <c r="I21" i="24" s="1"/>
  <c r="I22" i="24" s="1"/>
  <c r="I23" i="24" s="1"/>
  <c r="I24" i="24" s="1"/>
  <c r="I25" i="24" s="1"/>
  <c r="I26" i="24" s="1"/>
  <c r="I27" i="24" s="1"/>
  <c r="I28" i="24" s="1"/>
  <c r="I29" i="24" s="1"/>
  <c r="H6" i="24"/>
  <c r="E6" i="24"/>
  <c r="E7" i="24" s="1"/>
  <c r="E8" i="24" s="1"/>
  <c r="E9" i="24" s="1"/>
  <c r="E10" i="24" s="1"/>
  <c r="E11" i="24" s="1"/>
  <c r="E12" i="24" s="1"/>
  <c r="E13" i="24" s="1"/>
  <c r="E14" i="24" s="1"/>
  <c r="E15" i="24" s="1"/>
  <c r="E16" i="24" s="1"/>
  <c r="E17" i="24" s="1"/>
  <c r="E18" i="24" s="1"/>
  <c r="E19" i="24" s="1"/>
  <c r="E20" i="24" s="1"/>
  <c r="E21" i="24" s="1"/>
  <c r="E22" i="24" s="1"/>
  <c r="E23" i="24" s="1"/>
  <c r="E24" i="24" s="1"/>
  <c r="E25" i="24" s="1"/>
  <c r="E26" i="24" s="1"/>
  <c r="E27" i="24" s="1"/>
  <c r="E28" i="24" s="1"/>
  <c r="E29" i="24" s="1"/>
  <c r="D6" i="24"/>
  <c r="B6" i="24"/>
  <c r="S5" i="24"/>
  <c r="B5" i="24"/>
  <c r="AZ29" i="24" a="1"/>
  <c r="AZ28" i="24" a="1"/>
  <c r="AZ11" i="24" a="1"/>
  <c r="AZ24" i="24" a="1"/>
  <c r="DT21" i="24" a="1"/>
  <c r="CJ19" i="24" a="1"/>
  <c r="GN12" i="24" a="1"/>
  <c r="FD20" i="24" a="1"/>
  <c r="JH19" i="24" a="1"/>
  <c r="FD8" i="24" a="1"/>
  <c r="GN23" i="24" a="1"/>
  <c r="AZ12" i="24" a="1"/>
  <c r="CJ23" i="24" a="1"/>
  <c r="JH17" i="24" a="1"/>
  <c r="AZ5" i="24" a="1"/>
  <c r="FD12" i="24" a="1"/>
  <c r="GN21" i="24" a="1"/>
  <c r="CJ14" i="24" a="1"/>
  <c r="CJ26" i="24" a="1"/>
  <c r="AZ10" i="24" a="1"/>
  <c r="FD26" i="24" a="1"/>
  <c r="HX7" i="24" a="1"/>
  <c r="CJ16" i="24" a="1"/>
  <c r="AZ21" i="24" a="1"/>
  <c r="CJ21" i="24" a="1"/>
  <c r="JH7" i="24" a="1"/>
  <c r="AZ25" i="24" a="1"/>
  <c r="GN5" i="24" a="1"/>
  <c r="AZ22" i="24" a="1"/>
  <c r="HX8" i="24" a="1"/>
  <c r="GN20" i="24" a="1"/>
  <c r="CJ7" i="24" a="1"/>
  <c r="FD11" i="24" a="1"/>
  <c r="FD16" i="24" a="1"/>
  <c r="HX6" i="24" a="1"/>
  <c r="DT17" i="24" a="1"/>
  <c r="AZ27" i="24" a="1"/>
  <c r="FD7" i="24" a="1"/>
  <c r="FD25" i="24" a="1"/>
  <c r="DT14" i="24" a="1"/>
  <c r="CJ9" i="24" a="1"/>
  <c r="CJ20" i="24" a="1"/>
  <c r="HX9" i="24" a="1"/>
  <c r="JH12" i="24" a="1"/>
  <c r="AZ20" i="24" a="1"/>
  <c r="HX21" i="24" a="1"/>
  <c r="CJ29" i="24" a="1"/>
  <c r="GN8" i="24" a="1"/>
  <c r="CJ22" i="24" a="1"/>
  <c r="CJ25" i="24" a="1"/>
  <c r="AZ8" i="24" a="1"/>
  <c r="GN10" i="24" a="1"/>
  <c r="CJ10" i="24" a="1"/>
  <c r="HX13" i="24" a="1"/>
  <c r="JH20" i="24" a="1"/>
  <c r="FD24" i="24" a="1"/>
  <c r="JH10" i="24" a="1"/>
  <c r="FD22" i="24" a="1"/>
  <c r="HX22" i="24" a="1"/>
  <c r="GN27" i="24" a="1"/>
  <c r="GN7" i="24" a="1"/>
  <c r="DT23" i="24" a="1"/>
  <c r="JH18" i="24" a="1"/>
  <c r="HX26" i="24" a="1"/>
  <c r="DT6" i="24" a="1"/>
  <c r="GN6" i="24" a="1"/>
  <c r="FD29" i="24" a="1"/>
  <c r="AZ15" i="24" a="1"/>
  <c r="GN24" i="24" a="1"/>
  <c r="CJ24" i="24" a="1"/>
  <c r="HX18" i="24" a="1"/>
  <c r="JH23" i="24" a="1"/>
  <c r="JH21" i="24" a="1"/>
  <c r="CJ12" i="24" a="1"/>
  <c r="DT11" i="24" a="1"/>
  <c r="FD18" i="24" a="1"/>
  <c r="CJ11" i="24" a="1"/>
  <c r="DT29" i="24" a="1"/>
  <c r="HX23" i="24" a="1"/>
  <c r="FD27" i="24" a="1"/>
  <c r="GN25" i="24" a="1"/>
  <c r="JH28" i="24" a="1"/>
  <c r="GN11" i="24" a="1"/>
  <c r="DT9" i="24" a="1"/>
  <c r="JH24" i="24" a="1"/>
  <c r="JH16" i="24" a="1"/>
  <c r="AZ18" i="24" a="1"/>
  <c r="DT24" i="24" a="1"/>
  <c r="CJ8" i="24" a="1"/>
  <c r="HX20" i="24" a="1"/>
  <c r="DT15" i="24" a="1"/>
  <c r="HX29" i="24" a="1"/>
  <c r="JH9" i="24" a="1"/>
  <c r="GN28" i="24" a="1"/>
  <c r="HX25" i="24" a="1"/>
  <c r="DT5" i="24" a="1"/>
  <c r="FD15" i="24" a="1"/>
  <c r="FD10" i="24" a="1"/>
  <c r="HX5" i="24" a="1"/>
  <c r="FD13" i="24" a="1"/>
  <c r="AZ19" i="24" a="1"/>
  <c r="AZ26" i="24" a="1"/>
  <c r="FD5" i="24" a="1"/>
  <c r="GN16" i="24" a="1"/>
  <c r="FD21" i="24" a="1"/>
  <c r="AZ7" i="24" a="1"/>
  <c r="AZ6" i="24" a="1"/>
  <c r="HX15" i="24" a="1"/>
  <c r="JH29" i="24" a="1"/>
  <c r="JH14" i="24" a="1"/>
  <c r="HX27" i="24" a="1"/>
  <c r="DT22" i="24" a="1"/>
  <c r="GN22" i="24" a="1"/>
  <c r="GN18" i="24" a="1"/>
  <c r="CJ27" i="24" a="1"/>
  <c r="DT10" i="24" a="1"/>
  <c r="FD17" i="24" a="1"/>
  <c r="JH27" i="24" a="1"/>
  <c r="JH15" i="24" a="1"/>
  <c r="CJ28" i="24" a="1"/>
  <c r="GN15" i="24" a="1"/>
  <c r="DT7" i="24" a="1"/>
  <c r="GN13" i="24" a="1"/>
  <c r="HX10" i="24" a="1"/>
  <c r="HX19" i="24" a="1"/>
  <c r="GN17" i="24" a="1"/>
  <c r="HX11" i="24" a="1"/>
  <c r="AZ17" i="24" a="1"/>
  <c r="AZ14" i="24" a="1"/>
  <c r="DT20" i="24" a="1"/>
  <c r="JH22" i="24" a="1"/>
  <c r="JH11" i="24" a="1"/>
  <c r="CJ18" i="24" a="1"/>
  <c r="HX17" i="24" a="1"/>
  <c r="AZ16" i="24" a="1"/>
  <c r="FD28" i="24" a="1"/>
  <c r="DT16" i="24" a="1"/>
  <c r="DT27" i="24" a="1"/>
  <c r="CJ13" i="24" a="1"/>
  <c r="DT13" i="24" a="1"/>
  <c r="CJ15" i="24" a="1"/>
  <c r="DT28" i="24" a="1"/>
  <c r="HX14" i="24" a="1"/>
  <c r="AZ13" i="24" a="1"/>
  <c r="DT18" i="24" a="1"/>
  <c r="DT12" i="24" a="1"/>
  <c r="AZ23" i="24" a="1"/>
  <c r="FD19" i="24" a="1"/>
  <c r="DT8" i="24" a="1"/>
  <c r="GN9" i="24" a="1"/>
  <c r="FD14" i="24" a="1"/>
  <c r="GN26" i="24" a="1"/>
  <c r="DT26" i="24" a="1"/>
  <c r="FD9" i="24" a="1"/>
  <c r="JH26" i="24" a="1"/>
  <c r="HX12" i="24" a="1"/>
  <c r="CJ17" i="24" a="1"/>
  <c r="CJ6" i="24" a="1"/>
  <c r="JH8" i="24" a="1"/>
  <c r="DT25" i="24" a="1"/>
  <c r="GN19" i="24" a="1"/>
  <c r="GN29" i="24" a="1"/>
  <c r="GN14" i="24" a="1"/>
  <c r="JH13" i="24" a="1"/>
  <c r="FD6" i="24" a="1"/>
  <c r="DT19" i="24" a="1"/>
  <c r="FD23" i="24" a="1"/>
  <c r="HX28" i="24" a="1"/>
  <c r="HX16" i="24" a="1"/>
  <c r="AZ9" i="24" a="1"/>
  <c r="HX24" i="24" a="1"/>
  <c r="JH6" i="24" a="1"/>
  <c r="CJ5" i="24" a="1"/>
  <c r="JH25" i="24" a="1"/>
  <c r="JH5" i="24" a="1"/>
  <c r="JH12" i="24" l="1"/>
  <c r="DT8" i="24"/>
  <c r="HX11" i="24"/>
  <c r="FD14" i="24"/>
  <c r="HX9" i="24"/>
  <c r="CJ5" i="24"/>
  <c r="GN17" i="24"/>
  <c r="JH5" i="24"/>
  <c r="CJ20" i="24"/>
  <c r="FD19" i="24"/>
  <c r="HX19" i="24"/>
  <c r="JH23" i="24"/>
  <c r="CJ9" i="24"/>
  <c r="JH6" i="24"/>
  <c r="HX10" i="24"/>
  <c r="GN9" i="24"/>
  <c r="DT14" i="24"/>
  <c r="AZ23" i="24"/>
  <c r="GN13" i="24"/>
  <c r="JH25" i="24"/>
  <c r="FD25" i="24"/>
  <c r="HX24" i="24"/>
  <c r="DT7" i="24"/>
  <c r="HX18" i="24"/>
  <c r="FD7" i="24"/>
  <c r="DT12" i="24"/>
  <c r="GN15" i="24"/>
  <c r="CJ24" i="24"/>
  <c r="AZ27" i="24"/>
  <c r="AZ9" i="24"/>
  <c r="CJ28" i="24"/>
  <c r="GN24" i="24"/>
  <c r="DT17" i="24"/>
  <c r="HX16" i="24"/>
  <c r="JH15" i="24"/>
  <c r="AZ15" i="24"/>
  <c r="HX6" i="24"/>
  <c r="DT18" i="24"/>
  <c r="JH27" i="24"/>
  <c r="FD29" i="24"/>
  <c r="FD16" i="24"/>
  <c r="HX28" i="24"/>
  <c r="FD17" i="24"/>
  <c r="GN6" i="24"/>
  <c r="FD11" i="24"/>
  <c r="AZ13" i="24"/>
  <c r="DT10" i="24"/>
  <c r="DT6" i="24"/>
  <c r="CJ7" i="24"/>
  <c r="FD23" i="24"/>
  <c r="CJ27" i="24"/>
  <c r="HX26" i="24"/>
  <c r="GN20" i="24"/>
  <c r="HX14" i="24"/>
  <c r="GN18" i="24"/>
  <c r="JH18" i="24"/>
  <c r="HX8" i="24"/>
  <c r="DT19" i="24"/>
  <c r="GN22" i="24"/>
  <c r="DT23" i="24"/>
  <c r="AZ22" i="24"/>
  <c r="DT28" i="24"/>
  <c r="DT22" i="24"/>
  <c r="GN7" i="24"/>
  <c r="GN5" i="24"/>
  <c r="FD6" i="24"/>
  <c r="HX27" i="24"/>
  <c r="GN27" i="24"/>
  <c r="AZ25" i="24"/>
  <c r="CJ15" i="24"/>
  <c r="JH14" i="24"/>
  <c r="HX22" i="24"/>
  <c r="JH7" i="24"/>
  <c r="JH13" i="24"/>
  <c r="JH29" i="24"/>
  <c r="FD22" i="24"/>
  <c r="CJ21" i="24"/>
  <c r="DT13" i="24"/>
  <c r="HX15" i="24"/>
  <c r="JH10" i="24"/>
  <c r="AZ21" i="24"/>
  <c r="CJ13" i="24"/>
  <c r="AZ6" i="24"/>
  <c r="FD24" i="24"/>
  <c r="CJ16" i="24"/>
  <c r="GN14" i="24"/>
  <c r="AZ7" i="24"/>
  <c r="JH20" i="24"/>
  <c r="HX7" i="24"/>
  <c r="DT27" i="24"/>
  <c r="FD21" i="24"/>
  <c r="HX13" i="24"/>
  <c r="FD26" i="24"/>
  <c r="DT16" i="24"/>
  <c r="GN16" i="24"/>
  <c r="CJ10" i="24"/>
  <c r="AZ10" i="24"/>
  <c r="GN29" i="24"/>
  <c r="FD5" i="24"/>
  <c r="GN10" i="24"/>
  <c r="CJ26" i="24"/>
  <c r="FD28" i="24"/>
  <c r="AZ26" i="24"/>
  <c r="AZ8" i="24"/>
  <c r="CJ14" i="24"/>
  <c r="GN19" i="24"/>
  <c r="AZ19" i="24"/>
  <c r="CJ25" i="24"/>
  <c r="GN21" i="24"/>
  <c r="AZ16" i="24"/>
  <c r="FD13" i="24"/>
  <c r="CJ22" i="24"/>
  <c r="FD12" i="24"/>
  <c r="DT25" i="24"/>
  <c r="HX5" i="24"/>
  <c r="GN8" i="24"/>
  <c r="AZ5" i="24"/>
  <c r="HX17" i="24"/>
  <c r="FD10" i="24"/>
  <c r="CJ29" i="24"/>
  <c r="JH17" i="24"/>
  <c r="CJ18" i="24"/>
  <c r="FD15" i="24"/>
  <c r="HX21" i="24"/>
  <c r="CJ23" i="24"/>
  <c r="JH8" i="24"/>
  <c r="DT5" i="24"/>
  <c r="AZ20" i="24"/>
  <c r="AZ12" i="24"/>
  <c r="JH11" i="24"/>
  <c r="HX25" i="24"/>
  <c r="GN11" i="24"/>
  <c r="GN23" i="24"/>
  <c r="CJ6" i="24"/>
  <c r="GN28" i="24"/>
  <c r="JH28" i="24"/>
  <c r="FD8" i="24"/>
  <c r="JH22" i="24"/>
  <c r="JH9" i="24"/>
  <c r="GN25" i="24"/>
  <c r="JH19" i="24"/>
  <c r="CJ17" i="24"/>
  <c r="HX29" i="24"/>
  <c r="FD27" i="24"/>
  <c r="FD20" i="24"/>
  <c r="DT20" i="24"/>
  <c r="DT15" i="24"/>
  <c r="HX23" i="24"/>
  <c r="GN12" i="24"/>
  <c r="HX12" i="24"/>
  <c r="HX20" i="24"/>
  <c r="DT29" i="24"/>
  <c r="CJ19" i="24"/>
  <c r="AZ14" i="24"/>
  <c r="CJ8" i="24"/>
  <c r="CJ11" i="24"/>
  <c r="DT21" i="24"/>
  <c r="JH26" i="24"/>
  <c r="DT24" i="24"/>
  <c r="FD18" i="24"/>
  <c r="AZ24" i="24"/>
  <c r="AZ17" i="24"/>
  <c r="AZ18" i="24"/>
  <c r="DT11" i="24"/>
  <c r="AZ11" i="24"/>
  <c r="FD9" i="24"/>
  <c r="JH16" i="24"/>
  <c r="CJ12" i="24"/>
  <c r="AZ28" i="24"/>
  <c r="DT26" i="24"/>
  <c r="JH24" i="24"/>
  <c r="JH21" i="24"/>
  <c r="AZ29" i="24"/>
  <c r="GN26" i="24"/>
  <c r="DT9" i="2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<sst xmlns="http://schemas.openxmlformats.org/spreadsheetml/2006/main" count="589" uniqueCount="260">
  <si>
    <t>Pinchart Information</t>
  </si>
  <si>
    <t>For a pinchart to be uploaded, downloaded, imported, or exported. The sheet has to have the word "pinchart" contained within the sheet name. For example, "PINCHART-CIPACIRCUIT1" would be a valid pinchart and would be uploaded/downloaded. The name is NOT case sensitive, for example, PiNChart-X would be valid and uploaded. All of the configuration is within the below cells. The paths HAVE to be valid, and the script path needs to point to the main.py script.</t>
  </si>
  <si>
    <t>Directions to utilize this new pin chart</t>
  </si>
  <si>
    <t>Install python 2.7 (32-bit)</t>
  </si>
  <si>
    <t>Install OpenOPC for python</t>
  </si>
  <si>
    <t>Install library dependencies</t>
  </si>
  <si>
    <t>System Configuration</t>
  </si>
  <si>
    <t>DO NOT MOVE THESE CELLS</t>
  </si>
  <si>
    <t>Python Script</t>
  </si>
  <si>
    <t>PLC Operations
Upload - Uploads the data from the PLC into the Excel Pinchart File.
Download - Downloads the data from the PLC into the Excel Pinchart File.</t>
  </si>
  <si>
    <t>INT DATA</t>
  </si>
  <si>
    <t>DO NOT MOVE THESE CELLS.  USED FOR DATA TYPE DROP DOWN LISTS</t>
  </si>
  <si>
    <t>DINT DATA</t>
  </si>
  <si>
    <t>FLOAT DATA</t>
  </si>
  <si>
    <t>STRING DATA</t>
  </si>
  <si>
    <t>Step Description</t>
  </si>
  <si>
    <t>$HeaderRow$</t>
  </si>
  <si>
    <t>WORD ADDRESS</t>
  </si>
  <si>
    <t>Step #</t>
  </si>
  <si>
    <t>]</t>
  </si>
  <si>
    <t>SKIP STEP</t>
  </si>
  <si>
    <t>SKIP STEP ON FLUSH COMPLETE</t>
  </si>
  <si>
    <t>FINAL RINSE FORCE POTABLE ONLY</t>
  </si>
  <si>
    <t xml:space="preserve">PROCESS FLUSH FORCE ONLY POTABLE </t>
  </si>
  <si>
    <t>HOLD FOR PERMEATE TANK LOW LEVEL</t>
  </si>
  <si>
    <t>HOLD FOR PERMEATE TANK SETPOINT LEVEL</t>
  </si>
  <si>
    <t>HOLD FOR CONCENTRATE TANK LOW LEVEL</t>
  </si>
  <si>
    <t>HOLD FOR CONCENTRATE TANK SETPOINT LEVEL</t>
  </si>
  <si>
    <t>HOLD FOR FEED BT LOW LEVEL- PROCESS PUMP TO FLUSH</t>
  </si>
  <si>
    <t>HOLD FEED BT HIGH LEVEL</t>
  </si>
  <si>
    <t>HOLD FEED BT SETPOINT LEVEL</t>
  </si>
  <si>
    <t>HOLD FOR BUILD PRESSURE</t>
  </si>
  <si>
    <t>HOLD FOR CHEMICAL ADDITION</t>
  </si>
  <si>
    <t>HOLD TO FLUSH TOTAL</t>
  </si>
  <si>
    <t>HOLD TO RINSE TOTAL</t>
  </si>
  <si>
    <t>HOLD TO CHECK FLUX STEP TEMP MET</t>
  </si>
  <si>
    <t>HOLD FOR SOAK RECIRC POPUP</t>
  </si>
  <si>
    <t>GOTO STEP ON NO PB</t>
  </si>
  <si>
    <t>GOTO STEP ON YES PB</t>
  </si>
  <si>
    <t>HOLD FOR ACKNOWLEDGE PB</t>
  </si>
  <si>
    <t>HOLD FOR NO PB</t>
  </si>
  <si>
    <t>HOLD FOR YES PB</t>
  </si>
  <si>
    <t>PROCESS</t>
  </si>
  <si>
    <t>EXTRA WASH SKIP STEP</t>
  </si>
  <si>
    <t>FLUSH COMPLETE - SYS TO START FLUSH</t>
  </si>
  <si>
    <t>CHECK FLUX - OPERATOR ALARM</t>
  </si>
  <si>
    <t>CHECK PH - OPERATOR ALARM</t>
  </si>
  <si>
    <t>SET CLOSED - CONCENTRATE CONTROL VALVE</t>
  </si>
  <si>
    <t>PRODUCTION STEP</t>
  </si>
  <si>
    <t>FEED PUMPS - PRESSURE CNTRL ENABLE</t>
  </si>
  <si>
    <t>FEED PUMPS - FLOW CNTRL ENABLE</t>
  </si>
  <si>
    <t>RINSE #5</t>
  </si>
  <si>
    <t>RINSE #4</t>
  </si>
  <si>
    <t>RINSE #3</t>
  </si>
  <si>
    <t>RINSE #2</t>
  </si>
  <si>
    <t>RINSE #1</t>
  </si>
  <si>
    <t>DRAIN BALANCE TANK - SET STEP TIME</t>
  </si>
  <si>
    <t>SANITIZE WASH - SET STEP TIME</t>
  </si>
  <si>
    <t>SOAK WASH - SET STEP TIME</t>
  </si>
  <si>
    <t>SHORT CIP WASH - SET STEP TIME</t>
  </si>
  <si>
    <t>CIP WASH 4 - SET STEP TIME</t>
  </si>
  <si>
    <t>CIP WASH 3 - SET STEP TIME</t>
  </si>
  <si>
    <t>CIP WASH 2 - SET STEP TIME</t>
  </si>
  <si>
    <t>CIP WASH 1 - SET STEP TIME</t>
  </si>
  <si>
    <t>CHECK FLUX - SET TEMP/FLOW SETPOINTS</t>
  </si>
  <si>
    <t>SANITIZE WASH - SET TEMP/FLOW SETPOINTS</t>
  </si>
  <si>
    <t>SOAK WASH - SET TEMP/FLOW SETPOINTS</t>
  </si>
  <si>
    <t>SHORT CIP WASH - SET TEMP/FLOW SETPOINTS</t>
  </si>
  <si>
    <t>CIP WASH 4 - SET TEMP/FLOW SETPOINTS</t>
  </si>
  <si>
    <t>CIP WASH 3 - SET TEMP/FLOW SETPOINTS</t>
  </si>
  <si>
    <t>CIP WASH 2 - SET TEMP/FLOW SETPOINTS</t>
  </si>
  <si>
    <t>CIP WASH 1 - SET TEMP/FLOW SETPOINTS</t>
  </si>
  <si>
    <t>HOLD FOR STAGE 1 AT SPEED</t>
  </si>
  <si>
    <t>HOLD FOR STAGE 1 TO PRESSURE</t>
  </si>
  <si>
    <t>HOLD FOR STAGE 2 TO REACH SPEED/PRESSURE</t>
  </si>
  <si>
    <t>HOLD FOR STAGE 3 TO REACH SPEED/PRESSURE</t>
  </si>
  <si>
    <t>HOLD FOR STAGE 5 TO REACH SPEED/PRESSURE</t>
  </si>
  <si>
    <t>HOLD FOR STAGE 6 TO REACH SPEED/PRESSURE</t>
  </si>
  <si>
    <t>HOLD FOR STAGE 7 TO REACH SPEED/PRESSURE</t>
  </si>
  <si>
    <t>HOLD FOR STAGE 8 TO REACH SPEED/PRESSURE</t>
  </si>
  <si>
    <t>HOLD FOR STAGE 9 TO REACH SPEED/PRESSURE</t>
  </si>
  <si>
    <t>HOLD FOR STAGE 10-11 TO REACH SPEED/PRESSURE</t>
  </si>
  <si>
    <t>RINSE/FLUSH PUMP DOWN FEED BT STEP - SET FLOW SETPOINT</t>
  </si>
  <si>
    <t>RINSE/FLUSH LINES 2 - SET FLOW / TOTAL SETPOINTS</t>
  </si>
  <si>
    <t>RINSE/FLUSH LINES 1 - SET FLOW / TOTAL SETPOINTS</t>
  </si>
  <si>
    <t>RINSE/FLUSH STAGE 12 - SET FLOW / TOTAL SETPOINTS</t>
  </si>
  <si>
    <t>RINSE/FLUSH STAGE 11 - SET FLOW / TOTAL SETPOINTS</t>
  </si>
  <si>
    <t>RINSE/FLUSH STAGE 10 - SET FLOW / TOTAL SETPOINTS</t>
  </si>
  <si>
    <t>RINSE/FLUSH STAGE 9 - SET FLOW / TOTAL SETPOINTS</t>
  </si>
  <si>
    <t>RINSE/FLUSH STAGE 8 - SET FLOW / TOTAL SETPOINTS</t>
  </si>
  <si>
    <t>RINSE/FLUSH STAGE 7 - SET FLOW / TOTAL SETPOINTS</t>
  </si>
  <si>
    <t>RINSE/FLUSH STAGE 6 - SET FLOW / TOTAL SETPOINTS</t>
  </si>
  <si>
    <t>RINSE/FLUSH STAGE 5 - SET FLOW / TOTAL SETPOINTS</t>
  </si>
  <si>
    <t>RINSE/FLUSH STAGE 4 - SET FLOW / TOTAL SETPOINTS</t>
  </si>
  <si>
    <t>RINSE/FLUSH STAGE 3 - SET FLOW / TOTAL SETPOINTS</t>
  </si>
  <si>
    <t>RINSE/FLUSH STAGE 2 - SET FLOW / TOTAL SETPOINTS</t>
  </si>
  <si>
    <t>RINSE/FLUSH STAGE 1 - SET FLOW / TOTAL SETPOINTS</t>
  </si>
  <si>
    <t>Step Setpoints</t>
  </si>
  <si>
    <t>Step Time Minutes</t>
  </si>
  <si>
    <t>Wait for ACK/YES/NO
PB Description</t>
  </si>
  <si>
    <t>Step Time Seconds</t>
  </si>
  <si>
    <t>Output Word: RO.StepDesc</t>
  </si>
  <si>
    <t>RO - Process Mode</t>
  </si>
  <si>
    <t>Timed Step</t>
  </si>
  <si>
    <t>HOLD FOR FEED BT LOW- CIP PUMPING DOWN</t>
  </si>
  <si>
    <t>FEED PUMPS - LEVEL CNTRL ENABLE</t>
  </si>
  <si>
    <t>OK FEED BT EMPTY - CIP DRAINING</t>
  </si>
  <si>
    <t>Wash Step 1, Rinse Step 0</t>
  </si>
  <si>
    <t>CONCENTRATE TANK LEVEL CONTROL</t>
  </si>
  <si>
    <t>CONCENTRATE PUMP SETPOINT SPEEDS</t>
  </si>
  <si>
    <t>PERMEATE TANK LEVEL CONTROL</t>
  </si>
  <si>
    <t>PERMEATE PUMP SETPOINT SPEEDS</t>
  </si>
  <si>
    <t>FLUX TEST - TIME STEP</t>
  </si>
  <si>
    <t>PP-WUF-01 FEED PUMP</t>
  </si>
  <si>
    <t>ENABLE SANITIZER</t>
  </si>
  <si>
    <t>ENABLE SOAK</t>
  </si>
  <si>
    <t>ENABLE ENZYME</t>
  </si>
  <si>
    <t>ENABLE ACID</t>
  </si>
  <si>
    <t>ENABLE SURFACTANT</t>
  </si>
  <si>
    <t>ENABLE CAUSTIC</t>
  </si>
  <si>
    <t>HOME</t>
  </si>
  <si>
    <t>FILLING FEED TANK TO SETPOINT</t>
  </si>
  <si>
    <t>STARTING RECIRC PUMP STAGE 1</t>
  </si>
  <si>
    <t>STARTING RECIRC PUMP STAGE 2</t>
  </si>
  <si>
    <t>STARTING RECIRC PUMP STAGE 3</t>
  </si>
  <si>
    <t>STARTING RECIRC PUMP STAGE 4</t>
  </si>
  <si>
    <t>PROCESSING</t>
  </si>
  <si>
    <t>PUMPING FEED TANK TO LOW LEVEL</t>
  </si>
  <si>
    <t>PAUSE</t>
  </si>
  <si>
    <t>CYCLE COMPLETE</t>
  </si>
  <si>
    <t>$Config$</t>
  </si>
  <si>
    <t>Key</t>
  </si>
  <si>
    <t>Value</t>
  </si>
  <si>
    <t>ADDRESS OFFSET</t>
  </si>
  <si>
    <t>DATA ROW OFFSET</t>
  </si>
  <si>
    <t>DINT-32 BITS OFFSET</t>
  </si>
  <si>
    <t>INT-16 BITS OFFSET</t>
  </si>
  <si>
    <t>INT-16 DATA</t>
  </si>
  <si>
    <t>DINT-32 DATA</t>
  </si>
  <si>
    <t>This type will update the bit fields</t>
  </si>
  <si>
    <t>TITLE ROW OFFSET</t>
  </si>
  <si>
    <t>Description</t>
  </si>
  <si>
    <t>Column offset from data value</t>
  </si>
  <si>
    <t>Row offset from $HeaderRow$ Flag</t>
  </si>
  <si>
    <t>Column offset from data value. Column should be MSB</t>
  </si>
  <si>
    <t>RESERVED</t>
  </si>
  <si>
    <t>Upload / Download Individual or a group of sheets</t>
  </si>
  <si>
    <t>Sheet List: Separated by a comma</t>
  </si>
  <si>
    <t>C:\CCS\MTPyPinchart\main.py</t>
  </si>
  <si>
    <t>IP Address</t>
  </si>
  <si>
    <t>Slot</t>
  </si>
  <si>
    <t>192.168.59.211</t>
  </si>
  <si>
    <t>Python Path</t>
  </si>
  <si>
    <t>Output Word: UF.AckDesc</t>
  </si>
  <si>
    <t>Output Word: UF.StepMin</t>
  </si>
  <si>
    <t>Output Word: UF.StepSec</t>
  </si>
  <si>
    <t>Output Word: UF.Setpoint</t>
  </si>
  <si>
    <t>Condition Word: UF.PIN_Cond1</t>
  </si>
  <si>
    <t>Condition Word: UF.PIN_Cond2</t>
  </si>
  <si>
    <t>Condition Word: UF.PIN_Cond3</t>
  </si>
  <si>
    <t>Action Word: UF.PIN_Act1</t>
  </si>
  <si>
    <t>Action Word: UF.PIN_Act2</t>
  </si>
  <si>
    <t>Action Word: UF.PIN_Act5</t>
  </si>
  <si>
    <t>Action Word: UF.PIN_Act6</t>
  </si>
  <si>
    <t>HOLD FOR TEMPERATURE</t>
  </si>
  <si>
    <t>HOLD FOR TIME</t>
  </si>
  <si>
    <t>HOLD FOR PRODUCTION POPUP</t>
  </si>
  <si>
    <t>HOLD FOR SOAK END / FLUSH POPUP</t>
  </si>
  <si>
    <t>HOLD FOR STAGE 4 &amp; 5 TO REACH SPEED/PRESSURE</t>
  </si>
  <si>
    <t>RAW WHEY PRODUCT REQUEST</t>
  </si>
  <si>
    <t>AV-WUF-01 PREFILTER A INLET BLOCK VALVE</t>
  </si>
  <si>
    <t>AV-WUF-02 PREFILTER B INLET BLOCK VALVE</t>
  </si>
  <si>
    <t>AV-WUF-03 PREFILTER A OUTLET BLOCK VALVE</t>
  </si>
  <si>
    <t>AV-WUF-04 PREFILTER B OUTLET BLOCK VALVE</t>
  </si>
  <si>
    <t>AV-WUF-05 HUB DRAIN LOW POINT VALVE</t>
  </si>
  <si>
    <t>AV-WUF-06 FEED TANK/DRAIN DIVERT VALVE</t>
  </si>
  <si>
    <t>AV-WUF-07 CIP BYPASS TANK/DRAIN DIVERT VALVE</t>
  </si>
  <si>
    <t>AV-WUF-08 CONCENTRATE RECYCLE VALVE</t>
  </si>
  <si>
    <t>AV-WUF-09 PERMEATE RECYCLE VALVE</t>
  </si>
  <si>
    <t>AV-WUF-10 FEED TANK DRAIN VALVE</t>
  </si>
  <si>
    <t xml:space="preserve">AV-WUF-11 FEED TANK SPRAYBALL VALVE </t>
  </si>
  <si>
    <t>AV-WUF-12 PERMEATE TANK SPRAYBALL VALVE</t>
  </si>
  <si>
    <t>AV-WUF-13 CONCENTRATE TANK SPRAYBALL VALVE</t>
  </si>
  <si>
    <t>AV-WUF-14 CHEMICAL LINE INLET BLOCK VALVE</t>
  </si>
  <si>
    <t>AV-WUF-15 CHEMICAL LINE INLET DIVERT VALVE</t>
  </si>
  <si>
    <t>AV-WUF-16 CHEMICAL LINE OUTLET BLOCK VALVE</t>
  </si>
  <si>
    <t>AV-WUF-17 STAGE 1 INLET BLOCK VALVE</t>
  </si>
  <si>
    <t>AV-WUF-18 STAGE 1 OUTLET BLOCK VALVE</t>
  </si>
  <si>
    <t>AV-WUF-19 STAGE 1 RINSE BLOCK VALVE</t>
  </si>
  <si>
    <t>AV-WUF-20 STAGE 2 INLET BLOCK VALVE</t>
  </si>
  <si>
    <t>AV-WUF-21 STAGE 2 OUTLET BLOCK VALVE</t>
  </si>
  <si>
    <t>AV-WUF-22 STAGE 2 RINSE BLOCK VALVE</t>
  </si>
  <si>
    <t>AV-WUF-23 STAGE 3 INLET BLOCK VALVE</t>
  </si>
  <si>
    <t>AV-WUF-24 STAGE 3 OUTLET BLOCK VALVE</t>
  </si>
  <si>
    <t>AV-WUF-25 STAGE 3 RINSE BLOCK VALVE</t>
  </si>
  <si>
    <t>AV-WUF-26 STAGE 4 INLET BLOCK VALVE</t>
  </si>
  <si>
    <t>AV-WUF-27 STAGE 4 OUTLET BLOCK VALVE</t>
  </si>
  <si>
    <t>AV-WUF-28 STAGE 4 RINSE BLOCK VALVE</t>
  </si>
  <si>
    <t>AV-WUF-29 RINSE LINE LOW POINT VALVE</t>
  </si>
  <si>
    <t>AV-WUF-30 RINSE LINE HUB DRAIN BLOCK VALVE</t>
  </si>
  <si>
    <t>AV-WUF-31 CIP BYPASS BLOCK VALVE</t>
  </si>
  <si>
    <t>AV-WUF-32 CIP BYPASS LOW POINT VALVE</t>
  </si>
  <si>
    <t>AV-WUF-33 CONCENTRATE BYPASS VALVE</t>
  </si>
  <si>
    <t>AV-WUF-34 STEAM BLOCK VALVE</t>
  </si>
  <si>
    <t>AV-WUF-35 CONCENTRATE TANK DRAIN VALVE</t>
  </si>
  <si>
    <t>AV-WUF-36 PERMEATE TANK DRAIN VALVE</t>
  </si>
  <si>
    <t>AV-WUF-37 CHEMICAL LINE OUTLET DIVERT VALVE</t>
  </si>
  <si>
    <t>CV-WUF-01 FEED CONTROL VALVE</t>
  </si>
  <si>
    <t>CV-WUF-02 POLISHED WATER CONTROL VALVE</t>
  </si>
  <si>
    <t>CV-WUF-03 POTABLE WATER CONTROL VALVE</t>
  </si>
  <si>
    <t>CV-WUF-04 CONCENTRATE CONTROL VALVE</t>
  </si>
  <si>
    <t>CV-WUF-05 STEAM CONTROL VALVE</t>
  </si>
  <si>
    <t>CV-WUF-06 COOLING CONTROL VALVE</t>
  </si>
  <si>
    <t>CV-WUF-07 CONCENTRATE TANK POTABLE WATER CONTROL VALVE</t>
  </si>
  <si>
    <t>AV-WUF-08 CONCENTRATE RECYCLE VALVE (PULSE)</t>
  </si>
  <si>
    <t>AV-WUF-09 PERMEATE RECYCLE VALVE (PULSE)</t>
  </si>
  <si>
    <t>AV-WUF-11 FEED TANK SPRAYBALL VALVE (PULSE)</t>
  </si>
  <si>
    <t>AV-WUF-12 PERMEATE TANK SPRAYBALL VALVE (PULSE)</t>
  </si>
  <si>
    <t>AV-WUF-13 CONCENTRATE TANK SPRAYBALL VALVE (PULSE)</t>
  </si>
  <si>
    <t>AV-WUF-14 CHEMICAL LINE INLET BLOCK VALVE (PULSE)</t>
  </si>
  <si>
    <t xml:space="preserve">PP-WUF-02 STAGE 1 RECIRC PUMP </t>
  </si>
  <si>
    <t xml:space="preserve">PP-WUF-03 STAGE 2 RECIRC PUMP </t>
  </si>
  <si>
    <t>PP-WUF-04 STAGE 3 RECIRC PUMP</t>
  </si>
  <si>
    <t>PP-WUF-05 STAGE 4 RECIRC PUMP</t>
  </si>
  <si>
    <t>PP-WUF-06 CONCENTRATE PUMP</t>
  </si>
  <si>
    <t>PP-WUF-07 PERMEATE PUMP</t>
  </si>
  <si>
    <t>UF_Data[1].ACK_DESC[</t>
  </si>
  <si>
    <t>UF_Data[1].MIN[</t>
  </si>
  <si>
    <t>UF_Data[1].SEC[</t>
  </si>
  <si>
    <t>UF_Data[1].SETPOINT[</t>
  </si>
  <si>
    <t>UF_Data[1].COND1[</t>
  </si>
  <si>
    <t>UF_Data[1].COND2[</t>
  </si>
  <si>
    <t>UF_Data[1].COND3[</t>
  </si>
  <si>
    <t>UF_Data[1].ACT1[</t>
  </si>
  <si>
    <t>UF_Data[1].ACT2[</t>
  </si>
  <si>
    <t>UF_Data[1].ACT5[</t>
  </si>
  <si>
    <t>UF_Data[1].ACT6[</t>
  </si>
  <si>
    <t>UF_Data[1].STEP_DESC[</t>
  </si>
  <si>
    <t>STARTING FEED PUMP</t>
  </si>
  <si>
    <t>Production Complete?</t>
  </si>
  <si>
    <t>FLUSHING STAGES 1-4</t>
  </si>
  <si>
    <t>FLUSHING STAGES 2-4</t>
  </si>
  <si>
    <t>FLUSHING STAGES 3-4</t>
  </si>
  <si>
    <t>FLUSHING STAGES 4</t>
  </si>
  <si>
    <t>PUMP DOWN TANKS</t>
  </si>
  <si>
    <t>CIP RECIPE 3 (WASH 3)</t>
  </si>
  <si>
    <t>CIP RECIPE 2 (WASH 2)</t>
  </si>
  <si>
    <t>CIP RECIPE 1 (WASH 1)</t>
  </si>
  <si>
    <t>CIP RECIPE 4 (WASH 4)</t>
  </si>
  <si>
    <t>RECIPE 5 (CAUSTIC BOOST BOOST)</t>
  </si>
  <si>
    <t>RECIPE 6 (SURFACTANT BOOST)</t>
  </si>
  <si>
    <t>RECIPE 7 (ENZYME BOOST)</t>
  </si>
  <si>
    <t>RECIPE 8 (ACID BOOST)</t>
  </si>
  <si>
    <t>RECIPE 9 (CHLORINE BOOST)</t>
  </si>
  <si>
    <t>CIP RECIPE 10 (SHORT CIP WASH)</t>
  </si>
  <si>
    <t>RECIPE 11 (SANITIZE WASH)</t>
  </si>
  <si>
    <t>RECIPE 12 (SANITIZE BOOST)</t>
  </si>
  <si>
    <t>RECIPE 13 (SOAK WASH)</t>
  </si>
  <si>
    <t>RECIPE 14 (SOAK BOOST)</t>
  </si>
  <si>
    <t>C:\Program Files\Python39\python.exe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</si>
</sst>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sz val="11"/>
      <color theme="1"/>
      <name val="Wingdings"/>
      <charset val="2"/>
    </font>
    <font>
      <b/>
      <sz val="11"/>
      <color rgb="FFFF0000"/>
      <name val="Wingdings 2"/>
      <family val="1"/>
      <charset val="2"/>
    </font>
    <font>
      <sz val="11"/>
      <color rgb="FFFF0000"/>
      <name val="Calibri"/>
      <family val="2"/>
      <scheme val="minor"/>
    </font>
    <font>
      <b/>
      <sz val="11"/>
      <color theme="1"/>
      <name val="Calibri"/>
      <family val="2"/>
      <scheme val="minor"/>
    </font>
    <font>
      <sz val="11"/>
      <color rgb="FF000000"/>
      <name val="Calibri"/>
      <family val="2"/>
    </font>
    <font>
      <sz val="11"/>
      <name val="Calibri"/>
      <family val="2"/>
      <scheme val="minor"/>
    </font>
    <font>
      <sz val="10"/>
      <name val="Arial"/>
      <family val="2"/>
    </font>
  </fonts>
  <fills count="2">
    <fill>
      <patternFill patternType="none"/>
    </fill>
    <fill>
      <patternFill patternType="gray125"/>
    </fill>
  </fills>
  <borders count="4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top/>
      <bottom style="medium">
        <color indexed="64"/>
      </bottom>
      <diagonal/>
    </border>
    <border>
      <left/>
      <right/>
      <top style="medium">
        <color indexed="64"/>
      </top>
      <bottom style="thin">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medium">
        <color indexed="64"/>
      </left>
      <right style="thin">
        <color indexed="64"/>
      </right>
      <top style="medium">
        <color indexed="64"/>
      </top>
      <bottom style="medium">
        <color indexed="64"/>
      </bottom>
      <diagonal/>
    </border>
    <border>
      <left style="medium">
        <color auto="1"/>
      </left>
      <right/>
      <top style="medium">
        <color auto="1"/>
      </top>
      <bottom style="medium">
        <color auto="1"/>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s>
  <cellStyleXfs count="2">
    <xf numFmtId="0" fontId="0" fillId="0" borderId="0"/>
    <xf numFmtId="0" fontId="7" fillId="0" borderId="0"/>
  </cellStyleXfs>
  <cellXfs count="127">
    <xf numFmtId="0" fontId="0" fillId="0" borderId="0" xfId="0"/>
    <xf numFmtId="0" fontId="0" fillId="0" borderId="3" xfId="0" applyBorder="1" applyAlignment="1">
      <alignment textRotation="90"/>
    </xf>
    <xf numFmtId="0" fontId="0" fillId="0" borderId="3" xfId="0" applyBorder="1"/>
    <xf numFmtId="0" fontId="1" fillId="0" borderId="5" xfId="0" applyFont="1" applyBorder="1"/>
    <xf numFmtId="0" fontId="0" fillId="0" borderId="3" xfId="0" applyBorder="1" applyAlignment="1">
      <alignment wrapText="1"/>
    </xf>
    <xf numFmtId="2" fontId="0" fillId="0" borderId="4" xfId="0" applyNumberFormat="1" applyBorder="1"/>
    <xf numFmtId="0" fontId="0" fillId="0" borderId="9" xfId="0" applyBorder="1"/>
    <xf numFmtId="2" fontId="0" fillId="0" borderId="5" xfId="0" applyNumberFormat="1" applyBorder="1"/>
    <xf numFmtId="0" fontId="0" fillId="0" borderId="4" xfId="0" applyBorder="1"/>
    <xf numFmtId="0" fontId="2" fillId="0" borderId="5" xfId="0" applyFont="1" applyBorder="1"/>
    <xf numFmtId="0" fontId="0" fillId="0" borderId="4" xfId="0" applyBorder="1" applyProtection="1">
      <protection locked="0"/>
    </xf>
    <xf numFmtId="0" fontId="0" fillId="0" borderId="18" xfId="0" applyBorder="1"/>
    <xf numFmtId="0" fontId="0" fillId="0" borderId="0" xfId="0" applyAlignment="1">
      <alignment horizontal="left" vertical="top" wrapText="1"/>
    </xf>
    <xf numFmtId="0" fontId="0" fillId="0" borderId="24" xfId="0" applyBorder="1" applyAlignment="1" applyProtection="1">
      <alignment horizontal="center" textRotation="90"/>
      <protection locked="0"/>
    </xf>
    <xf numFmtId="0" fontId="0" fillId="0" borderId="25" xfId="0" applyBorder="1" applyAlignment="1" applyProtection="1">
      <alignment horizontal="center" textRotation="90"/>
      <protection locked="0"/>
    </xf>
    <xf numFmtId="0" fontId="0" fillId="0" borderId="26" xfId="0" applyBorder="1" applyAlignment="1" applyProtection="1">
      <alignment horizontal="center" textRotation="90"/>
      <protection locked="0"/>
    </xf>
    <xf numFmtId="0" fontId="0" fillId="0" borderId="1" xfId="0" applyBorder="1" applyAlignment="1">
      <alignment horizontal="center"/>
    </xf>
    <xf numFmtId="0" fontId="0" fillId="0" borderId="8"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8" xfId="0" applyBorder="1" applyAlignment="1" applyProtection="1">
      <alignment horizontal="center"/>
      <protection locked="0"/>
    </xf>
    <xf numFmtId="0" fontId="0" fillId="0" borderId="2" xfId="0" applyBorder="1" applyAlignment="1" applyProtection="1">
      <alignment horizontal="center"/>
      <protection locked="0"/>
    </xf>
    <xf numFmtId="0" fontId="0" fillId="0" borderId="9" xfId="0" applyBorder="1" applyProtection="1">
      <protection locked="0"/>
    </xf>
    <xf numFmtId="0" fontId="0" fillId="0" borderId="5" xfId="0" applyBorder="1" applyAlignment="1">
      <alignment horizontal="center"/>
    </xf>
    <xf numFmtId="0" fontId="0" fillId="0" borderId="13" xfId="0" applyBorder="1" applyAlignment="1">
      <alignment horizontal="center"/>
    </xf>
    <xf numFmtId="0" fontId="0" fillId="0" borderId="0" xfId="0"/>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32" xfId="0" applyBorder="1" applyAlignment="1" applyProtection="1">
      <alignment horizontal="center" textRotation="90"/>
      <protection locked="0"/>
    </xf>
    <xf numFmtId="0" fontId="0" fillId="0" borderId="33" xfId="0" applyBorder="1" applyAlignment="1" applyProtection="1">
      <alignment horizontal="center" textRotation="90"/>
      <protection locked="0"/>
    </xf>
    <xf numFmtId="0" fontId="0" fillId="0" borderId="25" xfId="0" applyBorder="1" applyAlignment="1">
      <alignment horizontal="center"/>
    </xf>
    <xf numFmtId="0" fontId="0" fillId="0" borderId="26" xfId="0" applyBorder="1" applyAlignment="1">
      <alignment horizontal="center"/>
    </xf>
    <xf numFmtId="0" fontId="0" fillId="0" borderId="16" xfId="0" applyBorder="1" applyAlignment="1" applyProtection="1">
      <alignment horizontal="center" textRotation="90"/>
      <protection locked="0"/>
    </xf>
    <xf numFmtId="0" fontId="0" fillId="0" borderId="34" xfId="0" applyBorder="1" applyAlignment="1">
      <alignment horizontal="center"/>
    </xf>
    <xf numFmtId="0" fontId="0" fillId="0" borderId="30" xfId="0" applyBorder="1" applyAlignment="1" applyProtection="1">
      <alignment horizontal="center" textRotation="90"/>
      <protection locked="0"/>
    </xf>
    <xf numFmtId="0" fontId="0" fillId="0" borderId="29" xfId="0" applyBorder="1" applyAlignment="1" applyProtection="1">
      <alignment textRotation="90"/>
      <protection locked="0"/>
    </xf>
    <xf numFmtId="0" fontId="6" fillId="0" borderId="25" xfId="0" applyFont="1" applyBorder="1" applyAlignment="1" applyProtection="1">
      <alignment horizontal="center" textRotation="90"/>
      <protection locked="0"/>
    </xf>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0" xfId="0" applyFill="1" applyBorder="1"/>
    <xf numFmtId="0" fontId="0" fillId="0" borderId="18" xfId="0" applyFill="1" applyBorder="1"/>
    <xf numFmtId="0" fontId="0" fillId="0" borderId="0" xfId="0" applyBorder="1"/>
    <xf numFmtId="0" fontId="0" fillId="0" borderId="0" xfId="0"/>
    <xf numFmtId="0" fontId="0" fillId="0" borderId="19" xfId="0" applyBorder="1"/>
    <xf numFmtId="0" fontId="0" fillId="0" borderId="20" xfId="0" applyBorder="1"/>
    <xf numFmtId="0" fontId="0" fillId="0" borderId="19" xfId="0" applyBorder="1"/>
    <xf numFmtId="0" fontId="0" fillId="0" borderId="21" xfId="0" applyBorder="1"/>
    <xf numFmtId="0" fontId="0" fillId="0" borderId="0" xfId="0"/>
    <xf numFmtId="0" fontId="0" fillId="0" borderId="19" xfId="0" applyBorder="1"/>
    <xf numFmtId="0" fontId="0" fillId="0" borderId="20" xfId="0" applyBorder="1"/>
    <xf numFmtId="0" fontId="3" fillId="0" borderId="15" xfId="0" applyFont="1" applyBorder="1" applyAlignment="1">
      <alignment horizontal="left"/>
    </xf>
    <xf numFmtId="0" fontId="3" fillId="0" borderId="0" xfId="0" applyFont="1" applyBorder="1" applyAlignment="1">
      <alignment horizontal="left"/>
    </xf>
    <xf numFmtId="0" fontId="0" fillId="0" borderId="0" xfId="0"/>
    <xf numFmtId="0" fontId="0" fillId="0" borderId="0" xfId="0" applyAlignment="1">
      <alignment horizontal="center"/>
    </xf>
    <xf numFmtId="0" fontId="0" fillId="0" borderId="0" xfId="0"/>
    <xf numFmtId="0" fontId="0" fillId="0" borderId="21" xfId="0" applyBorder="1"/>
    <xf numFmtId="0" fontId="0" fillId="0" borderId="22" xfId="0" applyBorder="1"/>
    <xf numFmtId="0" fontId="0" fillId="0" borderId="29" xfId="0" applyBorder="1"/>
    <xf numFmtId="0" fontId="0" fillId="0" borderId="29" xfId="0" applyBorder="1" applyAlignment="1">
      <alignment wrapText="1"/>
    </xf>
    <xf numFmtId="0" fontId="0" fillId="0" borderId="7" xfId="0" applyBorder="1" applyAlignment="1">
      <alignment horizontal="center"/>
    </xf>
    <xf numFmtId="0" fontId="0" fillId="0" borderId="10" xfId="0" applyBorder="1"/>
    <xf numFmtId="0" fontId="0" fillId="0" borderId="29" xfId="0" applyBorder="1"/>
    <xf numFmtId="0" fontId="0" fillId="0" borderId="35" xfId="0" applyBorder="1"/>
    <xf numFmtId="0" fontId="0" fillId="0" borderId="35" xfId="0" applyBorder="1" applyProtection="1">
      <protection locked="0"/>
    </xf>
    <xf numFmtId="0" fontId="2" fillId="0" borderId="13" xfId="0" applyFont="1" applyBorder="1"/>
    <xf numFmtId="0" fontId="0" fillId="0" borderId="36" xfId="0" applyBorder="1" applyAlignment="1" applyProtection="1">
      <alignment horizontal="center"/>
      <protection locked="0"/>
    </xf>
    <xf numFmtId="0" fontId="0" fillId="0" borderId="37" xfId="0" applyBorder="1" applyAlignment="1" applyProtection="1">
      <alignment horizontal="center"/>
      <protection locked="0"/>
    </xf>
    <xf numFmtId="0" fontId="0" fillId="0" borderId="38" xfId="0" applyBorder="1" applyAlignment="1" applyProtection="1">
      <alignment horizontal="center"/>
      <protection locked="0"/>
    </xf>
    <xf numFmtId="0" fontId="0" fillId="0" borderId="39" xfId="0" applyBorder="1" applyAlignment="1" applyProtection="1">
      <alignment horizontal="center"/>
      <protection locked="0"/>
    </xf>
    <xf numFmtId="1" fontId="0" fillId="0" borderId="5" xfId="0" applyNumberFormat="1" applyBorder="1" applyProtection="1">
      <protection locked="0"/>
    </xf>
    <xf numFmtId="1" fontId="0" fillId="0" borderId="13" xfId="0" applyNumberFormat="1" applyBorder="1" applyProtection="1">
      <protection locked="0"/>
    </xf>
    <xf numFmtId="1" fontId="0" fillId="0" borderId="4" xfId="0" applyNumberFormat="1" applyBorder="1" applyProtection="1">
      <protection locked="0"/>
    </xf>
    <xf numFmtId="1" fontId="0" fillId="0" borderId="35" xfId="0" applyNumberFormat="1" applyBorder="1" applyProtection="1">
      <protection locked="0"/>
    </xf>
    <xf numFmtId="0" fontId="0" fillId="0" borderId="29" xfId="0" applyBorder="1"/>
    <xf numFmtId="0" fontId="0" fillId="0" borderId="25" xfId="0" applyFill="1" applyBorder="1" applyAlignment="1" applyProtection="1">
      <alignment horizontal="center" textRotation="90"/>
      <protection locked="0"/>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13" xfId="0" applyBorder="1" applyAlignment="1">
      <alignment horizontal="center" vertical="center"/>
    </xf>
    <xf numFmtId="0" fontId="0" fillId="0" borderId="22" xfId="0" applyBorder="1" applyAlignment="1">
      <alignment horizontal="center" vertical="center"/>
    </xf>
    <xf numFmtId="0" fontId="0" fillId="0" borderId="0" xfId="0" applyBorder="1" applyAlignment="1">
      <alignment horizontal="center"/>
    </xf>
    <xf numFmtId="0" fontId="0" fillId="0" borderId="20" xfId="0"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0" xfId="0" applyAlignment="1">
      <alignment horizontal="center"/>
    </xf>
    <xf numFmtId="0" fontId="0" fillId="0" borderId="21" xfId="0" applyBorder="1" applyAlignment="1">
      <alignment horizontal="left" vertical="top" wrapText="1"/>
    </xf>
    <xf numFmtId="0" fontId="0" fillId="0" borderId="0" xfId="0"/>
    <xf numFmtId="0" fontId="0" fillId="0" borderId="19" xfId="0" applyBorder="1"/>
    <xf numFmtId="0" fontId="0" fillId="0" borderId="21" xfId="0" applyBorder="1"/>
    <xf numFmtId="0" fontId="0" fillId="0" borderId="13" xfId="0" applyBorder="1"/>
    <xf numFmtId="0" fontId="0" fillId="0" borderId="23" xfId="0" applyBorder="1" applyAlignment="1">
      <alignment horizontal="left" vertical="top" wrapText="1"/>
    </xf>
    <xf numFmtId="0" fontId="0" fillId="0" borderId="15" xfId="0" applyBorder="1"/>
    <xf numFmtId="0" fontId="0" fillId="0" borderId="17" xfId="0" applyBorder="1"/>
    <xf numFmtId="0" fontId="0" fillId="0" borderId="20" xfId="0" applyBorder="1"/>
    <xf numFmtId="0" fontId="0" fillId="0" borderId="22" xfId="0" applyBorder="1"/>
    <xf numFmtId="0" fontId="0" fillId="0" borderId="22" xfId="0" applyBorder="1" applyAlignment="1">
      <alignment horizontal="center"/>
    </xf>
    <xf numFmtId="0" fontId="0" fillId="0" borderId="18" xfId="0" applyBorder="1" applyAlignment="1">
      <alignment horizontal="center" wrapText="1"/>
    </xf>
    <xf numFmtId="0" fontId="0" fillId="0" borderId="19" xfId="0" applyBorder="1" applyAlignment="1">
      <alignment horizontal="center" wrapText="1"/>
    </xf>
    <xf numFmtId="0" fontId="0" fillId="0" borderId="29" xfId="0" applyBorder="1"/>
    <xf numFmtId="0" fontId="4" fillId="0" borderId="29" xfId="0" applyFont="1" applyBorder="1"/>
    <xf numFmtId="0" fontId="0" fillId="0" borderId="27" xfId="0" applyBorder="1"/>
    <xf numFmtId="0" fontId="0" fillId="0" borderId="28" xfId="0" applyBorder="1"/>
    <xf numFmtId="0" fontId="0" fillId="0" borderId="6" xfId="0" applyBorder="1"/>
    <xf numFmtId="0" fontId="0" fillId="0" borderId="14" xfId="0" applyBorder="1"/>
    <xf numFmtId="0" fontId="0" fillId="0" borderId="12" xfId="0" applyBorder="1"/>
    <xf numFmtId="0" fontId="0" fillId="0" borderId="11" xfId="0" applyBorder="1" applyAlignment="1">
      <alignment wrapText="1"/>
    </xf>
    <xf numFmtId="0" fontId="0" fillId="0" borderId="16" xfId="0" applyBorder="1"/>
    <xf numFmtId="0" fontId="0" fillId="0" borderId="11" xfId="0" applyBorder="1"/>
    <xf numFmtId="0" fontId="0" fillId="0" borderId="30" xfId="0" applyBorder="1" applyAlignment="1">
      <alignment wrapText="1"/>
    </xf>
    <xf numFmtId="0" fontId="0" fillId="0" borderId="6" xfId="0" applyBorder="1" applyAlignment="1">
      <alignment wrapText="1"/>
    </xf>
    <xf numFmtId="0" fontId="0" fillId="0" borderId="29" xfId="0" applyBorder="1" applyAlignment="1">
      <alignment wrapText="1"/>
    </xf>
    <xf numFmtId="0" fontId="0" fillId="0" borderId="31" xfId="0" applyBorder="1" applyAlignment="1" applyProtection="1">
      <alignment horizontal="center" textRotation="90"/>
      <protection locked="0"/>
    </xf>
    <xf numFmtId="0" fontId="0" fillId="0" borderId="27" xfId="0" applyBorder="1" applyAlignment="1" applyProtection="1">
      <alignment horizontal="center" textRotation="90"/>
      <protection locked="0"/>
    </xf>
    <xf numFmtId="0" fontId="0" fillId="0" borderId="28" xfId="0" applyBorder="1" applyAlignment="1" applyProtection="1">
      <alignment horizontal="center" textRotation="90"/>
      <protection locked="0"/>
    </xf>
    <xf numFmtId="0" fontId="0" fillId="0" borderId="29" xfId="0" applyBorder="1" applyAlignment="1" applyProtection="1">
      <alignment horizontal="center" textRotation="90"/>
      <protection locked="0"/>
    </xf>
    <xf numFmtId="0" fontId="0" fillId="0" borderId="7" xfId="0" applyBorder="1" applyAlignment="1">
      <alignment horizontal="center"/>
    </xf>
    <xf numFmtId="0" fontId="0" fillId="0" borderId="5" xfId="0" applyBorder="1"/>
    <xf numFmtId="0" fontId="0" fillId="0" borderId="2" xfId="0" applyBorder="1"/>
  </cellXfs>
  <cellStyles count="2">
    <cellStyle name="Normal" xfId="0" builtinId="0"/>
    <cellStyle name="Normal 2" xfId="1" xr:uid="{4B7966B9-05E9-4018-8454-D6B8F80F3D5A}"/>
  </cellStyles>
  <dxfs count="1">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323850</xdr:colOff>
          <xdr:row>12</xdr:row>
          <xdr:rowOff>76200</xdr:rowOff>
        </xdr:from>
        <xdr:to>
          <xdr:col>10</xdr:col>
          <xdr:colOff>361950</xdr:colOff>
          <xdr:row>14</xdr:row>
          <xdr:rowOff>104775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12</xdr:row>
          <xdr:rowOff>85725</xdr:rowOff>
        </xdr:from>
        <xdr:to>
          <xdr:col>12</xdr:col>
          <xdr:colOff>1971675</xdr:colOff>
          <xdr:row>14</xdr:row>
          <xdr:rowOff>114300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R37"/>
  <sheetViews>
    <sheetView zoomScale="85" zoomScaleNormal="85" workbookViewId="0">
      <selection activeCell="C36" sqref="C36"/>
    </sheetView>
  </sheetViews>
  <sheetFormatPr defaultColWidth="9.140625" defaultRowHeight="15" x14ac:dyDescent="0.25"/>
  <cols>
    <col min="1" max="1" width="9.140625" style="25" customWidth="1"/>
    <col min="2" max="2" width="21.85546875" style="25" customWidth="1"/>
    <col min="3" max="3" width="68.5703125" style="25" bestFit="1" customWidth="1"/>
    <col min="4" max="11" width="9.140625" style="25" customWidth="1"/>
    <col min="12" max="12" width="4.5703125" style="25" customWidth="1"/>
    <col min="13" max="13" width="41.42578125" style="25" customWidth="1"/>
    <col min="14" max="17" width="9.140625" style="25" customWidth="1"/>
    <col min="18" max="16384" width="9.140625" style="25"/>
  </cols>
  <sheetData>
    <row r="1" spans="1:18" x14ac:dyDescent="0.25">
      <c r="A1" s="93"/>
      <c r="B1" s="93"/>
    </row>
    <row r="2" spans="1:18" ht="15.75" customHeight="1" thickBot="1" x14ac:dyDescent="0.3">
      <c r="B2" t="s">
        <v>0</v>
      </c>
    </row>
    <row r="3" spans="1:18" ht="14.25" customHeight="1" thickBot="1" x14ac:dyDescent="0.3">
      <c r="B3" s="99" t="s">
        <v>1</v>
      </c>
      <c r="C3" s="100"/>
      <c r="D3" s="100"/>
      <c r="E3" s="100"/>
      <c r="F3" s="100"/>
      <c r="G3" s="100"/>
      <c r="H3" s="100"/>
      <c r="I3" s="100"/>
      <c r="J3" s="100"/>
      <c r="K3" s="101"/>
      <c r="L3" t="s">
        <v>2</v>
      </c>
    </row>
    <row r="4" spans="1:18" ht="14.25" customHeight="1" thickBot="1" x14ac:dyDescent="0.3">
      <c r="B4" s="96"/>
      <c r="C4" s="95"/>
      <c r="D4" s="95"/>
      <c r="E4" s="95"/>
      <c r="F4" s="95"/>
      <c r="G4" s="95"/>
      <c r="H4" s="95"/>
      <c r="I4" s="95"/>
      <c r="J4" s="95"/>
      <c r="K4" s="102"/>
      <c r="L4">
        <v>1</v>
      </c>
      <c r="M4" t="s">
        <v>3</v>
      </c>
    </row>
    <row r="5" spans="1:18" ht="14.25" customHeight="1" thickBot="1" x14ac:dyDescent="0.3">
      <c r="B5" s="96"/>
      <c r="C5" s="95"/>
      <c r="D5" s="95"/>
      <c r="E5" s="95"/>
      <c r="F5" s="95"/>
      <c r="G5" s="95"/>
      <c r="H5" s="95"/>
      <c r="I5" s="95"/>
      <c r="J5" s="95"/>
      <c r="K5" s="102"/>
      <c r="L5">
        <v>2</v>
      </c>
      <c r="M5" t="s">
        <v>4</v>
      </c>
    </row>
    <row r="6" spans="1:18" ht="14.25" customHeight="1" thickBot="1" x14ac:dyDescent="0.3">
      <c r="B6" s="97"/>
      <c r="C6" s="98"/>
      <c r="D6" s="98"/>
      <c r="E6" s="98"/>
      <c r="F6" s="98"/>
      <c r="G6" s="98"/>
      <c r="H6" s="98"/>
      <c r="I6" s="98"/>
      <c r="J6" s="98"/>
      <c r="K6" s="103"/>
      <c r="L6">
        <v>3</v>
      </c>
      <c r="M6" t="s">
        <v>5</v>
      </c>
    </row>
    <row r="7" spans="1:18" ht="15.75" customHeight="1" x14ac:dyDescent="0.25">
      <c r="B7" s="12"/>
      <c r="C7" s="12"/>
      <c r="D7" s="12"/>
      <c r="E7" s="12"/>
      <c r="F7" s="12"/>
      <c r="G7" s="12"/>
      <c r="H7" s="12"/>
      <c r="I7" s="12"/>
      <c r="J7" s="12"/>
      <c r="K7" s="12"/>
    </row>
    <row r="8" spans="1:18" ht="15.75" customHeight="1" thickBot="1" x14ac:dyDescent="0.3">
      <c r="B8" t="s">
        <v>6</v>
      </c>
    </row>
    <row r="9" spans="1:18" x14ac:dyDescent="0.25">
      <c r="B9" s="11" t="s">
        <v>149</v>
      </c>
      <c r="C9" s="60" t="s">
        <v>151</v>
      </c>
      <c r="D9" s="29" t="s">
        <v>7</v>
      </c>
      <c r="E9" s="29"/>
      <c r="F9" s="29"/>
      <c r="G9" s="29"/>
      <c r="H9" s="29"/>
      <c r="I9" s="29"/>
      <c r="J9" s="29"/>
      <c r="K9" s="30"/>
      <c r="M9" s="105" t="s">
        <v>146</v>
      </c>
      <c r="N9" s="91"/>
      <c r="O9" s="91"/>
      <c r="P9" s="91"/>
      <c r="Q9" s="91"/>
      <c r="R9" s="92"/>
    </row>
    <row r="10" spans="1:18" s="57" customFormat="1" x14ac:dyDescent="0.25">
      <c r="B10" s="58" t="s">
        <v>150</v>
      </c>
      <c r="C10" s="61">
        <v>0</v>
      </c>
      <c r="D10" s="62" t="s">
        <v>7</v>
      </c>
      <c r="E10" s="51"/>
      <c r="F10" s="51"/>
      <c r="G10" s="51"/>
      <c r="H10" s="51"/>
      <c r="I10" s="51"/>
      <c r="J10" s="51"/>
      <c r="K10" s="59"/>
      <c r="M10" s="106"/>
      <c r="N10" s="89"/>
      <c r="O10" s="89"/>
      <c r="P10" s="89"/>
      <c r="Q10" s="89"/>
      <c r="R10" s="90"/>
    </row>
    <row r="11" spans="1:18" x14ac:dyDescent="0.25">
      <c r="B11" s="26" t="s">
        <v>152</v>
      </c>
      <c r="C11" t="s">
        <v>259</v>
      </c>
      <c r="D11" t="s">
        <v>7</v>
      </c>
      <c r="K11" s="31"/>
      <c r="M11" s="106"/>
      <c r="N11" s="89" t="s">
        <v>147</v>
      </c>
      <c r="O11" s="89"/>
      <c r="P11" s="89"/>
      <c r="Q11" s="89"/>
      <c r="R11" s="90"/>
    </row>
    <row r="12" spans="1:18" x14ac:dyDescent="0.25">
      <c r="B12" s="26" t="s">
        <v>8</v>
      </c>
      <c r="C12" t="s">
        <v>148</v>
      </c>
      <c r="D12" t="s">
        <v>7</v>
      </c>
      <c r="K12" s="31"/>
      <c r="M12" s="55"/>
      <c r="N12" s="85"/>
      <c r="O12" s="85"/>
      <c r="P12" s="85"/>
      <c r="Q12" s="85"/>
      <c r="R12" s="86"/>
    </row>
    <row r="13" spans="1:18" ht="15.75" customHeight="1" thickBot="1" x14ac:dyDescent="0.3">
      <c r="B13" s="94" t="s">
        <v>9</v>
      </c>
      <c r="C13" s="95"/>
      <c r="D13" s="95"/>
      <c r="E13" s="95"/>
      <c r="F13" s="95"/>
      <c r="G13" s="95"/>
      <c r="H13" s="95"/>
      <c r="I13" s="104"/>
      <c r="J13" s="95"/>
      <c r="K13" s="102"/>
      <c r="M13" s="55"/>
      <c r="N13" s="85"/>
      <c r="O13" s="85"/>
      <c r="P13" s="85"/>
      <c r="Q13" s="85"/>
      <c r="R13" s="86"/>
    </row>
    <row r="14" spans="1:18" x14ac:dyDescent="0.25">
      <c r="B14" s="96"/>
      <c r="C14" s="95"/>
      <c r="D14" s="95"/>
      <c r="E14" s="95"/>
      <c r="F14" s="95"/>
      <c r="G14" s="95"/>
      <c r="H14" s="95"/>
      <c r="I14" s="95"/>
      <c r="J14" s="95"/>
      <c r="K14" s="102"/>
      <c r="M14" s="55"/>
      <c r="N14" s="85"/>
      <c r="O14" s="85"/>
      <c r="P14" s="85"/>
      <c r="Q14" s="85"/>
      <c r="R14" s="86"/>
    </row>
    <row r="15" spans="1:18" x14ac:dyDescent="0.25">
      <c r="B15" s="96"/>
      <c r="C15" s="95"/>
      <c r="D15" s="95"/>
      <c r="E15" s="95"/>
      <c r="F15" s="95"/>
      <c r="G15" s="95"/>
      <c r="H15" s="95"/>
      <c r="I15" s="95"/>
      <c r="J15" s="95"/>
      <c r="K15" s="102"/>
      <c r="M15" s="55"/>
      <c r="N15" s="85"/>
      <c r="O15" s="85"/>
      <c r="P15" s="85"/>
      <c r="Q15" s="85"/>
      <c r="R15" s="86"/>
    </row>
    <row r="16" spans="1:18" x14ac:dyDescent="0.25">
      <c r="B16" s="96"/>
      <c r="C16" s="95"/>
      <c r="D16" s="95"/>
      <c r="E16" s="95"/>
      <c r="F16" s="95"/>
      <c r="G16" s="95"/>
      <c r="H16" s="95"/>
      <c r="I16" s="95"/>
      <c r="J16" s="95"/>
      <c r="K16" s="102"/>
      <c r="M16" s="55"/>
      <c r="N16" s="85"/>
      <c r="O16" s="85"/>
      <c r="P16" s="85"/>
      <c r="Q16" s="85"/>
      <c r="R16" s="86"/>
    </row>
    <row r="17" spans="2:18" x14ac:dyDescent="0.25">
      <c r="B17" s="96"/>
      <c r="C17" s="95"/>
      <c r="D17" s="95"/>
      <c r="E17" s="95"/>
      <c r="F17" s="95"/>
      <c r="G17" s="95"/>
      <c r="H17" s="95"/>
      <c r="I17" s="95"/>
      <c r="J17" s="95"/>
      <c r="K17" s="102"/>
      <c r="M17" s="55"/>
      <c r="N17" s="85"/>
      <c r="O17" s="85"/>
      <c r="P17" s="85"/>
      <c r="Q17" s="85"/>
      <c r="R17" s="86"/>
    </row>
    <row r="18" spans="2:18" ht="15.75" customHeight="1" thickBot="1" x14ac:dyDescent="0.3">
      <c r="B18" s="97"/>
      <c r="C18" s="98"/>
      <c r="D18" s="98"/>
      <c r="E18" s="98"/>
      <c r="F18" s="98"/>
      <c r="G18" s="98"/>
      <c r="H18" s="98"/>
      <c r="I18" s="98"/>
      <c r="J18" s="98"/>
      <c r="K18" s="103"/>
      <c r="M18" s="56"/>
      <c r="N18" s="87"/>
      <c r="O18" s="87"/>
      <c r="P18" s="87"/>
      <c r="Q18" s="87"/>
      <c r="R18" s="88"/>
    </row>
    <row r="19" spans="2:18" ht="15.75" thickBot="1" x14ac:dyDescent="0.3"/>
    <row r="20" spans="2:18" x14ac:dyDescent="0.25">
      <c r="B20" s="11" t="s">
        <v>10</v>
      </c>
      <c r="C20" s="29"/>
      <c r="D20" s="29" t="s">
        <v>11</v>
      </c>
      <c r="E20" s="29"/>
      <c r="F20" s="29"/>
      <c r="G20" s="29"/>
      <c r="H20" s="29"/>
      <c r="I20" s="29"/>
      <c r="J20" s="29"/>
      <c r="K20" s="30"/>
    </row>
    <row r="21" spans="2:18" x14ac:dyDescent="0.25">
      <c r="B21" s="26" t="s">
        <v>137</v>
      </c>
      <c r="D21" s="25" t="s">
        <v>139</v>
      </c>
      <c r="K21" s="31"/>
    </row>
    <row r="22" spans="2:18" x14ac:dyDescent="0.25">
      <c r="B22" s="26" t="s">
        <v>12</v>
      </c>
      <c r="K22" s="31"/>
    </row>
    <row r="23" spans="2:18" s="52" customFormat="1" x14ac:dyDescent="0.25">
      <c r="B23" s="53" t="s">
        <v>138</v>
      </c>
      <c r="D23" s="52" t="s">
        <v>139</v>
      </c>
      <c r="K23" s="54"/>
    </row>
    <row r="24" spans="2:18" s="52" customFormat="1" x14ac:dyDescent="0.25">
      <c r="B24" s="53" t="s">
        <v>13</v>
      </c>
      <c r="K24" s="54"/>
    </row>
    <row r="25" spans="2:18" ht="15.75" customHeight="1" thickBot="1" x14ac:dyDescent="0.3">
      <c r="B25" s="27" t="s">
        <v>14</v>
      </c>
      <c r="C25" s="28"/>
      <c r="D25" s="28"/>
      <c r="E25" s="28"/>
      <c r="F25" s="28"/>
      <c r="G25" s="28"/>
      <c r="H25" s="28"/>
      <c r="I25" s="28"/>
      <c r="J25" s="28"/>
      <c r="K25" s="32"/>
    </row>
    <row r="26" spans="2:18" ht="15.75" thickBot="1" x14ac:dyDescent="0.3"/>
    <row r="27" spans="2:18" x14ac:dyDescent="0.25">
      <c r="B27" s="50" t="s">
        <v>130</v>
      </c>
      <c r="C27" s="45" t="s">
        <v>131</v>
      </c>
      <c r="D27" s="45" t="s">
        <v>132</v>
      </c>
      <c r="E27" s="45" t="s">
        <v>141</v>
      </c>
      <c r="F27" s="45"/>
      <c r="G27" s="45"/>
      <c r="H27" s="45"/>
      <c r="I27" s="45"/>
      <c r="J27" s="45"/>
      <c r="K27" s="46"/>
    </row>
    <row r="28" spans="2:18" x14ac:dyDescent="0.25">
      <c r="B28" s="42"/>
      <c r="C28" s="51" t="s">
        <v>133</v>
      </c>
      <c r="D28" s="51">
        <v>1</v>
      </c>
      <c r="E28" s="51" t="s">
        <v>142</v>
      </c>
      <c r="F28" s="51"/>
      <c r="G28" s="51"/>
      <c r="H28" s="51"/>
      <c r="I28" s="51"/>
      <c r="J28" s="51"/>
      <c r="K28" s="47"/>
    </row>
    <row r="29" spans="2:18" x14ac:dyDescent="0.25">
      <c r="B29" s="42"/>
      <c r="C29" s="51" t="s">
        <v>134</v>
      </c>
      <c r="D29" s="51">
        <v>2</v>
      </c>
      <c r="E29" s="51" t="s">
        <v>143</v>
      </c>
      <c r="F29" s="51"/>
      <c r="G29" s="51"/>
      <c r="H29" s="51"/>
      <c r="I29" s="51"/>
      <c r="J29" s="51"/>
      <c r="K29" s="47"/>
    </row>
    <row r="30" spans="2:18" x14ac:dyDescent="0.25">
      <c r="B30" s="42"/>
      <c r="C30" s="49" t="s">
        <v>135</v>
      </c>
      <c r="D30" s="51">
        <v>-32</v>
      </c>
      <c r="E30" s="49" t="s">
        <v>144</v>
      </c>
      <c r="F30" s="51"/>
      <c r="G30" s="51"/>
      <c r="H30" s="51"/>
      <c r="I30" s="51"/>
      <c r="J30" s="51"/>
      <c r="K30" s="47"/>
    </row>
    <row r="31" spans="2:18" x14ac:dyDescent="0.25">
      <c r="B31" s="42"/>
      <c r="C31" s="49" t="s">
        <v>136</v>
      </c>
      <c r="D31" s="49">
        <v>-16</v>
      </c>
      <c r="E31" s="49" t="s">
        <v>144</v>
      </c>
      <c r="F31" s="51"/>
      <c r="G31" s="51"/>
      <c r="H31" s="51"/>
      <c r="I31" s="51"/>
      <c r="J31" s="51"/>
      <c r="K31" s="47"/>
    </row>
    <row r="32" spans="2:18" x14ac:dyDescent="0.25">
      <c r="B32" s="42"/>
      <c r="C32" s="49" t="s">
        <v>140</v>
      </c>
      <c r="D32" s="49">
        <v>-1</v>
      </c>
      <c r="E32" s="49" t="s">
        <v>145</v>
      </c>
      <c r="F32" s="51"/>
      <c r="G32" s="51"/>
      <c r="H32" s="51"/>
      <c r="I32" s="51"/>
      <c r="J32" s="51"/>
      <c r="K32" s="47"/>
    </row>
    <row r="33" spans="2:11" x14ac:dyDescent="0.25">
      <c r="B33" s="42"/>
      <c r="C33" s="51"/>
      <c r="D33" s="51"/>
      <c r="E33" s="51"/>
      <c r="F33" s="51"/>
      <c r="G33" s="51"/>
      <c r="H33" s="51"/>
      <c r="I33" s="51"/>
      <c r="J33" s="51"/>
      <c r="K33" s="47"/>
    </row>
    <row r="34" spans="2:11" x14ac:dyDescent="0.25">
      <c r="B34" s="42"/>
      <c r="C34" s="51"/>
      <c r="D34" s="51"/>
      <c r="E34" s="51"/>
      <c r="F34" s="51"/>
      <c r="G34" s="51"/>
      <c r="H34" s="51"/>
      <c r="I34" s="51"/>
      <c r="J34" s="51"/>
      <c r="K34" s="47"/>
    </row>
    <row r="35" spans="2:11" x14ac:dyDescent="0.25">
      <c r="B35" s="42"/>
      <c r="C35" s="51"/>
      <c r="D35" s="51"/>
      <c r="E35" s="51"/>
      <c r="F35" s="51"/>
      <c r="G35" s="51"/>
      <c r="H35" s="51"/>
      <c r="I35" s="51"/>
      <c r="J35" s="51"/>
      <c r="K35" s="47"/>
    </row>
    <row r="36" spans="2:11" x14ac:dyDescent="0.25">
      <c r="B36" s="42"/>
      <c r="C36" s="51"/>
      <c r="D36" s="51"/>
      <c r="E36" s="51"/>
      <c r="F36" s="51"/>
      <c r="G36" s="51"/>
      <c r="H36" s="51"/>
      <c r="I36" s="51"/>
      <c r="J36" s="51"/>
      <c r="K36" s="47"/>
    </row>
    <row r="37" spans="2:11" ht="15.75" thickBot="1" x14ac:dyDescent="0.3">
      <c r="B37" s="43"/>
      <c r="C37" s="44"/>
      <c r="D37" s="44"/>
      <c r="E37" s="44"/>
      <c r="F37" s="44"/>
      <c r="G37" s="44"/>
      <c r="H37" s="44"/>
      <c r="I37" s="44"/>
      <c r="J37" s="44"/>
      <c r="K37" s="48"/>
    </row>
  </sheetData>
  <mergeCells count="8">
    <mergeCell ref="N12:R18"/>
    <mergeCell ref="N11:R11"/>
    <mergeCell ref="N9:R10"/>
    <mergeCell ref="A1:B1"/>
    <mergeCell ref="B13:H18"/>
    <mergeCell ref="B3:K6"/>
    <mergeCell ref="I13:K18"/>
    <mergeCell ref="M9:M1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UploadButton_Click">
                <anchor moveWithCells="1" sizeWithCells="1">
                  <from>
                    <xdr:col>8</xdr:col>
                    <xdr:colOff>323850</xdr:colOff>
                    <xdr:row>12</xdr:row>
                    <xdr:rowOff>76200</xdr:rowOff>
                  </from>
                  <to>
                    <xdr:col>10</xdr:col>
                    <xdr:colOff>361950</xdr:colOff>
                    <xdr:row>14</xdr:row>
                    <xdr:rowOff>104775</xdr:rowOff>
                  </to>
                </anchor>
              </controlPr>
            </control>
          </mc:Choice>
        </mc:AlternateContent>
        <mc:AlternateContent xmlns:mc="http://schemas.openxmlformats.org/markup-compatibility/2006">
          <mc:Choice Requires="x14">
            <control shapeId="3077" r:id="rId5" name="Button 5">
              <controlPr defaultSize="0" print="0" autoFill="0" autoPict="0" macro="[0]!UploadSheetButton_Click">
                <anchor moveWithCells="1" sizeWithCells="1">
                  <from>
                    <xdr:col>12</xdr:col>
                    <xdr:colOff>714375</xdr:colOff>
                    <xdr:row>12</xdr:row>
                    <xdr:rowOff>85725</xdr:rowOff>
                  </from>
                  <to>
                    <xdr:col>12</xdr:col>
                    <xdr:colOff>1971675</xdr:colOff>
                    <xdr:row>14</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2B36B8-674F-4488-AAAE-1E3F79CDD664}">
  <sheetPr codeName="Sheet2"/>
  <dimension ref="A1:JO29"/>
  <sheetViews>
    <sheetView tabSelected="1" zoomScale="80" zoomScaleNormal="80" workbookViewId="0">
      <pane xSplit="2" ySplit="3" topLeftCell="C4" activePane="bottomRight" state="frozen"/>
      <selection activeCell="FS2" sqref="FS2"/>
      <selection pane="topRight" activeCell="FS2" sqref="FS2"/>
      <selection pane="bottomLeft" activeCell="FS2" sqref="FS2"/>
      <selection pane="bottomRight" activeCell="O2" sqref="O2"/>
    </sheetView>
  </sheetViews>
  <sheetFormatPr defaultColWidth="9.140625" defaultRowHeight="15" x14ac:dyDescent="0.25"/>
  <cols>
    <col min="1" max="1" width="6.7109375" style="64" bestFit="1" customWidth="1"/>
    <col min="2" max="2" width="45" style="64" bestFit="1" customWidth="1"/>
    <col min="3" max="3" width="23.5703125" style="64" customWidth="1"/>
    <col min="4" max="4" width="22.5703125" style="64" customWidth="1"/>
    <col min="5" max="5" width="3.140625" style="63" customWidth="1"/>
    <col min="6" max="6" width="1.85546875" style="64" customWidth="1"/>
    <col min="7" max="7" width="12.42578125" style="64" customWidth="1"/>
    <col min="8" max="8" width="17.140625" style="64" customWidth="1"/>
    <col min="9" max="9" width="3" style="63" customWidth="1"/>
    <col min="10" max="10" width="1.7109375" style="64" customWidth="1"/>
    <col min="11" max="11" width="12.42578125" style="64" customWidth="1"/>
    <col min="12" max="12" width="16.42578125" style="64" customWidth="1"/>
    <col min="13" max="13" width="3" style="63" customWidth="1"/>
    <col min="14" max="14" width="1.7109375" style="64" customWidth="1"/>
    <col min="15" max="15" width="12.5703125" style="64" customWidth="1"/>
    <col min="16" max="16" width="22.140625" style="64" customWidth="1"/>
    <col min="17" max="17" width="3" style="63" customWidth="1"/>
    <col min="18" max="18" width="1.7109375" style="64" customWidth="1"/>
    <col min="19" max="19" width="3.5703125" style="64" customWidth="1"/>
    <col min="20" max="51" width="3" style="63" customWidth="1"/>
    <col min="52" max="52" width="12.7109375" style="64" bestFit="1" customWidth="1"/>
    <col min="53" max="53" width="20.140625" style="64" bestFit="1" customWidth="1"/>
    <col min="54" max="54" width="3.140625" style="63" bestFit="1" customWidth="1"/>
    <col min="55" max="55" width="1.7109375" style="64" bestFit="1" customWidth="1"/>
    <col min="56" max="87" width="3" style="63" customWidth="1"/>
    <col min="88" max="88" width="11.85546875" style="64" bestFit="1" customWidth="1"/>
    <col min="89" max="89" width="19.7109375" style="64" bestFit="1" customWidth="1"/>
    <col min="90" max="90" width="3.140625" style="63" bestFit="1" customWidth="1"/>
    <col min="91" max="91" width="1.7109375" style="64" bestFit="1" customWidth="1"/>
    <col min="92" max="123" width="3" style="63" customWidth="1"/>
    <col min="124" max="124" width="11.85546875" style="64" bestFit="1" customWidth="1"/>
    <col min="125" max="125" width="19.7109375" style="64" bestFit="1" customWidth="1"/>
    <col min="126" max="126" width="3.140625" style="63" bestFit="1" customWidth="1"/>
    <col min="127" max="127" width="1.7109375" style="64" bestFit="1" customWidth="1"/>
    <col min="128" max="142" width="3" style="63" customWidth="1"/>
    <col min="143" max="143" width="3.140625" style="63" bestFit="1" customWidth="1"/>
    <col min="144" max="159" width="3" style="63" customWidth="1"/>
    <col min="160" max="160" width="11.5703125" style="64" bestFit="1" customWidth="1"/>
    <col min="161" max="161" width="17.85546875" style="64" bestFit="1" customWidth="1"/>
    <col min="162" max="162" width="3.140625" style="63" bestFit="1" customWidth="1"/>
    <col min="163" max="163" width="1.85546875" style="64" bestFit="1" customWidth="1"/>
    <col min="164" max="178" width="3" style="63" customWidth="1"/>
    <col min="179" max="179" width="3.140625" style="63" bestFit="1" customWidth="1"/>
    <col min="180" max="195" width="3" style="63" customWidth="1"/>
    <col min="196" max="196" width="10.7109375" style="64" bestFit="1" customWidth="1"/>
    <col min="197" max="197" width="17.85546875" style="64" bestFit="1" customWidth="1"/>
    <col min="198" max="198" width="3.140625" style="63" bestFit="1" customWidth="1"/>
    <col min="199" max="199" width="1.85546875" style="64" bestFit="1" customWidth="1"/>
    <col min="200" max="214" width="3" style="63" customWidth="1"/>
    <col min="215" max="215" width="3.140625" style="63" bestFit="1" customWidth="1"/>
    <col min="216" max="231" width="3" style="63" customWidth="1"/>
    <col min="232" max="232" width="10.7109375" style="64" bestFit="1" customWidth="1"/>
    <col min="233" max="233" width="17.85546875" style="64" bestFit="1" customWidth="1"/>
    <col min="234" max="234" width="3.140625" style="63" bestFit="1" customWidth="1"/>
    <col min="235" max="235" width="1.85546875" style="64" bestFit="1" customWidth="1"/>
    <col min="236" max="250" width="3" style="63" customWidth="1"/>
    <col min="251" max="251" width="3.140625" style="63" bestFit="1" customWidth="1"/>
    <col min="252" max="267" width="3" style="63" customWidth="1"/>
    <col min="268" max="268" width="10.7109375" style="64" bestFit="1" customWidth="1"/>
    <col min="269" max="269" width="17.85546875" style="64" bestFit="1" customWidth="1"/>
    <col min="270" max="270" width="3.140625" style="63" bestFit="1" customWidth="1"/>
    <col min="271" max="271" width="1.85546875" style="64" bestFit="1" customWidth="1"/>
    <col min="272" max="272" width="44.42578125" style="64" customWidth="1"/>
    <col min="273" max="273" width="23.140625" style="64" bestFit="1" customWidth="1"/>
    <col min="274" max="274" width="3.140625" style="63" bestFit="1" customWidth="1"/>
    <col min="275" max="275" width="1.85546875" style="64" bestFit="1" customWidth="1"/>
    <col min="276" max="16384" width="9.140625" style="64"/>
  </cols>
  <sheetData>
    <row r="1" spans="1:275" ht="15.75" customHeight="1" thickBot="1" x14ac:dyDescent="0.3">
      <c r="A1" s="108" t="s">
        <v>102</v>
      </c>
      <c r="B1" s="107"/>
      <c r="C1" s="107" t="s">
        <v>153</v>
      </c>
      <c r="D1" s="109"/>
      <c r="E1" s="109"/>
      <c r="F1" s="110"/>
      <c r="G1" s="107" t="s">
        <v>154</v>
      </c>
      <c r="H1" s="109"/>
      <c r="I1" s="109"/>
      <c r="J1" s="110"/>
      <c r="K1" s="107" t="s">
        <v>155</v>
      </c>
      <c r="L1" s="109"/>
      <c r="M1" s="109"/>
      <c r="N1" s="110"/>
      <c r="O1" s="107" t="s">
        <v>156</v>
      </c>
      <c r="P1" s="109"/>
      <c r="Q1" s="109"/>
      <c r="R1" s="110"/>
      <c r="S1" s="67"/>
      <c r="T1" s="107" t="s">
        <v>157</v>
      </c>
      <c r="U1" s="107"/>
      <c r="V1" s="107"/>
      <c r="W1" s="107"/>
      <c r="X1" s="107"/>
      <c r="Y1" s="107"/>
      <c r="Z1" s="107"/>
      <c r="AA1" s="107"/>
      <c r="AB1" s="107"/>
      <c r="AC1" s="107"/>
      <c r="AD1" s="107"/>
      <c r="AE1" s="107"/>
      <c r="AF1" s="107"/>
      <c r="AG1" s="107"/>
      <c r="AH1" s="107"/>
      <c r="AI1" s="107"/>
      <c r="AJ1" s="107"/>
      <c r="AK1" s="107"/>
      <c r="AL1" s="107"/>
      <c r="AM1" s="107"/>
      <c r="AN1" s="107"/>
      <c r="AO1" s="107"/>
      <c r="AP1" s="107"/>
      <c r="AQ1" s="107"/>
      <c r="AR1" s="107"/>
      <c r="AS1" s="107"/>
      <c r="AT1" s="107"/>
      <c r="AU1" s="107"/>
      <c r="AV1" s="107"/>
      <c r="AW1" s="107"/>
      <c r="AX1" s="107"/>
      <c r="AY1" s="107"/>
      <c r="AZ1" s="107"/>
      <c r="BA1" s="107"/>
      <c r="BB1" s="107"/>
      <c r="BC1" s="107"/>
      <c r="BD1" s="107" t="s">
        <v>158</v>
      </c>
      <c r="BE1" s="107"/>
      <c r="BF1" s="107"/>
      <c r="BG1" s="107"/>
      <c r="BH1" s="107"/>
      <c r="BI1" s="107"/>
      <c r="BJ1" s="107"/>
      <c r="BK1" s="107"/>
      <c r="BL1" s="107"/>
      <c r="BM1" s="107"/>
      <c r="BN1" s="107"/>
      <c r="BO1" s="107"/>
      <c r="BP1" s="107"/>
      <c r="BQ1" s="107"/>
      <c r="BR1" s="107"/>
      <c r="BS1" s="107"/>
      <c r="BT1" s="107"/>
      <c r="BU1" s="107"/>
      <c r="BV1" s="107"/>
      <c r="BW1" s="107"/>
      <c r="BX1" s="107"/>
      <c r="BY1" s="107"/>
      <c r="BZ1" s="107"/>
      <c r="CA1" s="107"/>
      <c r="CB1" s="107"/>
      <c r="CC1" s="107"/>
      <c r="CD1" s="107"/>
      <c r="CE1" s="107"/>
      <c r="CF1" s="107"/>
      <c r="CG1" s="107"/>
      <c r="CH1" s="107"/>
      <c r="CI1" s="107"/>
      <c r="CJ1" s="107"/>
      <c r="CK1" s="107"/>
      <c r="CL1" s="107"/>
      <c r="CM1" s="107"/>
      <c r="CN1" s="107" t="s">
        <v>159</v>
      </c>
      <c r="CO1" s="107"/>
      <c r="CP1" s="107"/>
      <c r="CQ1" s="107"/>
      <c r="CR1" s="107"/>
      <c r="CS1" s="107"/>
      <c r="CT1" s="107"/>
      <c r="CU1" s="107"/>
      <c r="CV1" s="107"/>
      <c r="CW1" s="107"/>
      <c r="CX1" s="107"/>
      <c r="CY1" s="107"/>
      <c r="CZ1" s="107"/>
      <c r="DA1" s="107"/>
      <c r="DB1" s="107"/>
      <c r="DC1" s="107"/>
      <c r="DD1" s="107"/>
      <c r="DE1" s="107"/>
      <c r="DF1" s="107"/>
      <c r="DG1" s="107"/>
      <c r="DH1" s="107"/>
      <c r="DI1" s="107"/>
      <c r="DJ1" s="107"/>
      <c r="DK1" s="107"/>
      <c r="DL1" s="107"/>
      <c r="DM1" s="107"/>
      <c r="DN1" s="107"/>
      <c r="DO1" s="107"/>
      <c r="DP1" s="107"/>
      <c r="DQ1" s="107"/>
      <c r="DR1" s="107"/>
      <c r="DS1" s="107"/>
      <c r="DT1" s="107"/>
      <c r="DU1" s="107"/>
      <c r="DV1" s="107"/>
      <c r="DW1" s="107"/>
      <c r="DX1" s="107" t="s">
        <v>160</v>
      </c>
      <c r="DY1" s="107"/>
      <c r="DZ1" s="107"/>
      <c r="EA1" s="107"/>
      <c r="EB1" s="107"/>
      <c r="EC1" s="107"/>
      <c r="ED1" s="107"/>
      <c r="EE1" s="107"/>
      <c r="EF1" s="107"/>
      <c r="EG1" s="107"/>
      <c r="EH1" s="107"/>
      <c r="EI1" s="107"/>
      <c r="EJ1" s="107"/>
      <c r="EK1" s="107"/>
      <c r="EL1" s="107"/>
      <c r="EM1" s="107"/>
      <c r="EN1" s="107"/>
      <c r="EO1" s="107"/>
      <c r="EP1" s="107"/>
      <c r="EQ1" s="107"/>
      <c r="ER1" s="107"/>
      <c r="ES1" s="107"/>
      <c r="ET1" s="107"/>
      <c r="EU1" s="107"/>
      <c r="EV1" s="107"/>
      <c r="EW1" s="107"/>
      <c r="EX1" s="107"/>
      <c r="EY1" s="107"/>
      <c r="EZ1" s="107"/>
      <c r="FA1" s="107"/>
      <c r="FB1" s="107"/>
      <c r="FC1" s="107"/>
      <c r="FD1" s="107"/>
      <c r="FE1" s="107"/>
      <c r="FF1" s="107"/>
      <c r="FG1" s="107"/>
      <c r="FH1" s="107" t="s">
        <v>161</v>
      </c>
      <c r="FI1" s="107"/>
      <c r="FJ1" s="107"/>
      <c r="FK1" s="107"/>
      <c r="FL1" s="107"/>
      <c r="FM1" s="107"/>
      <c r="FN1" s="107"/>
      <c r="FO1" s="107"/>
      <c r="FP1" s="107"/>
      <c r="FQ1" s="107"/>
      <c r="FR1" s="107"/>
      <c r="FS1" s="107"/>
      <c r="FT1" s="107"/>
      <c r="FU1" s="107"/>
      <c r="FV1" s="107"/>
      <c r="FW1" s="107"/>
      <c r="FX1" s="107"/>
      <c r="FY1" s="107"/>
      <c r="FZ1" s="107"/>
      <c r="GA1" s="107"/>
      <c r="GB1" s="107"/>
      <c r="GC1" s="107"/>
      <c r="GD1" s="107"/>
      <c r="GE1" s="107"/>
      <c r="GF1" s="107"/>
      <c r="GG1" s="107"/>
      <c r="GH1" s="107"/>
      <c r="GI1" s="107"/>
      <c r="GJ1" s="107"/>
      <c r="GK1" s="107"/>
      <c r="GL1" s="107"/>
      <c r="GM1" s="107"/>
      <c r="GN1" s="107"/>
      <c r="GO1" s="107"/>
      <c r="GP1" s="107"/>
      <c r="GQ1" s="107"/>
      <c r="GR1" s="107" t="s">
        <v>162</v>
      </c>
      <c r="GS1" s="107"/>
      <c r="GT1" s="107"/>
      <c r="GU1" s="107"/>
      <c r="GV1" s="107"/>
      <c r="GW1" s="107"/>
      <c r="GX1" s="107"/>
      <c r="GY1" s="107"/>
      <c r="GZ1" s="107"/>
      <c r="HA1" s="107"/>
      <c r="HB1" s="107"/>
      <c r="HC1" s="107"/>
      <c r="HD1" s="107"/>
      <c r="HE1" s="107"/>
      <c r="HF1" s="107"/>
      <c r="HG1" s="107"/>
      <c r="HH1" s="107"/>
      <c r="HI1" s="107"/>
      <c r="HJ1" s="107"/>
      <c r="HK1" s="107"/>
      <c r="HL1" s="107"/>
      <c r="HM1" s="107"/>
      <c r="HN1" s="107"/>
      <c r="HO1" s="107"/>
      <c r="HP1" s="107"/>
      <c r="HQ1" s="107"/>
      <c r="HR1" s="107"/>
      <c r="HS1" s="107"/>
      <c r="HT1" s="107"/>
      <c r="HU1" s="107"/>
      <c r="HV1" s="107"/>
      <c r="HW1" s="107"/>
      <c r="HX1" s="107"/>
      <c r="HY1" s="107"/>
      <c r="HZ1" s="107"/>
      <c r="IA1" s="107"/>
      <c r="IB1" s="107" t="s">
        <v>163</v>
      </c>
      <c r="IC1" s="107"/>
      <c r="ID1" s="107"/>
      <c r="IE1" s="107"/>
      <c r="IF1" s="107"/>
      <c r="IG1" s="107"/>
      <c r="IH1" s="107"/>
      <c r="II1" s="107"/>
      <c r="IJ1" s="107"/>
      <c r="IK1" s="107"/>
      <c r="IL1" s="107"/>
      <c r="IM1" s="107"/>
      <c r="IN1" s="107"/>
      <c r="IO1" s="107"/>
      <c r="IP1" s="107"/>
      <c r="IQ1" s="107"/>
      <c r="IR1" s="107"/>
      <c r="IS1" s="107"/>
      <c r="IT1" s="107"/>
      <c r="IU1" s="107"/>
      <c r="IV1" s="107"/>
      <c r="IW1" s="107"/>
      <c r="IX1" s="107"/>
      <c r="IY1" s="107"/>
      <c r="IZ1" s="107"/>
      <c r="JA1" s="107"/>
      <c r="JB1" s="107"/>
      <c r="JC1" s="107"/>
      <c r="JD1" s="107"/>
      <c r="JE1" s="107"/>
      <c r="JF1" s="107"/>
      <c r="JG1" s="107"/>
      <c r="JH1" s="107"/>
      <c r="JI1" s="107"/>
      <c r="JJ1" s="107"/>
      <c r="JK1" s="107"/>
      <c r="JL1" s="107" t="s">
        <v>101</v>
      </c>
      <c r="JM1" s="109"/>
      <c r="JN1" s="109"/>
      <c r="JO1" s="110"/>
    </row>
    <row r="2" spans="1:275" ht="326.25" customHeight="1" thickBot="1" x14ac:dyDescent="0.3">
      <c r="A2" s="1"/>
      <c r="B2" s="2" t="s">
        <v>42</v>
      </c>
      <c r="C2" s="4" t="s">
        <v>99</v>
      </c>
      <c r="D2" s="111"/>
      <c r="E2" s="112"/>
      <c r="F2" s="113"/>
      <c r="G2" s="68" t="s">
        <v>98</v>
      </c>
      <c r="H2" s="114"/>
      <c r="I2" s="100"/>
      <c r="J2" s="115"/>
      <c r="K2" s="68" t="s">
        <v>100</v>
      </c>
      <c r="L2" s="114"/>
      <c r="M2" s="100"/>
      <c r="N2" s="115"/>
      <c r="O2" s="4" t="s">
        <v>97</v>
      </c>
      <c r="P2" s="116"/>
      <c r="Q2" s="100"/>
      <c r="R2" s="100"/>
      <c r="S2" s="40" t="s">
        <v>103</v>
      </c>
      <c r="T2" s="13" t="s">
        <v>20</v>
      </c>
      <c r="U2" s="14" t="s">
        <v>21</v>
      </c>
      <c r="V2" s="14"/>
      <c r="W2" s="14" t="s">
        <v>22</v>
      </c>
      <c r="X2" s="14" t="s">
        <v>23</v>
      </c>
      <c r="Y2" s="14"/>
      <c r="Z2" s="14"/>
      <c r="AA2" s="84"/>
      <c r="AB2" s="14" t="s">
        <v>24</v>
      </c>
      <c r="AC2" s="14" t="s">
        <v>25</v>
      </c>
      <c r="AD2" s="14" t="s">
        <v>26</v>
      </c>
      <c r="AE2" s="41" t="s">
        <v>27</v>
      </c>
      <c r="AF2" s="41" t="s">
        <v>104</v>
      </c>
      <c r="AG2" s="41" t="s">
        <v>28</v>
      </c>
      <c r="AH2" s="41" t="s">
        <v>29</v>
      </c>
      <c r="AI2" s="41" t="s">
        <v>30</v>
      </c>
      <c r="AJ2" s="41" t="s">
        <v>31</v>
      </c>
      <c r="AK2" s="41" t="s">
        <v>32</v>
      </c>
      <c r="AL2" s="41" t="s">
        <v>33</v>
      </c>
      <c r="AM2" s="41" t="s">
        <v>34</v>
      </c>
      <c r="AN2" s="41" t="s">
        <v>35</v>
      </c>
      <c r="AO2" s="41" t="s">
        <v>164</v>
      </c>
      <c r="AP2" s="41" t="s">
        <v>165</v>
      </c>
      <c r="AQ2" s="41" t="s">
        <v>166</v>
      </c>
      <c r="AR2" s="41" t="s">
        <v>167</v>
      </c>
      <c r="AS2" s="41" t="s">
        <v>36</v>
      </c>
      <c r="AT2" s="41" t="s">
        <v>37</v>
      </c>
      <c r="AU2" s="41" t="s">
        <v>38</v>
      </c>
      <c r="AV2" s="41" t="s">
        <v>39</v>
      </c>
      <c r="AW2" s="14" t="s">
        <v>40</v>
      </c>
      <c r="AX2" s="14" t="s">
        <v>41</v>
      </c>
      <c r="AY2" s="15" t="s">
        <v>129</v>
      </c>
      <c r="AZ2" s="2"/>
      <c r="BA2" s="117"/>
      <c r="BB2" s="109"/>
      <c r="BC2" s="110"/>
      <c r="BD2" s="13" t="s">
        <v>43</v>
      </c>
      <c r="BE2" s="14" t="s">
        <v>44</v>
      </c>
      <c r="BF2" s="14" t="s">
        <v>45</v>
      </c>
      <c r="BG2" s="14" t="s">
        <v>46</v>
      </c>
      <c r="BH2" s="14" t="s">
        <v>47</v>
      </c>
      <c r="BI2" s="14" t="s">
        <v>105</v>
      </c>
      <c r="BJ2" s="14" t="s">
        <v>106</v>
      </c>
      <c r="BK2" s="14" t="s">
        <v>48</v>
      </c>
      <c r="BL2" s="14" t="s">
        <v>49</v>
      </c>
      <c r="BM2" s="14" t="s">
        <v>50</v>
      </c>
      <c r="BN2" s="14" t="s">
        <v>107</v>
      </c>
      <c r="BO2" s="14" t="s">
        <v>51</v>
      </c>
      <c r="BP2" s="14" t="s">
        <v>52</v>
      </c>
      <c r="BQ2" s="14" t="s">
        <v>53</v>
      </c>
      <c r="BR2" s="14" t="s">
        <v>54</v>
      </c>
      <c r="BS2" s="14" t="s">
        <v>55</v>
      </c>
      <c r="BT2" s="14" t="s">
        <v>56</v>
      </c>
      <c r="BU2" s="14" t="s">
        <v>57</v>
      </c>
      <c r="BV2" s="14" t="s">
        <v>58</v>
      </c>
      <c r="BW2" s="14" t="s">
        <v>59</v>
      </c>
      <c r="BX2" s="14" t="s">
        <v>60</v>
      </c>
      <c r="BY2" s="14" t="s">
        <v>61</v>
      </c>
      <c r="BZ2" s="14" t="s">
        <v>62</v>
      </c>
      <c r="CA2" s="14" t="s">
        <v>63</v>
      </c>
      <c r="CB2" s="14" t="s">
        <v>64</v>
      </c>
      <c r="CC2" s="14" t="s">
        <v>65</v>
      </c>
      <c r="CD2" s="14" t="s">
        <v>66</v>
      </c>
      <c r="CE2" s="14" t="s">
        <v>67</v>
      </c>
      <c r="CF2" s="14" t="s">
        <v>68</v>
      </c>
      <c r="CG2" s="14" t="s">
        <v>69</v>
      </c>
      <c r="CH2" s="14" t="s">
        <v>70</v>
      </c>
      <c r="CI2" s="15" t="s">
        <v>71</v>
      </c>
      <c r="CJ2" s="2"/>
      <c r="CK2" s="117"/>
      <c r="CL2" s="109"/>
      <c r="CM2" s="110"/>
      <c r="CN2" s="13" t="s">
        <v>108</v>
      </c>
      <c r="CO2" s="14" t="s">
        <v>109</v>
      </c>
      <c r="CP2" s="14" t="s">
        <v>110</v>
      </c>
      <c r="CQ2" s="14" t="s">
        <v>111</v>
      </c>
      <c r="CR2" s="14" t="s">
        <v>112</v>
      </c>
      <c r="CS2" s="14" t="s">
        <v>72</v>
      </c>
      <c r="CT2" s="14" t="s">
        <v>73</v>
      </c>
      <c r="CU2" s="14" t="s">
        <v>74</v>
      </c>
      <c r="CV2" s="14" t="s">
        <v>75</v>
      </c>
      <c r="CW2" s="14" t="s">
        <v>168</v>
      </c>
      <c r="CX2" s="14" t="s">
        <v>76</v>
      </c>
      <c r="CY2" s="14" t="s">
        <v>77</v>
      </c>
      <c r="CZ2" s="14" t="s">
        <v>78</v>
      </c>
      <c r="DA2" s="14" t="s">
        <v>79</v>
      </c>
      <c r="DB2" s="14" t="s">
        <v>80</v>
      </c>
      <c r="DC2" s="14" t="s">
        <v>81</v>
      </c>
      <c r="DD2" s="14" t="s">
        <v>82</v>
      </c>
      <c r="DE2" s="14" t="s">
        <v>169</v>
      </c>
      <c r="DF2" s="14" t="s">
        <v>83</v>
      </c>
      <c r="DG2" s="14" t="s">
        <v>84</v>
      </c>
      <c r="DH2" s="14" t="s">
        <v>85</v>
      </c>
      <c r="DI2" s="14" t="s">
        <v>86</v>
      </c>
      <c r="DJ2" s="14" t="s">
        <v>87</v>
      </c>
      <c r="DK2" s="14" t="s">
        <v>88</v>
      </c>
      <c r="DL2" s="14" t="s">
        <v>89</v>
      </c>
      <c r="DM2" s="14" t="s">
        <v>90</v>
      </c>
      <c r="DN2" s="14" t="s">
        <v>91</v>
      </c>
      <c r="DO2" s="14" t="s">
        <v>92</v>
      </c>
      <c r="DP2" s="14" t="s">
        <v>93</v>
      </c>
      <c r="DQ2" s="14" t="s">
        <v>94</v>
      </c>
      <c r="DR2" s="14" t="s">
        <v>95</v>
      </c>
      <c r="DS2" s="15" t="s">
        <v>96</v>
      </c>
      <c r="DT2" s="2"/>
      <c r="DU2" s="117"/>
      <c r="DV2" s="109"/>
      <c r="DW2" s="110"/>
      <c r="DX2" s="37" t="s">
        <v>170</v>
      </c>
      <c r="DY2" s="33" t="s">
        <v>171</v>
      </c>
      <c r="DZ2" s="33" t="s">
        <v>172</v>
      </c>
      <c r="EA2" s="33" t="s">
        <v>173</v>
      </c>
      <c r="EB2" s="33" t="s">
        <v>174</v>
      </c>
      <c r="EC2" s="33" t="s">
        <v>175</v>
      </c>
      <c r="ED2" s="33" t="s">
        <v>176</v>
      </c>
      <c r="EE2" s="33" t="s">
        <v>177</v>
      </c>
      <c r="EF2" s="33" t="s">
        <v>178</v>
      </c>
      <c r="EG2" s="33" t="s">
        <v>179</v>
      </c>
      <c r="EH2" s="33" t="s">
        <v>180</v>
      </c>
      <c r="EI2" s="33" t="s">
        <v>181</v>
      </c>
      <c r="EJ2" s="33" t="s">
        <v>182</v>
      </c>
      <c r="EK2" s="33" t="s">
        <v>183</v>
      </c>
      <c r="EL2" s="33" t="s">
        <v>184</v>
      </c>
      <c r="EM2" s="33" t="s">
        <v>185</v>
      </c>
      <c r="EN2" s="33" t="s">
        <v>186</v>
      </c>
      <c r="EO2" s="33" t="s">
        <v>187</v>
      </c>
      <c r="EP2" s="33" t="s">
        <v>188</v>
      </c>
      <c r="EQ2" s="33" t="s">
        <v>189</v>
      </c>
      <c r="ER2" s="33" t="s">
        <v>190</v>
      </c>
      <c r="ES2" s="33" t="s">
        <v>191</v>
      </c>
      <c r="ET2" s="33" t="s">
        <v>192</v>
      </c>
      <c r="EU2" s="33" t="s">
        <v>193</v>
      </c>
      <c r="EV2" s="33" t="s">
        <v>194</v>
      </c>
      <c r="EW2" s="33" t="s">
        <v>195</v>
      </c>
      <c r="EX2" s="33" t="s">
        <v>196</v>
      </c>
      <c r="EY2" s="33" t="s">
        <v>197</v>
      </c>
      <c r="EZ2" s="33" t="s">
        <v>198</v>
      </c>
      <c r="FA2" s="33" t="s">
        <v>199</v>
      </c>
      <c r="FB2" s="33" t="s">
        <v>200</v>
      </c>
      <c r="FC2" s="34" t="s">
        <v>201</v>
      </c>
      <c r="FD2" s="2"/>
      <c r="FE2" s="118"/>
      <c r="FF2" s="112"/>
      <c r="FG2" s="112"/>
      <c r="FH2" s="39" t="s">
        <v>202</v>
      </c>
      <c r="FI2" s="33" t="s">
        <v>203</v>
      </c>
      <c r="FJ2" s="33" t="s">
        <v>204</v>
      </c>
      <c r="FK2" s="33" t="s">
        <v>205</v>
      </c>
      <c r="FL2" s="33" t="s">
        <v>206</v>
      </c>
      <c r="FM2" s="33"/>
      <c r="FN2" s="33"/>
      <c r="FO2" s="33"/>
      <c r="FP2" s="33"/>
      <c r="FQ2" s="33"/>
      <c r="FR2" s="33" t="s">
        <v>207</v>
      </c>
      <c r="FS2" s="33" t="s">
        <v>208</v>
      </c>
      <c r="FT2" s="33" t="s">
        <v>209</v>
      </c>
      <c r="FU2" s="33" t="s">
        <v>210</v>
      </c>
      <c r="FV2" s="33" t="s">
        <v>211</v>
      </c>
      <c r="FW2" s="33" t="s">
        <v>212</v>
      </c>
      <c r="FX2" s="33" t="s">
        <v>213</v>
      </c>
      <c r="FY2" s="33"/>
      <c r="FZ2" s="33"/>
      <c r="GA2" s="33"/>
      <c r="GB2" s="33" t="s">
        <v>214</v>
      </c>
      <c r="GC2" s="33" t="s">
        <v>215</v>
      </c>
      <c r="GD2" s="33" t="s">
        <v>216</v>
      </c>
      <c r="GE2" s="33" t="s">
        <v>217</v>
      </c>
      <c r="GF2" s="33" t="s">
        <v>218</v>
      </c>
      <c r="GG2" s="33" t="s">
        <v>219</v>
      </c>
      <c r="GH2" s="33"/>
      <c r="GI2" s="33"/>
      <c r="GJ2" s="33"/>
      <c r="GK2" s="33"/>
      <c r="GL2" s="33"/>
      <c r="GM2" s="34"/>
      <c r="GN2" s="2"/>
      <c r="GO2" s="118"/>
      <c r="GP2" s="112"/>
      <c r="GQ2" s="112"/>
      <c r="GR2" s="39"/>
      <c r="GS2" s="33"/>
      <c r="GT2" s="33"/>
      <c r="GU2" s="33"/>
      <c r="GV2" s="33"/>
      <c r="GW2" s="33"/>
      <c r="GX2" s="33"/>
      <c r="GY2" s="33"/>
      <c r="GZ2" s="33"/>
      <c r="HA2" s="33"/>
      <c r="HB2" s="33"/>
      <c r="HC2" s="33"/>
      <c r="HD2" s="33"/>
      <c r="HE2" s="33"/>
      <c r="HF2" s="33"/>
      <c r="HG2" s="33"/>
      <c r="HH2" s="33"/>
      <c r="HI2" s="33"/>
      <c r="HJ2" s="33"/>
      <c r="HK2" s="33"/>
      <c r="HL2" s="33"/>
      <c r="HM2" s="33"/>
      <c r="HN2" s="33"/>
      <c r="HO2" s="33"/>
      <c r="HP2" s="33"/>
      <c r="HQ2" s="33" t="s">
        <v>113</v>
      </c>
      <c r="HR2" s="33" t="s">
        <v>220</v>
      </c>
      <c r="HS2" s="33" t="s">
        <v>221</v>
      </c>
      <c r="HT2" s="33" t="s">
        <v>222</v>
      </c>
      <c r="HU2" s="33" t="s">
        <v>223</v>
      </c>
      <c r="HV2" s="33" t="s">
        <v>224</v>
      </c>
      <c r="HW2" s="34" t="s">
        <v>225</v>
      </c>
      <c r="HX2" s="2"/>
      <c r="HY2" s="118"/>
      <c r="HZ2" s="112"/>
      <c r="IA2" s="112"/>
      <c r="IB2" s="39"/>
      <c r="IC2" s="33" t="s">
        <v>255</v>
      </c>
      <c r="ID2" s="33" t="s">
        <v>257</v>
      </c>
      <c r="IE2" s="33" t="s">
        <v>254</v>
      </c>
      <c r="IF2" s="33" t="s">
        <v>248</v>
      </c>
      <c r="IG2" s="33" t="s">
        <v>245</v>
      </c>
      <c r="IH2" s="33" t="s">
        <v>246</v>
      </c>
      <c r="II2" s="33" t="s">
        <v>247</v>
      </c>
      <c r="IJ2" s="33"/>
      <c r="IK2" s="33"/>
      <c r="IL2" s="33"/>
      <c r="IM2" s="33"/>
      <c r="IN2" s="33"/>
      <c r="IO2" s="33"/>
      <c r="IP2" s="33"/>
      <c r="IQ2" s="33"/>
      <c r="IR2" s="33"/>
      <c r="IS2" s="33" t="s">
        <v>258</v>
      </c>
      <c r="IT2" s="33" t="s">
        <v>256</v>
      </c>
      <c r="IU2" s="33" t="s">
        <v>253</v>
      </c>
      <c r="IV2" s="33" t="s">
        <v>252</v>
      </c>
      <c r="IW2" s="33" t="s">
        <v>251</v>
      </c>
      <c r="IX2" s="33" t="s">
        <v>250</v>
      </c>
      <c r="IY2" s="33" t="s">
        <v>249</v>
      </c>
      <c r="IZ2" s="33"/>
      <c r="JA2" s="33"/>
      <c r="JB2" s="33" t="s">
        <v>114</v>
      </c>
      <c r="JC2" s="33" t="s">
        <v>115</v>
      </c>
      <c r="JD2" s="33" t="s">
        <v>116</v>
      </c>
      <c r="JE2" s="33" t="s">
        <v>117</v>
      </c>
      <c r="JF2" s="33" t="s">
        <v>118</v>
      </c>
      <c r="JG2" s="34" t="s">
        <v>119</v>
      </c>
      <c r="JH2" s="2"/>
      <c r="JI2" s="118"/>
      <c r="JJ2" s="112"/>
      <c r="JK2" s="112"/>
      <c r="JL2" s="4" t="s">
        <v>15</v>
      </c>
      <c r="JM2" s="111"/>
      <c r="JN2" s="112"/>
      <c r="JO2" s="113"/>
    </row>
    <row r="3" spans="1:275" ht="15.75" customHeight="1" thickBot="1" x14ac:dyDescent="0.3">
      <c r="A3" s="67" t="s">
        <v>16</v>
      </c>
      <c r="B3" s="67"/>
      <c r="C3" s="67" t="s">
        <v>14</v>
      </c>
      <c r="D3" s="107" t="s">
        <v>17</v>
      </c>
      <c r="E3" s="109"/>
      <c r="F3" s="110"/>
      <c r="G3" s="67" t="s">
        <v>12</v>
      </c>
      <c r="H3" s="119" t="s">
        <v>17</v>
      </c>
      <c r="I3" s="109"/>
      <c r="J3" s="110"/>
      <c r="K3" s="71" t="s">
        <v>12</v>
      </c>
      <c r="L3" s="119" t="s">
        <v>17</v>
      </c>
      <c r="M3" s="109"/>
      <c r="N3" s="110"/>
      <c r="O3" s="71" t="s">
        <v>12</v>
      </c>
      <c r="P3" s="107" t="s">
        <v>17</v>
      </c>
      <c r="Q3" s="109"/>
      <c r="R3" s="110"/>
      <c r="S3" s="40"/>
      <c r="T3" s="123"/>
      <c r="U3" s="109"/>
      <c r="V3" s="109"/>
      <c r="W3" s="109"/>
      <c r="X3" s="109"/>
      <c r="Y3" s="109"/>
      <c r="Z3" s="109"/>
      <c r="AA3" s="109"/>
      <c r="AB3" s="109"/>
      <c r="AC3" s="109"/>
      <c r="AD3" s="109"/>
      <c r="AE3" s="109"/>
      <c r="AF3" s="109"/>
      <c r="AG3" s="109"/>
      <c r="AH3" s="109"/>
      <c r="AI3" s="109"/>
      <c r="AJ3" s="109"/>
      <c r="AK3" s="109"/>
      <c r="AL3" s="109"/>
      <c r="AM3" s="109"/>
      <c r="AN3" s="109"/>
      <c r="AO3" s="109"/>
      <c r="AP3" s="109"/>
      <c r="AQ3" s="109"/>
      <c r="AR3" s="109"/>
      <c r="AS3" s="109"/>
      <c r="AT3" s="109"/>
      <c r="AU3" s="109"/>
      <c r="AV3" s="109"/>
      <c r="AW3" s="109"/>
      <c r="AX3" s="109"/>
      <c r="AY3" s="110"/>
      <c r="AZ3" s="67" t="s">
        <v>138</v>
      </c>
      <c r="BA3" s="119" t="s">
        <v>17</v>
      </c>
      <c r="BB3" s="109"/>
      <c r="BC3" s="110"/>
      <c r="BD3" s="120"/>
      <c r="BE3" s="121"/>
      <c r="BF3" s="121"/>
      <c r="BG3" s="121"/>
      <c r="BH3" s="121"/>
      <c r="BI3" s="121"/>
      <c r="BJ3" s="121"/>
      <c r="BK3" s="121"/>
      <c r="BL3" s="121"/>
      <c r="BM3" s="121"/>
      <c r="BN3" s="121"/>
      <c r="BO3" s="121"/>
      <c r="BP3" s="121"/>
      <c r="BQ3" s="121"/>
      <c r="BR3" s="121"/>
      <c r="BS3" s="121"/>
      <c r="BT3" s="121"/>
      <c r="BU3" s="121"/>
      <c r="BV3" s="121"/>
      <c r="BW3" s="121"/>
      <c r="BX3" s="121"/>
      <c r="BY3" s="121"/>
      <c r="BZ3" s="121"/>
      <c r="CA3" s="121"/>
      <c r="CB3" s="121"/>
      <c r="CC3" s="121"/>
      <c r="CD3" s="121"/>
      <c r="CE3" s="121"/>
      <c r="CF3" s="121"/>
      <c r="CG3" s="121"/>
      <c r="CH3" s="121"/>
      <c r="CI3" s="122"/>
      <c r="CJ3" s="83" t="s">
        <v>138</v>
      </c>
      <c r="CK3" s="119" t="s">
        <v>17</v>
      </c>
      <c r="CL3" s="109"/>
      <c r="CM3" s="110"/>
      <c r="CN3" s="123"/>
      <c r="CO3" s="109"/>
      <c r="CP3" s="109"/>
      <c r="CQ3" s="109"/>
      <c r="CR3" s="109"/>
      <c r="CS3" s="109"/>
      <c r="CT3" s="109"/>
      <c r="CU3" s="109"/>
      <c r="CV3" s="109"/>
      <c r="CW3" s="109"/>
      <c r="CX3" s="109"/>
      <c r="CY3" s="109"/>
      <c r="CZ3" s="109"/>
      <c r="DA3" s="109"/>
      <c r="DB3" s="109"/>
      <c r="DC3" s="109"/>
      <c r="DD3" s="109"/>
      <c r="DE3" s="109"/>
      <c r="DF3" s="109"/>
      <c r="DG3" s="109"/>
      <c r="DH3" s="109"/>
      <c r="DI3" s="109"/>
      <c r="DJ3" s="109"/>
      <c r="DK3" s="109"/>
      <c r="DL3" s="109"/>
      <c r="DM3" s="109"/>
      <c r="DN3" s="109"/>
      <c r="DO3" s="109"/>
      <c r="DP3" s="109"/>
      <c r="DQ3" s="109"/>
      <c r="DR3" s="109"/>
      <c r="DS3" s="110"/>
      <c r="DT3" s="83" t="s">
        <v>138</v>
      </c>
      <c r="DU3" s="119" t="s">
        <v>17</v>
      </c>
      <c r="DV3" s="109"/>
      <c r="DW3" s="110"/>
      <c r="DX3" s="120"/>
      <c r="DY3" s="109"/>
      <c r="DZ3" s="109"/>
      <c r="EA3" s="109"/>
      <c r="EB3" s="109"/>
      <c r="EC3" s="109"/>
      <c r="ED3" s="109"/>
      <c r="EE3" s="109"/>
      <c r="EF3" s="109"/>
      <c r="EG3" s="109"/>
      <c r="EH3" s="109"/>
      <c r="EI3" s="109"/>
      <c r="EJ3" s="109"/>
      <c r="EK3" s="109"/>
      <c r="EL3" s="109"/>
      <c r="EM3" s="109"/>
      <c r="EN3" s="109"/>
      <c r="EO3" s="109"/>
      <c r="EP3" s="109"/>
      <c r="EQ3" s="109"/>
      <c r="ER3" s="109"/>
      <c r="ES3" s="109"/>
      <c r="ET3" s="109"/>
      <c r="EU3" s="109"/>
      <c r="EV3" s="109"/>
      <c r="EW3" s="109"/>
      <c r="EX3" s="109"/>
      <c r="EY3" s="109"/>
      <c r="EZ3" s="109"/>
      <c r="FA3" s="109"/>
      <c r="FB3" s="109"/>
      <c r="FC3" s="110"/>
      <c r="FD3" s="83" t="s">
        <v>138</v>
      </c>
      <c r="FE3" s="119" t="s">
        <v>17</v>
      </c>
      <c r="FF3" s="109"/>
      <c r="FG3" s="110"/>
      <c r="FH3" s="120"/>
      <c r="FI3" s="109"/>
      <c r="FJ3" s="109"/>
      <c r="FK3" s="109"/>
      <c r="FL3" s="109"/>
      <c r="FM3" s="109"/>
      <c r="FN3" s="109"/>
      <c r="FO3" s="109"/>
      <c r="FP3" s="109"/>
      <c r="FQ3" s="109"/>
      <c r="FR3" s="109"/>
      <c r="FS3" s="109"/>
      <c r="FT3" s="109"/>
      <c r="FU3" s="109"/>
      <c r="FV3" s="109"/>
      <c r="FW3" s="109"/>
      <c r="FX3" s="109"/>
      <c r="FY3" s="109"/>
      <c r="FZ3" s="109"/>
      <c r="GA3" s="109"/>
      <c r="GB3" s="109"/>
      <c r="GC3" s="109"/>
      <c r="GD3" s="109"/>
      <c r="GE3" s="109"/>
      <c r="GF3" s="109"/>
      <c r="GG3" s="109"/>
      <c r="GH3" s="109"/>
      <c r="GI3" s="109"/>
      <c r="GJ3" s="109"/>
      <c r="GK3" s="109"/>
      <c r="GL3" s="109"/>
      <c r="GM3" s="110"/>
      <c r="GN3" s="83" t="s">
        <v>138</v>
      </c>
      <c r="GO3" s="119" t="s">
        <v>17</v>
      </c>
      <c r="GP3" s="109"/>
      <c r="GQ3" s="110"/>
      <c r="GR3" s="120"/>
      <c r="GS3" s="109"/>
      <c r="GT3" s="109"/>
      <c r="GU3" s="109"/>
      <c r="GV3" s="109"/>
      <c r="GW3" s="109"/>
      <c r="GX3" s="109"/>
      <c r="GY3" s="109"/>
      <c r="GZ3" s="109"/>
      <c r="HA3" s="109"/>
      <c r="HB3" s="109"/>
      <c r="HC3" s="109"/>
      <c r="HD3" s="109"/>
      <c r="HE3" s="109"/>
      <c r="HF3" s="109"/>
      <c r="HG3" s="109"/>
      <c r="HH3" s="109"/>
      <c r="HI3" s="109"/>
      <c r="HJ3" s="109"/>
      <c r="HK3" s="109"/>
      <c r="HL3" s="109"/>
      <c r="HM3" s="109"/>
      <c r="HN3" s="109"/>
      <c r="HO3" s="109"/>
      <c r="HP3" s="109"/>
      <c r="HQ3" s="109"/>
      <c r="HR3" s="109"/>
      <c r="HS3" s="109"/>
      <c r="HT3" s="109"/>
      <c r="HU3" s="109"/>
      <c r="HV3" s="109"/>
      <c r="HW3" s="110"/>
      <c r="HX3" s="83" t="s">
        <v>138</v>
      </c>
      <c r="HY3" s="119" t="s">
        <v>17</v>
      </c>
      <c r="HZ3" s="109"/>
      <c r="IA3" s="110"/>
      <c r="IB3" s="120"/>
      <c r="IC3" s="121"/>
      <c r="ID3" s="121"/>
      <c r="IE3" s="121"/>
      <c r="IF3" s="121"/>
      <c r="IG3" s="121"/>
      <c r="IH3" s="121"/>
      <c r="II3" s="121"/>
      <c r="IJ3" s="121"/>
      <c r="IK3" s="121"/>
      <c r="IL3" s="121"/>
      <c r="IM3" s="121"/>
      <c r="IN3" s="121"/>
      <c r="IO3" s="121"/>
      <c r="IP3" s="121"/>
      <c r="IQ3" s="121"/>
      <c r="IR3" s="121"/>
      <c r="IS3" s="121"/>
      <c r="IT3" s="121"/>
      <c r="IU3" s="121"/>
      <c r="IV3" s="121"/>
      <c r="IW3" s="121"/>
      <c r="IX3" s="121"/>
      <c r="IY3" s="121"/>
      <c r="IZ3" s="121"/>
      <c r="JA3" s="121"/>
      <c r="JB3" s="121"/>
      <c r="JC3" s="121"/>
      <c r="JD3" s="121"/>
      <c r="JE3" s="121"/>
      <c r="JF3" s="121"/>
      <c r="JG3" s="122"/>
      <c r="JH3" s="83" t="s">
        <v>138</v>
      </c>
      <c r="JI3" s="119" t="s">
        <v>17</v>
      </c>
      <c r="JJ3" s="109"/>
      <c r="JK3" s="110"/>
      <c r="JL3" s="67" t="s">
        <v>14</v>
      </c>
      <c r="JM3" s="107" t="s">
        <v>17</v>
      </c>
      <c r="JN3" s="109"/>
      <c r="JO3" s="110"/>
    </row>
    <row r="4" spans="1:275" ht="15" customHeight="1" x14ac:dyDescent="0.25">
      <c r="A4" s="8" t="s">
        <v>18</v>
      </c>
      <c r="B4" s="8" t="s">
        <v>15</v>
      </c>
      <c r="C4" s="8"/>
      <c r="D4" s="124"/>
      <c r="E4" s="125"/>
      <c r="F4" s="126"/>
      <c r="G4" s="7"/>
      <c r="H4" s="124"/>
      <c r="I4" s="125"/>
      <c r="J4" s="126"/>
      <c r="K4" s="7"/>
      <c r="L4" s="124"/>
      <c r="M4" s="125"/>
      <c r="N4" s="126"/>
      <c r="O4" s="5"/>
      <c r="P4" s="124"/>
      <c r="Q4" s="125"/>
      <c r="R4" s="126"/>
      <c r="S4" s="3"/>
      <c r="T4" s="69">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24"/>
      <c r="BB4" s="125"/>
      <c r="BC4" s="126"/>
      <c r="BD4" s="69">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24"/>
      <c r="CL4" s="125"/>
      <c r="CM4" s="126"/>
      <c r="CN4" s="69">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24"/>
      <c r="DV4" s="125"/>
      <c r="DW4" s="126"/>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24"/>
      <c r="FF4" s="125"/>
      <c r="FG4" s="126"/>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24"/>
      <c r="GP4" s="125"/>
      <c r="GQ4" s="126"/>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24"/>
      <c r="HZ4" s="125"/>
      <c r="IA4" s="126"/>
      <c r="IB4" s="38">
        <v>31</v>
      </c>
      <c r="IC4" s="35">
        <v>30</v>
      </c>
      <c r="ID4" s="35">
        <v>29</v>
      </c>
      <c r="IE4" s="35">
        <v>28</v>
      </c>
      <c r="IF4" s="35">
        <v>27</v>
      </c>
      <c r="IG4" s="35">
        <v>26</v>
      </c>
      <c r="IH4" s="35">
        <v>25</v>
      </c>
      <c r="II4" s="35">
        <v>24</v>
      </c>
      <c r="IJ4" s="35">
        <v>23</v>
      </c>
      <c r="IK4" s="35">
        <v>22</v>
      </c>
      <c r="IL4" s="35">
        <v>21</v>
      </c>
      <c r="IM4" s="35">
        <v>20</v>
      </c>
      <c r="IN4" s="35">
        <v>19</v>
      </c>
      <c r="IO4" s="35">
        <v>18</v>
      </c>
      <c r="IP4" s="35">
        <v>17</v>
      </c>
      <c r="IQ4" s="35">
        <v>16</v>
      </c>
      <c r="IR4" s="35">
        <v>15</v>
      </c>
      <c r="IS4" s="35">
        <v>14</v>
      </c>
      <c r="IT4" s="35">
        <v>13</v>
      </c>
      <c r="IU4" s="35">
        <v>12</v>
      </c>
      <c r="IV4" s="35">
        <v>11</v>
      </c>
      <c r="IW4" s="35">
        <v>10</v>
      </c>
      <c r="IX4" s="35">
        <v>9</v>
      </c>
      <c r="IY4" s="35">
        <v>8</v>
      </c>
      <c r="IZ4" s="35">
        <v>7</v>
      </c>
      <c r="JA4" s="35">
        <v>6</v>
      </c>
      <c r="JB4" s="35">
        <v>5</v>
      </c>
      <c r="JC4" s="35">
        <v>4</v>
      </c>
      <c r="JD4" s="35">
        <v>3</v>
      </c>
      <c r="JE4" s="35">
        <v>2</v>
      </c>
      <c r="JF4" s="35">
        <v>1</v>
      </c>
      <c r="JG4" s="36">
        <v>0</v>
      </c>
      <c r="JH4" s="8"/>
      <c r="JI4" s="124"/>
      <c r="JJ4" s="125"/>
      <c r="JK4" s="126"/>
      <c r="JL4" s="8"/>
      <c r="JM4" s="124"/>
      <c r="JN4" s="125"/>
      <c r="JO4" s="126"/>
    </row>
    <row r="5" spans="1:275" ht="15" customHeight="1" x14ac:dyDescent="0.25">
      <c r="A5" s="8">
        <v>0</v>
      </c>
      <c r="B5" s="8" t="str">
        <f t="shared" ref="B5:B29" si="0">IF($JL5&lt;&gt;"", $JL5, "")</f>
        <v>HOME</v>
      </c>
      <c r="C5" s="10"/>
      <c r="D5" s="22" t="s">
        <v>226</v>
      </c>
      <c r="E5" s="23">
        <v>0</v>
      </c>
      <c r="F5" s="70" t="s">
        <v>19</v>
      </c>
      <c r="G5" s="79">
        <v>0</v>
      </c>
      <c r="H5" s="22" t="s">
        <v>227</v>
      </c>
      <c r="I5" s="23">
        <v>0</v>
      </c>
      <c r="J5" s="70" t="s">
        <v>19</v>
      </c>
      <c r="K5" s="79">
        <v>0</v>
      </c>
      <c r="L5" s="22" t="s">
        <v>228</v>
      </c>
      <c r="M5" s="23">
        <v>0</v>
      </c>
      <c r="N5" s="70" t="s">
        <v>19</v>
      </c>
      <c r="O5" s="81">
        <v>0</v>
      </c>
      <c r="P5" s="22" t="s">
        <v>229</v>
      </c>
      <c r="Q5" s="23">
        <v>0</v>
      </c>
      <c r="R5" s="70" t="s">
        <v>19</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230</v>
      </c>
      <c r="BB5" s="23">
        <v>0</v>
      </c>
      <c r="BC5" s="70" t="s">
        <v>19</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231</v>
      </c>
      <c r="CL5" s="23">
        <v>0</v>
      </c>
      <c r="CM5" s="70" t="s">
        <v>19</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232</v>
      </c>
      <c r="DV5" s="23">
        <v>0</v>
      </c>
      <c r="DW5" s="70" t="s">
        <v>19</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233</v>
      </c>
      <c r="FF5" s="23">
        <v>0</v>
      </c>
      <c r="FG5" s="70" t="s">
        <v>19</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234</v>
      </c>
      <c r="GP5" s="23">
        <v>0</v>
      </c>
      <c r="GQ5" s="70" t="s">
        <v>19</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235</v>
      </c>
      <c r="HZ5" s="23">
        <v>0</v>
      </c>
      <c r="IA5" s="70" t="s">
        <v>19</v>
      </c>
      <c r="IB5" s="21"/>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20"/>
      <c r="JH5" s="8" cm="1">
        <f t="array" ref="JH5">Bin2DecRange($IB5:$JG5)</f>
        <v>0</v>
      </c>
      <c r="JI5" s="22" t="s">
        <v>236</v>
      </c>
      <c r="JJ5" s="23">
        <v>0</v>
      </c>
      <c r="JK5" s="70" t="s">
        <v>19</v>
      </c>
      <c r="JL5" s="10" t="s">
        <v>120</v>
      </c>
      <c r="JM5" s="22" t="s">
        <v>237</v>
      </c>
      <c r="JN5" s="23">
        <v>0</v>
      </c>
      <c r="JO5" s="70" t="s">
        <v>19</v>
      </c>
    </row>
    <row r="6" spans="1:275" ht="15" customHeight="1" x14ac:dyDescent="0.25">
      <c r="A6" s="8">
        <v>1</v>
      </c>
      <c r="B6" s="8" t="str">
        <f t="shared" si="0"/>
        <v>FILLING FEED TANK TO SETPOINT</v>
      </c>
      <c r="C6" s="10"/>
      <c r="D6" s="6" t="str">
        <f t="shared" ref="D6:D29" si="1">D$5</f>
        <v>UF_Data[1].ACK_DESC[</v>
      </c>
      <c r="E6" s="23">
        <f>E5+1</f>
        <v>1</v>
      </c>
      <c r="F6" s="70" t="s">
        <v>19</v>
      </c>
      <c r="G6" s="79">
        <v>0</v>
      </c>
      <c r="H6" s="6" t="str">
        <f t="shared" ref="H6:H29" si="2">H$5</f>
        <v>UF_Data[1].MIN[</v>
      </c>
      <c r="I6" s="23">
        <f>I5+1</f>
        <v>1</v>
      </c>
      <c r="J6" s="70" t="s">
        <v>19</v>
      </c>
      <c r="K6" s="79">
        <v>1</v>
      </c>
      <c r="L6" s="6" t="str">
        <f t="shared" ref="L6:L29" si="3">L$5</f>
        <v>UF_Data[1].SEC[</v>
      </c>
      <c r="M6" s="23">
        <f>M5+1</f>
        <v>1</v>
      </c>
      <c r="N6" s="70" t="s">
        <v>19</v>
      </c>
      <c r="O6" s="81">
        <v>0</v>
      </c>
      <c r="P6" s="6" t="str">
        <f t="shared" ref="P6:P29" si="4">P$5</f>
        <v>UF_Data[1].SETPOINT[</v>
      </c>
      <c r="Q6" s="23">
        <f>Q5+1</f>
        <v>1</v>
      </c>
      <c r="R6" s="70" t="s">
        <v>19</v>
      </c>
      <c r="S6" s="9" t="str">
        <f t="shared" ref="S6:S29"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29" si="6">BA$5</f>
        <v>UF_Data[1].COND1[</v>
      </c>
      <c r="BB6" s="23">
        <f>BB5+1</f>
        <v>1</v>
      </c>
      <c r="BC6" s="70" t="s">
        <v>19</v>
      </c>
      <c r="BD6" s="18"/>
      <c r="BE6" s="19"/>
      <c r="BF6" s="19"/>
      <c r="BG6" s="19"/>
      <c r="BH6" s="19">
        <v>1</v>
      </c>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134217728</v>
      </c>
      <c r="CK6" s="6" t="str">
        <f t="shared" ref="CK6:CK29" si="7">CK$5</f>
        <v>UF_Data[1].COND2[</v>
      </c>
      <c r="CL6" s="23">
        <f>CL5+1</f>
        <v>1</v>
      </c>
      <c r="CM6" s="70" t="s">
        <v>19</v>
      </c>
      <c r="CN6" s="18"/>
      <c r="CO6" s="19"/>
      <c r="CP6" s="19">
        <v>1</v>
      </c>
      <c r="CQ6" s="19"/>
      <c r="CR6" s="19"/>
      <c r="CS6" s="19"/>
      <c r="CT6" s="19"/>
      <c r="CU6" s="19"/>
      <c r="CV6" s="19"/>
      <c r="CW6" s="19"/>
      <c r="CX6" s="19"/>
      <c r="CY6" s="19"/>
      <c r="CZ6" s="19"/>
      <c r="DA6" s="19"/>
      <c r="DB6" s="19"/>
      <c r="DC6" s="19"/>
      <c r="DD6" s="19"/>
      <c r="DE6" s="19">
        <v>1</v>
      </c>
      <c r="DF6" s="19"/>
      <c r="DG6" s="19"/>
      <c r="DH6" s="19"/>
      <c r="DI6" s="19"/>
      <c r="DJ6" s="19"/>
      <c r="DK6" s="19"/>
      <c r="DL6" s="19"/>
      <c r="DM6" s="19"/>
      <c r="DN6" s="19"/>
      <c r="DO6" s="19"/>
      <c r="DP6" s="19"/>
      <c r="DQ6" s="19"/>
      <c r="DR6" s="19"/>
      <c r="DS6" s="20"/>
      <c r="DT6" s="8" cm="1">
        <f t="array" ref="DT6">Bin2DecRange($CN6:$DS6)</f>
        <v>536887296</v>
      </c>
      <c r="DU6" s="6" t="str">
        <f t="shared" ref="DU6:DU29" si="8">DU$5</f>
        <v>UF_Data[1].COND3[</v>
      </c>
      <c r="DV6" s="23">
        <f>DV5+1</f>
        <v>1</v>
      </c>
      <c r="DW6" s="70" t="s">
        <v>19</v>
      </c>
      <c r="DX6" s="21">
        <v>1</v>
      </c>
      <c r="DY6" s="19">
        <v>1</v>
      </c>
      <c r="DZ6" s="19">
        <v>1</v>
      </c>
      <c r="EA6" s="19">
        <v>1</v>
      </c>
      <c r="EB6" s="19"/>
      <c r="EC6" s="19"/>
      <c r="ED6" s="19"/>
      <c r="EE6" s="19"/>
      <c r="EF6" s="19"/>
      <c r="EG6" s="19"/>
      <c r="EH6" s="19"/>
      <c r="EI6" s="19"/>
      <c r="EJ6" s="19"/>
      <c r="EK6" s="19"/>
      <c r="EL6" s="19"/>
      <c r="EM6" s="19"/>
      <c r="EN6" s="19"/>
      <c r="EO6" s="19"/>
      <c r="EP6" s="19"/>
      <c r="EQ6" s="19"/>
      <c r="ER6" s="19"/>
      <c r="ES6" s="19"/>
      <c r="ET6" s="19"/>
      <c r="EU6" s="19"/>
      <c r="EV6" s="19"/>
      <c r="EW6" s="19"/>
      <c r="EX6" s="19"/>
      <c r="EY6" s="19"/>
      <c r="EZ6" s="19"/>
      <c r="FA6" s="19"/>
      <c r="FB6" s="19"/>
      <c r="FC6" s="20"/>
      <c r="FD6" s="8">
        <f t="array" ref="FD6">Bin2DecRange($DX6:$FC6)</f>
        <v>-268435456</v>
      </c>
      <c r="FE6" s="6" t="str">
        <f t="shared" ref="FE6:FE29" si="9">FE$5</f>
        <v>UF_Data[1].ACT1[</v>
      </c>
      <c r="FF6" s="23">
        <f>FF5+1</f>
        <v>1</v>
      </c>
      <c r="FG6" s="70" t="s">
        <v>19</v>
      </c>
      <c r="FH6" s="21"/>
      <c r="FI6" s="19"/>
      <c r="FJ6" s="19"/>
      <c r="FK6" s="19"/>
      <c r="FL6" s="19"/>
      <c r="FM6" s="19"/>
      <c r="FN6" s="19"/>
      <c r="FO6" s="19"/>
      <c r="FP6" s="19"/>
      <c r="FQ6" s="19"/>
      <c r="FR6" s="19">
        <v>1</v>
      </c>
      <c r="FS6" s="19"/>
      <c r="FT6" s="19"/>
      <c r="FU6" s="19">
        <v>1</v>
      </c>
      <c r="FV6" s="19"/>
      <c r="FW6" s="19"/>
      <c r="FX6" s="19"/>
      <c r="FY6" s="19"/>
      <c r="FZ6" s="19"/>
      <c r="GA6" s="19"/>
      <c r="GB6" s="19"/>
      <c r="GC6" s="19"/>
      <c r="GD6" s="19"/>
      <c r="GE6" s="19"/>
      <c r="GF6" s="19"/>
      <c r="GG6" s="19"/>
      <c r="GH6" s="19"/>
      <c r="GI6" s="19"/>
      <c r="GJ6" s="19"/>
      <c r="GK6" s="19"/>
      <c r="GL6" s="19"/>
      <c r="GM6" s="20"/>
      <c r="GN6" s="8" cm="1">
        <f t="array" ref="GN6">Bin2DecRange($FH6:$GM6)</f>
        <v>2359296</v>
      </c>
      <c r="GO6" s="6" t="str">
        <f t="shared" ref="GO6:GO29" si="10">GO$5</f>
        <v>UF_Data[1].ACT2[</v>
      </c>
      <c r="GP6" s="23">
        <f>GP5+1</f>
        <v>1</v>
      </c>
      <c r="GQ6" s="70" t="s">
        <v>19</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9" si="11">HY$5</f>
        <v>UF_Data[1].ACT5[</v>
      </c>
      <c r="HZ6" s="23">
        <f>HZ5+1</f>
        <v>1</v>
      </c>
      <c r="IA6" s="70" t="s">
        <v>19</v>
      </c>
      <c r="IB6" s="21"/>
      <c r="IC6" s="19"/>
      <c r="ID6" s="19"/>
      <c r="IE6" s="19"/>
      <c r="IF6" s="19"/>
      <c r="IG6" s="19"/>
      <c r="IH6" s="19"/>
      <c r="II6" s="19"/>
      <c r="IJ6" s="19"/>
      <c r="IK6" s="19"/>
      <c r="IL6" s="19"/>
      <c r="IM6" s="19"/>
      <c r="IN6" s="19"/>
      <c r="IO6" s="19"/>
      <c r="IP6" s="19"/>
      <c r="IQ6" s="19"/>
      <c r="IR6" s="19"/>
      <c r="IS6" s="19"/>
      <c r="IT6" s="19"/>
      <c r="IU6" s="19"/>
      <c r="IV6" s="19"/>
      <c r="IW6" s="19"/>
      <c r="IX6" s="19"/>
      <c r="IY6" s="19"/>
      <c r="IZ6" s="19"/>
      <c r="JA6" s="19"/>
      <c r="JB6" s="19"/>
      <c r="JC6" s="19"/>
      <c r="JD6" s="19"/>
      <c r="JE6" s="19"/>
      <c r="JF6" s="19"/>
      <c r="JG6" s="20"/>
      <c r="JH6" s="8" cm="1">
        <f t="array" ref="JH6">Bin2DecRange($IB6:$JG6)</f>
        <v>0</v>
      </c>
      <c r="JI6" s="6" t="str">
        <f t="shared" ref="JI6:JI29" si="12">JI$5</f>
        <v>UF_Data[1].ACT6[</v>
      </c>
      <c r="JJ6" s="23">
        <f>JJ5+1</f>
        <v>1</v>
      </c>
      <c r="JK6" s="70" t="s">
        <v>19</v>
      </c>
      <c r="JL6" s="10" t="s">
        <v>121</v>
      </c>
      <c r="JM6" s="6" t="str">
        <f t="shared" ref="JM6:JM29" si="13">JM$5</f>
        <v>UF_Data[1].STEP_DESC[</v>
      </c>
      <c r="JN6" s="23">
        <f>JN5+1</f>
        <v>1</v>
      </c>
      <c r="JO6" s="70" t="s">
        <v>19</v>
      </c>
    </row>
    <row r="7" spans="1:275" ht="15" customHeight="1" x14ac:dyDescent="0.25">
      <c r="A7" s="8">
        <v>2</v>
      </c>
      <c r="B7" s="8" t="str">
        <f t="shared" si="0"/>
        <v>STARTING FEED PUMP</v>
      </c>
      <c r="C7" s="10"/>
      <c r="D7" s="6" t="str">
        <f t="shared" si="1"/>
        <v>UF_Data[1].ACK_DESC[</v>
      </c>
      <c r="E7" s="23">
        <f t="shared" ref="E7:E29" si="14">E6+1</f>
        <v>2</v>
      </c>
      <c r="F7" s="70" t="s">
        <v>19</v>
      </c>
      <c r="G7" s="79">
        <v>0</v>
      </c>
      <c r="H7" s="6" t="str">
        <f t="shared" si="2"/>
        <v>UF_Data[1].MIN[</v>
      </c>
      <c r="I7" s="23">
        <f t="shared" ref="I7:I29" si="15">I6+1</f>
        <v>2</v>
      </c>
      <c r="J7" s="70" t="s">
        <v>19</v>
      </c>
      <c r="K7" s="79">
        <v>5</v>
      </c>
      <c r="L7" s="6" t="str">
        <f t="shared" si="3"/>
        <v>UF_Data[1].SEC[</v>
      </c>
      <c r="M7" s="23">
        <f t="shared" ref="M7:M29" si="16">M6+1</f>
        <v>2</v>
      </c>
      <c r="N7" s="70" t="s">
        <v>19</v>
      </c>
      <c r="O7" s="81">
        <v>0</v>
      </c>
      <c r="P7" s="6" t="str">
        <f t="shared" si="4"/>
        <v>UF_Data[1].SETPOINT[</v>
      </c>
      <c r="Q7" s="23">
        <f t="shared" ref="Q7:Q29" si="17">Q6+1</f>
        <v>2</v>
      </c>
      <c r="R7" s="70" t="s">
        <v>19</v>
      </c>
      <c r="S7" s="9" t="str">
        <f t="shared" si="5"/>
        <v>P</v>
      </c>
      <c r="T7" s="18"/>
      <c r="U7" s="19"/>
      <c r="V7" s="19"/>
      <c r="W7" s="19"/>
      <c r="X7" s="19"/>
      <c r="Y7" s="19"/>
      <c r="Z7" s="19"/>
      <c r="AA7" s="19"/>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512</v>
      </c>
      <c r="BA7" s="6" t="str">
        <f t="shared" si="6"/>
        <v>UF_Data[1].COND1[</v>
      </c>
      <c r="BB7" s="23">
        <f t="shared" ref="BB7:BB29" si="18">BB6+1</f>
        <v>2</v>
      </c>
      <c r="BC7" s="70" t="s">
        <v>19</v>
      </c>
      <c r="BD7" s="18"/>
      <c r="BE7" s="19"/>
      <c r="BF7" s="19"/>
      <c r="BG7" s="19"/>
      <c r="BH7" s="19">
        <v>1</v>
      </c>
      <c r="BI7" s="19"/>
      <c r="BJ7" s="19"/>
      <c r="BK7" s="19"/>
      <c r="BL7" s="19"/>
      <c r="BM7" s="19">
        <v>1</v>
      </c>
      <c r="BN7" s="19"/>
      <c r="BO7" s="19"/>
      <c r="BP7" s="19"/>
      <c r="BQ7" s="19"/>
      <c r="BR7" s="19"/>
      <c r="BS7" s="19"/>
      <c r="BT7" s="19"/>
      <c r="BU7" s="19"/>
      <c r="BV7" s="19"/>
      <c r="BW7" s="19"/>
      <c r="BX7" s="19"/>
      <c r="BY7" s="19"/>
      <c r="BZ7" s="19"/>
      <c r="CA7" s="19"/>
      <c r="CB7" s="19"/>
      <c r="CC7" s="19"/>
      <c r="CD7" s="19"/>
      <c r="CE7" s="19"/>
      <c r="CF7" s="19"/>
      <c r="CG7" s="19"/>
      <c r="CH7" s="19"/>
      <c r="CI7" s="20"/>
      <c r="CJ7" s="8" cm="1">
        <f t="array" ref="CJ7">Bin2DecRange($BD7:$CI7)</f>
        <v>138412032</v>
      </c>
      <c r="CK7" s="6" t="str">
        <f t="shared" si="7"/>
        <v>UF_Data[1].COND2[</v>
      </c>
      <c r="CL7" s="23">
        <f t="shared" ref="CL7:CL29" si="19">CL6+1</f>
        <v>2</v>
      </c>
      <c r="CM7" s="70" t="s">
        <v>19</v>
      </c>
      <c r="CN7" s="18"/>
      <c r="CO7" s="19"/>
      <c r="CP7" s="19">
        <v>1</v>
      </c>
      <c r="CQ7" s="19"/>
      <c r="CR7" s="19"/>
      <c r="CS7" s="19"/>
      <c r="CT7" s="19"/>
      <c r="CU7" s="19"/>
      <c r="CV7" s="19"/>
      <c r="CW7" s="19"/>
      <c r="CX7" s="19"/>
      <c r="CY7" s="19"/>
      <c r="CZ7" s="19"/>
      <c r="DA7" s="19"/>
      <c r="DB7" s="19"/>
      <c r="DC7" s="19"/>
      <c r="DD7" s="19"/>
      <c r="DE7" s="19">
        <v>1</v>
      </c>
      <c r="DF7" s="19"/>
      <c r="DG7" s="19"/>
      <c r="DH7" s="19"/>
      <c r="DI7" s="19"/>
      <c r="DJ7" s="19"/>
      <c r="DK7" s="19"/>
      <c r="DL7" s="19"/>
      <c r="DM7" s="19"/>
      <c r="DN7" s="19"/>
      <c r="DO7" s="19"/>
      <c r="DP7" s="19"/>
      <c r="DQ7" s="19"/>
      <c r="DR7" s="19"/>
      <c r="DS7" s="20"/>
      <c r="DT7" s="8" cm="1">
        <f t="array" ref="DT7">Bin2DecRange($CN7:$DS7)</f>
        <v>536887296</v>
      </c>
      <c r="DU7" s="6" t="str">
        <f t="shared" si="8"/>
        <v>UF_Data[1].COND3[</v>
      </c>
      <c r="DV7" s="23">
        <f t="shared" ref="DV7:DV29" si="20">DV6+1</f>
        <v>2</v>
      </c>
      <c r="DW7" s="70" t="s">
        <v>19</v>
      </c>
      <c r="DX7" s="21">
        <v>1</v>
      </c>
      <c r="DY7" s="19">
        <v>1</v>
      </c>
      <c r="DZ7" s="19">
        <v>1</v>
      </c>
      <c r="EA7" s="19">
        <v>1</v>
      </c>
      <c r="EB7" s="19"/>
      <c r="EC7" s="19"/>
      <c r="ED7" s="19"/>
      <c r="EE7" s="19"/>
      <c r="EF7" s="19"/>
      <c r="EG7" s="19"/>
      <c r="EH7" s="19"/>
      <c r="EI7" s="19"/>
      <c r="EJ7" s="19"/>
      <c r="EK7" s="19"/>
      <c r="EL7" s="19"/>
      <c r="EM7" s="19"/>
      <c r="EN7" s="19"/>
      <c r="EO7" s="19"/>
      <c r="EP7" s="19"/>
      <c r="EQ7" s="19"/>
      <c r="ER7" s="19"/>
      <c r="ES7" s="19"/>
      <c r="ET7" s="19"/>
      <c r="EU7" s="19"/>
      <c r="EV7" s="19"/>
      <c r="EW7" s="19"/>
      <c r="EX7" s="19"/>
      <c r="EY7" s="19"/>
      <c r="EZ7" s="19"/>
      <c r="FA7" s="19"/>
      <c r="FB7" s="19"/>
      <c r="FC7" s="20"/>
      <c r="FD7" s="8">
        <f t="array" ref="FD7">Bin2DecRange($DX7:$FC7)</f>
        <v>-268435456</v>
      </c>
      <c r="FE7" s="6" t="str">
        <f t="shared" si="9"/>
        <v>UF_Data[1].ACT1[</v>
      </c>
      <c r="FF7" s="23">
        <f t="shared" ref="FF7:FF29" si="21">FF6+1</f>
        <v>2</v>
      </c>
      <c r="FG7" s="70" t="s">
        <v>19</v>
      </c>
      <c r="FH7" s="21"/>
      <c r="FI7" s="19"/>
      <c r="FJ7" s="19"/>
      <c r="FK7" s="19"/>
      <c r="FL7" s="19"/>
      <c r="FM7" s="19"/>
      <c r="FN7" s="19"/>
      <c r="FO7" s="19"/>
      <c r="FP7" s="19"/>
      <c r="FQ7" s="19"/>
      <c r="FR7" s="19">
        <v>1</v>
      </c>
      <c r="FS7" s="19"/>
      <c r="FT7" s="19"/>
      <c r="FU7" s="19">
        <v>1</v>
      </c>
      <c r="FV7" s="19"/>
      <c r="FW7" s="19"/>
      <c r="FX7" s="19"/>
      <c r="FY7" s="19"/>
      <c r="FZ7" s="19"/>
      <c r="GA7" s="19"/>
      <c r="GB7" s="19"/>
      <c r="GC7" s="19"/>
      <c r="GD7" s="19"/>
      <c r="GE7" s="19"/>
      <c r="GF7" s="19"/>
      <c r="GG7" s="19"/>
      <c r="GH7" s="19"/>
      <c r="GI7" s="19"/>
      <c r="GJ7" s="19"/>
      <c r="GK7" s="19"/>
      <c r="GL7" s="19"/>
      <c r="GM7" s="20"/>
      <c r="GN7" s="8" cm="1">
        <f t="array" ref="GN7">Bin2DecRange($FH7:$GM7)</f>
        <v>2359296</v>
      </c>
      <c r="GO7" s="6" t="str">
        <f t="shared" si="10"/>
        <v>UF_Data[1].ACT2[</v>
      </c>
      <c r="GP7" s="23">
        <f t="shared" ref="GP7:GP29" si="22">GP6+1</f>
        <v>2</v>
      </c>
      <c r="GQ7" s="70" t="s">
        <v>19</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v>1</v>
      </c>
      <c r="HR7" s="19"/>
      <c r="HS7" s="19"/>
      <c r="HT7" s="19"/>
      <c r="HU7" s="19"/>
      <c r="HV7" s="19"/>
      <c r="HW7" s="20">
        <v>1</v>
      </c>
      <c r="HX7" s="8" cm="1">
        <f t="array" ref="HX7">Bin2DecRange($GR7:$HW7)</f>
        <v>65</v>
      </c>
      <c r="HY7" s="6" t="str">
        <f t="shared" si="11"/>
        <v>UF_Data[1].ACT5[</v>
      </c>
      <c r="HZ7" s="23">
        <f t="shared" ref="HZ7:HZ29" si="23">HZ6+1</f>
        <v>2</v>
      </c>
      <c r="IA7" s="70" t="s">
        <v>19</v>
      </c>
      <c r="IB7" s="21"/>
      <c r="IC7" s="19"/>
      <c r="ID7" s="19"/>
      <c r="IE7" s="19"/>
      <c r="IF7" s="19"/>
      <c r="IG7" s="19"/>
      <c r="IH7" s="19"/>
      <c r="II7" s="19"/>
      <c r="IJ7" s="19"/>
      <c r="IK7" s="19"/>
      <c r="IL7" s="19"/>
      <c r="IM7" s="19"/>
      <c r="IN7" s="19"/>
      <c r="IO7" s="19"/>
      <c r="IP7" s="19"/>
      <c r="IQ7" s="19"/>
      <c r="IR7" s="19"/>
      <c r="IS7" s="19"/>
      <c r="IT7" s="19"/>
      <c r="IU7" s="19"/>
      <c r="IV7" s="19"/>
      <c r="IW7" s="19"/>
      <c r="IX7" s="19"/>
      <c r="IY7" s="19"/>
      <c r="IZ7" s="19"/>
      <c r="JA7" s="19"/>
      <c r="JB7" s="19"/>
      <c r="JC7" s="19"/>
      <c r="JD7" s="19"/>
      <c r="JE7" s="19"/>
      <c r="JF7" s="19"/>
      <c r="JG7" s="20"/>
      <c r="JH7" s="8" cm="1">
        <f t="array" ref="JH7">Bin2DecRange($IB7:$JG7)</f>
        <v>0</v>
      </c>
      <c r="JI7" s="6" t="str">
        <f t="shared" si="12"/>
        <v>UF_Data[1].ACT6[</v>
      </c>
      <c r="JJ7" s="23">
        <f t="shared" ref="JJ7:JJ29" si="24">JJ6+1</f>
        <v>2</v>
      </c>
      <c r="JK7" s="70" t="s">
        <v>19</v>
      </c>
      <c r="JL7" s="10" t="s">
        <v>238</v>
      </c>
      <c r="JM7" s="6" t="str">
        <f t="shared" si="13"/>
        <v>UF_Data[1].STEP_DESC[</v>
      </c>
      <c r="JN7" s="23">
        <f t="shared" ref="JN7:JN29" si="25">JN6+1</f>
        <v>2</v>
      </c>
      <c r="JO7" s="70" t="s">
        <v>19</v>
      </c>
    </row>
    <row r="8" spans="1:275" ht="15" customHeight="1" x14ac:dyDescent="0.25">
      <c r="A8" s="8">
        <v>3</v>
      </c>
      <c r="B8" s="8" t="str">
        <f t="shared" si="0"/>
        <v>STARTING RECIRC PUMP STAGE 4</v>
      </c>
      <c r="C8" s="10"/>
      <c r="D8" s="6" t="str">
        <f t="shared" si="1"/>
        <v>UF_Data[1].ACK_DESC[</v>
      </c>
      <c r="E8" s="23">
        <f t="shared" si="14"/>
        <v>3</v>
      </c>
      <c r="F8" s="70" t="s">
        <v>19</v>
      </c>
      <c r="G8" s="79">
        <v>0</v>
      </c>
      <c r="H8" s="6" t="str">
        <f t="shared" si="2"/>
        <v>UF_Data[1].MIN[</v>
      </c>
      <c r="I8" s="23">
        <f t="shared" si="15"/>
        <v>3</v>
      </c>
      <c r="J8" s="70" t="s">
        <v>19</v>
      </c>
      <c r="K8" s="79">
        <v>1</v>
      </c>
      <c r="L8" s="6" t="str">
        <f t="shared" si="3"/>
        <v>UF_Data[1].SEC[</v>
      </c>
      <c r="M8" s="23">
        <f t="shared" si="16"/>
        <v>3</v>
      </c>
      <c r="N8" s="70" t="s">
        <v>19</v>
      </c>
      <c r="O8" s="81">
        <v>0</v>
      </c>
      <c r="P8" s="6" t="str">
        <f t="shared" si="4"/>
        <v>UF_Data[1].SETPOINT[</v>
      </c>
      <c r="Q8" s="23">
        <f t="shared" si="17"/>
        <v>3</v>
      </c>
      <c r="R8" s="70" t="s">
        <v>19</v>
      </c>
      <c r="S8" s="9" t="str">
        <f t="shared" si="5"/>
        <v>P</v>
      </c>
      <c r="T8" s="18"/>
      <c r="U8" s="19"/>
      <c r="V8" s="19"/>
      <c r="W8" s="19"/>
      <c r="X8" s="19"/>
      <c r="Y8" s="19"/>
      <c r="Z8" s="19"/>
      <c r="AA8" s="19"/>
      <c r="AB8" s="19"/>
      <c r="AC8" s="19"/>
      <c r="AD8" s="19"/>
      <c r="AE8" s="19"/>
      <c r="AF8" s="19"/>
      <c r="AG8" s="19"/>
      <c r="AH8" s="19"/>
      <c r="AI8" s="19"/>
      <c r="AJ8" s="19"/>
      <c r="AK8" s="19"/>
      <c r="AL8" s="19"/>
      <c r="AM8" s="19"/>
      <c r="AN8" s="19"/>
      <c r="AO8" s="19"/>
      <c r="AP8" s="19">
        <v>1</v>
      </c>
      <c r="AQ8" s="19"/>
      <c r="AR8" s="19"/>
      <c r="AS8" s="19"/>
      <c r="AT8" s="19"/>
      <c r="AU8" s="19"/>
      <c r="AV8" s="19"/>
      <c r="AW8" s="19"/>
      <c r="AX8" s="19"/>
      <c r="AY8" s="20"/>
      <c r="AZ8" s="8">
        <f t="array" ref="AZ8">Bin2DecRange($T8:$AY8)</f>
        <v>512</v>
      </c>
      <c r="BA8" s="6" t="str">
        <f t="shared" si="6"/>
        <v>UF_Data[1].COND1[</v>
      </c>
      <c r="BB8" s="23">
        <f t="shared" si="18"/>
        <v>3</v>
      </c>
      <c r="BC8" s="70" t="s">
        <v>19</v>
      </c>
      <c r="BD8" s="18"/>
      <c r="BE8" s="19"/>
      <c r="BF8" s="19"/>
      <c r="BG8" s="19"/>
      <c r="BH8" s="19">
        <v>1</v>
      </c>
      <c r="BI8" s="19"/>
      <c r="BJ8" s="19"/>
      <c r="BK8" s="19"/>
      <c r="BL8" s="19"/>
      <c r="BM8" s="19">
        <v>1</v>
      </c>
      <c r="BN8" s="19"/>
      <c r="BO8" s="19"/>
      <c r="BP8" s="19"/>
      <c r="BQ8" s="19"/>
      <c r="BR8" s="19"/>
      <c r="BS8" s="19"/>
      <c r="BT8" s="19"/>
      <c r="BU8" s="19"/>
      <c r="BV8" s="19"/>
      <c r="BW8" s="19"/>
      <c r="BX8" s="19"/>
      <c r="BY8" s="19"/>
      <c r="BZ8" s="19"/>
      <c r="CA8" s="19"/>
      <c r="CB8" s="19"/>
      <c r="CC8" s="19"/>
      <c r="CD8" s="19"/>
      <c r="CE8" s="19"/>
      <c r="CF8" s="19"/>
      <c r="CG8" s="19"/>
      <c r="CH8" s="19"/>
      <c r="CI8" s="20"/>
      <c r="CJ8" s="8" cm="1">
        <f t="array" ref="CJ8">Bin2DecRange($BD8:$CI8)</f>
        <v>138412032</v>
      </c>
      <c r="CK8" s="6" t="str">
        <f t="shared" si="7"/>
        <v>UF_Data[1].COND2[</v>
      </c>
      <c r="CL8" s="23">
        <f t="shared" si="19"/>
        <v>3</v>
      </c>
      <c r="CM8" s="70" t="s">
        <v>19</v>
      </c>
      <c r="CN8" s="18"/>
      <c r="CO8" s="19"/>
      <c r="CP8" s="19">
        <v>1</v>
      </c>
      <c r="CQ8" s="19"/>
      <c r="CR8" s="19"/>
      <c r="CS8" s="19"/>
      <c r="CT8" s="19"/>
      <c r="CU8" s="19"/>
      <c r="CV8" s="19"/>
      <c r="CW8" s="19">
        <v>1</v>
      </c>
      <c r="CX8" s="19"/>
      <c r="CY8" s="19"/>
      <c r="CZ8" s="19"/>
      <c r="DA8" s="19"/>
      <c r="DB8" s="19"/>
      <c r="DC8" s="19"/>
      <c r="DD8" s="19"/>
      <c r="DE8" s="19">
        <v>1</v>
      </c>
      <c r="DF8" s="19"/>
      <c r="DG8" s="19"/>
      <c r="DH8" s="19"/>
      <c r="DI8" s="19"/>
      <c r="DJ8" s="19"/>
      <c r="DK8" s="19"/>
      <c r="DL8" s="19"/>
      <c r="DM8" s="19"/>
      <c r="DN8" s="19"/>
      <c r="DO8" s="19"/>
      <c r="DP8" s="19"/>
      <c r="DQ8" s="19"/>
      <c r="DR8" s="19"/>
      <c r="DS8" s="20"/>
      <c r="DT8" s="8" cm="1">
        <f t="array" ref="DT8">Bin2DecRange($CN8:$DS8)</f>
        <v>541081600</v>
      </c>
      <c r="DU8" s="6" t="str">
        <f t="shared" si="8"/>
        <v>UF_Data[1].COND3[</v>
      </c>
      <c r="DV8" s="23">
        <f t="shared" si="20"/>
        <v>3</v>
      </c>
      <c r="DW8" s="70" t="s">
        <v>19</v>
      </c>
      <c r="DX8" s="21">
        <v>1</v>
      </c>
      <c r="DY8" s="19">
        <v>1</v>
      </c>
      <c r="DZ8" s="19">
        <v>1</v>
      </c>
      <c r="EA8" s="19">
        <v>1</v>
      </c>
      <c r="EB8" s="19"/>
      <c r="EC8" s="19"/>
      <c r="ED8" s="19"/>
      <c r="EE8" s="19"/>
      <c r="EF8" s="19"/>
      <c r="EG8" s="19"/>
      <c r="EH8" s="19"/>
      <c r="EI8" s="19"/>
      <c r="EJ8" s="19"/>
      <c r="EK8" s="19"/>
      <c r="EL8" s="19"/>
      <c r="EM8" s="19"/>
      <c r="EN8" s="19"/>
      <c r="EO8" s="19"/>
      <c r="EP8" s="19"/>
      <c r="EQ8" s="19"/>
      <c r="ER8" s="19"/>
      <c r="ES8" s="19"/>
      <c r="ET8" s="19"/>
      <c r="EU8" s="19"/>
      <c r="EV8" s="19"/>
      <c r="EW8" s="19">
        <v>1</v>
      </c>
      <c r="EX8" s="19">
        <v>1</v>
      </c>
      <c r="EY8" s="19"/>
      <c r="EZ8" s="19"/>
      <c r="FA8" s="19"/>
      <c r="FB8" s="19"/>
      <c r="FC8" s="20"/>
      <c r="FD8" s="8">
        <f t="array" ref="FD8">Bin2DecRange($DX8:$FC8)</f>
        <v>-268435360</v>
      </c>
      <c r="FE8" s="6" t="str">
        <f t="shared" si="9"/>
        <v>UF_Data[1].ACT1[</v>
      </c>
      <c r="FF8" s="23">
        <f t="shared" si="21"/>
        <v>3</v>
      </c>
      <c r="FG8" s="70" t="s">
        <v>19</v>
      </c>
      <c r="FH8" s="21"/>
      <c r="FI8" s="19"/>
      <c r="FJ8" s="19"/>
      <c r="FK8" s="19"/>
      <c r="FL8" s="19"/>
      <c r="FM8" s="19"/>
      <c r="FN8" s="19"/>
      <c r="FO8" s="19"/>
      <c r="FP8" s="19"/>
      <c r="FQ8" s="19"/>
      <c r="FR8" s="19">
        <v>1</v>
      </c>
      <c r="FS8" s="19"/>
      <c r="FT8" s="19"/>
      <c r="FU8" s="19">
        <v>1</v>
      </c>
      <c r="FV8" s="19"/>
      <c r="FW8" s="19">
        <v>1</v>
      </c>
      <c r="FX8" s="19"/>
      <c r="FY8" s="19"/>
      <c r="FZ8" s="19"/>
      <c r="GA8" s="19"/>
      <c r="GB8" s="19"/>
      <c r="GC8" s="19"/>
      <c r="GD8" s="19"/>
      <c r="GE8" s="19"/>
      <c r="GF8" s="19"/>
      <c r="GG8" s="19"/>
      <c r="GH8" s="19"/>
      <c r="GI8" s="19"/>
      <c r="GJ8" s="19"/>
      <c r="GK8" s="19"/>
      <c r="GL8" s="19"/>
      <c r="GM8" s="20"/>
      <c r="GN8" s="8" cm="1">
        <f t="array" ref="GN8">Bin2DecRange($FH8:$GM8)</f>
        <v>2424832</v>
      </c>
      <c r="GO8" s="6" t="str">
        <f t="shared" si="10"/>
        <v>UF_Data[1].ACT2[</v>
      </c>
      <c r="GP8" s="23">
        <f t="shared" si="22"/>
        <v>3</v>
      </c>
      <c r="GQ8" s="70" t="s">
        <v>19</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v>1</v>
      </c>
      <c r="HR8" s="19"/>
      <c r="HS8" s="19"/>
      <c r="HT8" s="19"/>
      <c r="HU8" s="19">
        <v>1</v>
      </c>
      <c r="HV8" s="19"/>
      <c r="HW8" s="20">
        <v>1</v>
      </c>
      <c r="HX8" s="8" cm="1">
        <f t="array" ref="HX8">Bin2DecRange($GR8:$HW8)</f>
        <v>69</v>
      </c>
      <c r="HY8" s="6" t="str">
        <f t="shared" si="11"/>
        <v>UF_Data[1].ACT5[</v>
      </c>
      <c r="HZ8" s="23">
        <f t="shared" si="23"/>
        <v>3</v>
      </c>
      <c r="IA8" s="70" t="s">
        <v>19</v>
      </c>
      <c r="IB8" s="21"/>
      <c r="IC8" s="19"/>
      <c r="ID8" s="19"/>
      <c r="IE8" s="19"/>
      <c r="IF8" s="19"/>
      <c r="IG8" s="19"/>
      <c r="IH8" s="19"/>
      <c r="II8" s="19"/>
      <c r="IJ8" s="19"/>
      <c r="IK8" s="19"/>
      <c r="IL8" s="19"/>
      <c r="IM8" s="19"/>
      <c r="IN8" s="19"/>
      <c r="IO8" s="19"/>
      <c r="IP8" s="19"/>
      <c r="IQ8" s="19"/>
      <c r="IR8" s="19"/>
      <c r="IS8" s="19"/>
      <c r="IT8" s="19"/>
      <c r="IU8" s="19"/>
      <c r="IV8" s="19"/>
      <c r="IW8" s="19"/>
      <c r="IX8" s="19"/>
      <c r="IY8" s="19"/>
      <c r="IZ8" s="19"/>
      <c r="JA8" s="19"/>
      <c r="JB8" s="19"/>
      <c r="JC8" s="19"/>
      <c r="JD8" s="19"/>
      <c r="JE8" s="19"/>
      <c r="JF8" s="19"/>
      <c r="JG8" s="20"/>
      <c r="JH8" s="8" cm="1">
        <f t="array" ref="JH8">Bin2DecRange($IB8:$JG8)</f>
        <v>0</v>
      </c>
      <c r="JI8" s="6" t="str">
        <f t="shared" si="12"/>
        <v>UF_Data[1].ACT6[</v>
      </c>
      <c r="JJ8" s="23">
        <f t="shared" si="24"/>
        <v>3</v>
      </c>
      <c r="JK8" s="70" t="s">
        <v>19</v>
      </c>
      <c r="JL8" s="10" t="s">
        <v>125</v>
      </c>
      <c r="JM8" s="6" t="str">
        <f t="shared" si="13"/>
        <v>UF_Data[1].STEP_DESC[</v>
      </c>
      <c r="JN8" s="23">
        <f t="shared" si="25"/>
        <v>3</v>
      </c>
      <c r="JO8" s="70" t="s">
        <v>19</v>
      </c>
    </row>
    <row r="9" spans="1:275" ht="15" customHeight="1" x14ac:dyDescent="0.25">
      <c r="A9" s="8">
        <v>4</v>
      </c>
      <c r="B9" s="8" t="str">
        <f t="shared" si="0"/>
        <v>STARTING RECIRC PUMP STAGE 3</v>
      </c>
      <c r="C9" s="10"/>
      <c r="D9" s="6" t="str">
        <f t="shared" si="1"/>
        <v>UF_Data[1].ACK_DESC[</v>
      </c>
      <c r="E9" s="23">
        <f t="shared" si="14"/>
        <v>4</v>
      </c>
      <c r="F9" s="70" t="s">
        <v>19</v>
      </c>
      <c r="G9" s="79">
        <v>0</v>
      </c>
      <c r="H9" s="6" t="str">
        <f t="shared" si="2"/>
        <v>UF_Data[1].MIN[</v>
      </c>
      <c r="I9" s="23">
        <f t="shared" si="15"/>
        <v>4</v>
      </c>
      <c r="J9" s="70" t="s">
        <v>19</v>
      </c>
      <c r="K9" s="79">
        <v>1</v>
      </c>
      <c r="L9" s="6" t="str">
        <f t="shared" si="3"/>
        <v>UF_Data[1].SEC[</v>
      </c>
      <c r="M9" s="23">
        <f t="shared" si="16"/>
        <v>4</v>
      </c>
      <c r="N9" s="70" t="s">
        <v>19</v>
      </c>
      <c r="O9" s="81">
        <v>0</v>
      </c>
      <c r="P9" s="6" t="str">
        <f t="shared" si="4"/>
        <v>UF_Data[1].SETPOINT[</v>
      </c>
      <c r="Q9" s="23">
        <f t="shared" si="17"/>
        <v>4</v>
      </c>
      <c r="R9" s="70" t="s">
        <v>19</v>
      </c>
      <c r="S9" s="9" t="str">
        <f t="shared" si="5"/>
        <v>P</v>
      </c>
      <c r="T9" s="18"/>
      <c r="U9" s="19"/>
      <c r="V9" s="19"/>
      <c r="W9" s="19"/>
      <c r="X9" s="19"/>
      <c r="Y9" s="19"/>
      <c r="Z9" s="19"/>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512</v>
      </c>
      <c r="BA9" s="6" t="str">
        <f t="shared" si="6"/>
        <v>UF_Data[1].COND1[</v>
      </c>
      <c r="BB9" s="23">
        <f t="shared" si="18"/>
        <v>4</v>
      </c>
      <c r="BC9" s="70" t="s">
        <v>19</v>
      </c>
      <c r="BD9" s="18"/>
      <c r="BE9" s="19"/>
      <c r="BF9" s="19"/>
      <c r="BG9" s="19"/>
      <c r="BH9" s="19">
        <v>1</v>
      </c>
      <c r="BI9" s="19"/>
      <c r="BJ9" s="19"/>
      <c r="BK9" s="19"/>
      <c r="BL9" s="19"/>
      <c r="BM9" s="19">
        <v>1</v>
      </c>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138412032</v>
      </c>
      <c r="CK9" s="6" t="str">
        <f t="shared" si="7"/>
        <v>UF_Data[1].COND2[</v>
      </c>
      <c r="CL9" s="23">
        <f t="shared" si="19"/>
        <v>4</v>
      </c>
      <c r="CM9" s="70" t="s">
        <v>19</v>
      </c>
      <c r="CN9" s="18"/>
      <c r="CO9" s="19"/>
      <c r="CP9" s="19">
        <v>1</v>
      </c>
      <c r="CQ9" s="19"/>
      <c r="CR9" s="19"/>
      <c r="CS9" s="19"/>
      <c r="CT9" s="19"/>
      <c r="CU9" s="19"/>
      <c r="CV9" s="19">
        <v>1</v>
      </c>
      <c r="CW9" s="19"/>
      <c r="CX9" s="19"/>
      <c r="CY9" s="19"/>
      <c r="CZ9" s="19"/>
      <c r="DA9" s="19"/>
      <c r="DB9" s="19"/>
      <c r="DC9" s="19"/>
      <c r="DD9" s="19"/>
      <c r="DE9" s="19">
        <v>1</v>
      </c>
      <c r="DF9" s="19"/>
      <c r="DG9" s="19"/>
      <c r="DH9" s="19"/>
      <c r="DI9" s="19"/>
      <c r="DJ9" s="19"/>
      <c r="DK9" s="19"/>
      <c r="DL9" s="19"/>
      <c r="DM9" s="19"/>
      <c r="DN9" s="19"/>
      <c r="DO9" s="19"/>
      <c r="DP9" s="19"/>
      <c r="DQ9" s="19"/>
      <c r="DR9" s="19"/>
      <c r="DS9" s="20"/>
      <c r="DT9" s="8" cm="1">
        <f t="array" ref="DT9">Bin2DecRange($CN9:$DS9)</f>
        <v>545275904</v>
      </c>
      <c r="DU9" s="6" t="str">
        <f t="shared" si="8"/>
        <v>UF_Data[1].COND3[</v>
      </c>
      <c r="DV9" s="23">
        <f t="shared" si="20"/>
        <v>4</v>
      </c>
      <c r="DW9" s="70" t="s">
        <v>19</v>
      </c>
      <c r="DX9" s="21">
        <v>1</v>
      </c>
      <c r="DY9" s="19">
        <v>1</v>
      </c>
      <c r="DZ9" s="19">
        <v>1</v>
      </c>
      <c r="EA9" s="19">
        <v>1</v>
      </c>
      <c r="EB9" s="19"/>
      <c r="EC9" s="19"/>
      <c r="ED9" s="19"/>
      <c r="EE9" s="19"/>
      <c r="EF9" s="19"/>
      <c r="EG9" s="19"/>
      <c r="EH9" s="19"/>
      <c r="EI9" s="19"/>
      <c r="EJ9" s="19"/>
      <c r="EK9" s="19"/>
      <c r="EL9" s="19"/>
      <c r="EM9" s="19"/>
      <c r="EN9" s="19"/>
      <c r="EO9" s="19"/>
      <c r="EP9" s="19"/>
      <c r="EQ9" s="19"/>
      <c r="ER9" s="19"/>
      <c r="ES9" s="19"/>
      <c r="ET9" s="19">
        <v>1</v>
      </c>
      <c r="EU9" s="19">
        <v>1</v>
      </c>
      <c r="EV9" s="19"/>
      <c r="EW9" s="19">
        <v>1</v>
      </c>
      <c r="EX9" s="19">
        <v>1</v>
      </c>
      <c r="EY9" s="19"/>
      <c r="EZ9" s="19"/>
      <c r="FA9" s="19"/>
      <c r="FB9" s="19"/>
      <c r="FC9" s="20"/>
      <c r="FD9" s="8">
        <f t="array" ref="FD9">Bin2DecRange($DX9:$FC9)</f>
        <v>-268434592</v>
      </c>
      <c r="FE9" s="6" t="str">
        <f t="shared" si="9"/>
        <v>UF_Data[1].ACT1[</v>
      </c>
      <c r="FF9" s="23">
        <f t="shared" si="21"/>
        <v>4</v>
      </c>
      <c r="FG9" s="70" t="s">
        <v>19</v>
      </c>
      <c r="FH9" s="21"/>
      <c r="FI9" s="19"/>
      <c r="FJ9" s="19"/>
      <c r="FK9" s="19"/>
      <c r="FL9" s="19"/>
      <c r="FM9" s="19"/>
      <c r="FN9" s="19"/>
      <c r="FO9" s="19"/>
      <c r="FP9" s="19"/>
      <c r="FQ9" s="19"/>
      <c r="FR9" s="19">
        <v>1</v>
      </c>
      <c r="FS9" s="19"/>
      <c r="FT9" s="19"/>
      <c r="FU9" s="19">
        <v>1</v>
      </c>
      <c r="FV9" s="19"/>
      <c r="FW9" s="19">
        <v>1</v>
      </c>
      <c r="FX9" s="19"/>
      <c r="FY9" s="19"/>
      <c r="FZ9" s="19"/>
      <c r="GA9" s="19"/>
      <c r="GB9" s="19"/>
      <c r="GC9" s="19"/>
      <c r="GD9" s="19"/>
      <c r="GE9" s="19"/>
      <c r="GF9" s="19"/>
      <c r="GG9" s="19"/>
      <c r="GH9" s="19"/>
      <c r="GI9" s="19"/>
      <c r="GJ9" s="19"/>
      <c r="GK9" s="19"/>
      <c r="GL9" s="19"/>
      <c r="GM9" s="20"/>
      <c r="GN9" s="8" cm="1">
        <f t="array" ref="GN9">Bin2DecRange($FH9:$GM9)</f>
        <v>2424832</v>
      </c>
      <c r="GO9" s="6" t="str">
        <f t="shared" si="10"/>
        <v>UF_Data[1].ACT2[</v>
      </c>
      <c r="GP9" s="23">
        <f t="shared" si="22"/>
        <v>4</v>
      </c>
      <c r="GQ9" s="70" t="s">
        <v>19</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v>1</v>
      </c>
      <c r="HR9" s="19"/>
      <c r="HS9" s="19"/>
      <c r="HT9" s="19">
        <v>1</v>
      </c>
      <c r="HU9" s="19">
        <v>1</v>
      </c>
      <c r="HV9" s="19"/>
      <c r="HW9" s="20">
        <v>1</v>
      </c>
      <c r="HX9" s="8" cm="1">
        <f t="array" ref="HX9">Bin2DecRange($GR9:$HW9)</f>
        <v>77</v>
      </c>
      <c r="HY9" s="6" t="str">
        <f t="shared" si="11"/>
        <v>UF_Data[1].ACT5[</v>
      </c>
      <c r="HZ9" s="23">
        <f t="shared" si="23"/>
        <v>4</v>
      </c>
      <c r="IA9" s="70" t="s">
        <v>19</v>
      </c>
      <c r="IB9" s="21"/>
      <c r="IC9" s="19"/>
      <c r="ID9" s="19"/>
      <c r="IE9" s="19"/>
      <c r="IF9" s="19"/>
      <c r="IG9" s="19"/>
      <c r="IH9" s="19"/>
      <c r="II9" s="19"/>
      <c r="IJ9" s="19"/>
      <c r="IK9" s="19"/>
      <c r="IL9" s="19"/>
      <c r="IM9" s="19"/>
      <c r="IN9" s="19"/>
      <c r="IO9" s="19"/>
      <c r="IP9" s="19"/>
      <c r="IQ9" s="19"/>
      <c r="IR9" s="19"/>
      <c r="IS9" s="19"/>
      <c r="IT9" s="19"/>
      <c r="IU9" s="19"/>
      <c r="IV9" s="19"/>
      <c r="IW9" s="19"/>
      <c r="IX9" s="19"/>
      <c r="IY9" s="19"/>
      <c r="IZ9" s="19"/>
      <c r="JA9" s="19"/>
      <c r="JB9" s="19"/>
      <c r="JC9" s="19"/>
      <c r="JD9" s="19"/>
      <c r="JE9" s="19"/>
      <c r="JF9" s="19"/>
      <c r="JG9" s="20"/>
      <c r="JH9" s="8" cm="1">
        <f t="array" ref="JH9">Bin2DecRange($IB9:$JG9)</f>
        <v>0</v>
      </c>
      <c r="JI9" s="6" t="str">
        <f t="shared" si="12"/>
        <v>UF_Data[1].ACT6[</v>
      </c>
      <c r="JJ9" s="23">
        <f t="shared" si="24"/>
        <v>4</v>
      </c>
      <c r="JK9" s="70" t="s">
        <v>19</v>
      </c>
      <c r="JL9" s="10" t="s">
        <v>124</v>
      </c>
      <c r="JM9" s="6" t="str">
        <f t="shared" si="13"/>
        <v>UF_Data[1].STEP_DESC[</v>
      </c>
      <c r="JN9" s="23">
        <f t="shared" si="25"/>
        <v>4</v>
      </c>
      <c r="JO9" s="70" t="s">
        <v>19</v>
      </c>
    </row>
    <row r="10" spans="1:275" ht="15" customHeight="1" x14ac:dyDescent="0.25">
      <c r="A10" s="8">
        <v>5</v>
      </c>
      <c r="B10" s="8" t="str">
        <f t="shared" si="0"/>
        <v>STARTING RECIRC PUMP STAGE 2</v>
      </c>
      <c r="C10" s="10"/>
      <c r="D10" s="6" t="str">
        <f t="shared" si="1"/>
        <v>UF_Data[1].ACK_DESC[</v>
      </c>
      <c r="E10" s="23">
        <f t="shared" si="14"/>
        <v>5</v>
      </c>
      <c r="F10" s="70" t="s">
        <v>19</v>
      </c>
      <c r="G10" s="79">
        <v>0</v>
      </c>
      <c r="H10" s="6" t="str">
        <f t="shared" si="2"/>
        <v>UF_Data[1].MIN[</v>
      </c>
      <c r="I10" s="23">
        <f t="shared" si="15"/>
        <v>5</v>
      </c>
      <c r="J10" s="70" t="s">
        <v>19</v>
      </c>
      <c r="K10" s="79">
        <v>1</v>
      </c>
      <c r="L10" s="6" t="str">
        <f t="shared" si="3"/>
        <v>UF_Data[1].SEC[</v>
      </c>
      <c r="M10" s="23">
        <f t="shared" si="16"/>
        <v>5</v>
      </c>
      <c r="N10" s="70" t="s">
        <v>19</v>
      </c>
      <c r="O10" s="81">
        <v>0</v>
      </c>
      <c r="P10" s="6" t="str">
        <f t="shared" si="4"/>
        <v>UF_Data[1].SETPOINT[</v>
      </c>
      <c r="Q10" s="23">
        <f t="shared" si="17"/>
        <v>5</v>
      </c>
      <c r="R10" s="70" t="s">
        <v>19</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UF_Data[1].COND1[</v>
      </c>
      <c r="BB10" s="23">
        <f t="shared" si="18"/>
        <v>5</v>
      </c>
      <c r="BC10" s="70" t="s">
        <v>19</v>
      </c>
      <c r="BD10" s="18"/>
      <c r="BE10" s="19"/>
      <c r="BF10" s="19"/>
      <c r="BG10" s="19"/>
      <c r="BH10" s="19">
        <v>1</v>
      </c>
      <c r="BI10" s="19"/>
      <c r="BJ10" s="19"/>
      <c r="BK10" s="19"/>
      <c r="BL10" s="19"/>
      <c r="BM10" s="19">
        <v>1</v>
      </c>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138412032</v>
      </c>
      <c r="CK10" s="6" t="str">
        <f t="shared" si="7"/>
        <v>UF_Data[1].COND2[</v>
      </c>
      <c r="CL10" s="23">
        <f t="shared" si="19"/>
        <v>5</v>
      </c>
      <c r="CM10" s="70" t="s">
        <v>19</v>
      </c>
      <c r="CN10" s="18"/>
      <c r="CO10" s="19"/>
      <c r="CP10" s="19">
        <v>1</v>
      </c>
      <c r="CQ10" s="19"/>
      <c r="CR10" s="19"/>
      <c r="CS10" s="19"/>
      <c r="CT10" s="19"/>
      <c r="CU10" s="19">
        <v>1</v>
      </c>
      <c r="CV10" s="19"/>
      <c r="CW10" s="19"/>
      <c r="CX10" s="19"/>
      <c r="CY10" s="19"/>
      <c r="CZ10" s="19"/>
      <c r="DA10" s="19"/>
      <c r="DB10" s="19"/>
      <c r="DC10" s="19"/>
      <c r="DD10" s="19"/>
      <c r="DE10" s="19">
        <v>1</v>
      </c>
      <c r="DF10" s="19"/>
      <c r="DG10" s="19"/>
      <c r="DH10" s="19"/>
      <c r="DI10" s="19"/>
      <c r="DJ10" s="19"/>
      <c r="DK10" s="19"/>
      <c r="DL10" s="19"/>
      <c r="DM10" s="19"/>
      <c r="DN10" s="19"/>
      <c r="DO10" s="19"/>
      <c r="DP10" s="19"/>
      <c r="DQ10" s="19"/>
      <c r="DR10" s="19"/>
      <c r="DS10" s="20"/>
      <c r="DT10" s="8" cm="1">
        <f t="array" ref="DT10">Bin2DecRange($CN10:$DS10)</f>
        <v>553664512</v>
      </c>
      <c r="DU10" s="6" t="str">
        <f t="shared" si="8"/>
        <v>UF_Data[1].COND3[</v>
      </c>
      <c r="DV10" s="23">
        <f t="shared" si="20"/>
        <v>5</v>
      </c>
      <c r="DW10" s="70" t="s">
        <v>19</v>
      </c>
      <c r="DX10" s="21">
        <v>1</v>
      </c>
      <c r="DY10" s="19">
        <v>1</v>
      </c>
      <c r="DZ10" s="19">
        <v>1</v>
      </c>
      <c r="EA10" s="19">
        <v>1</v>
      </c>
      <c r="EB10" s="19"/>
      <c r="EC10" s="19"/>
      <c r="ED10" s="19"/>
      <c r="EE10" s="19"/>
      <c r="EF10" s="19"/>
      <c r="EG10" s="19"/>
      <c r="EH10" s="19"/>
      <c r="EI10" s="19"/>
      <c r="EJ10" s="19"/>
      <c r="EK10" s="19"/>
      <c r="EL10" s="19"/>
      <c r="EM10" s="19"/>
      <c r="EN10" s="19"/>
      <c r="EO10" s="19"/>
      <c r="EP10" s="19"/>
      <c r="EQ10" s="19">
        <v>1</v>
      </c>
      <c r="ER10" s="19">
        <v>1</v>
      </c>
      <c r="ES10" s="19"/>
      <c r="ET10" s="19">
        <v>1</v>
      </c>
      <c r="EU10" s="19">
        <v>1</v>
      </c>
      <c r="EV10" s="19"/>
      <c r="EW10" s="19">
        <v>1</v>
      </c>
      <c r="EX10" s="19">
        <v>1</v>
      </c>
      <c r="EY10" s="19"/>
      <c r="EZ10" s="19"/>
      <c r="FA10" s="19"/>
      <c r="FB10" s="19"/>
      <c r="FC10" s="20"/>
      <c r="FD10" s="8">
        <f t="array" ref="FD10">Bin2DecRange($DX10:$FC10)</f>
        <v>-268428448</v>
      </c>
      <c r="FE10" s="6" t="str">
        <f t="shared" si="9"/>
        <v>UF_Data[1].ACT1[</v>
      </c>
      <c r="FF10" s="23">
        <f t="shared" si="21"/>
        <v>5</v>
      </c>
      <c r="FG10" s="70" t="s">
        <v>19</v>
      </c>
      <c r="FH10" s="21"/>
      <c r="FI10" s="19"/>
      <c r="FJ10" s="19"/>
      <c r="FK10" s="19"/>
      <c r="FL10" s="19"/>
      <c r="FM10" s="19"/>
      <c r="FN10" s="19"/>
      <c r="FO10" s="19"/>
      <c r="FP10" s="19"/>
      <c r="FQ10" s="19"/>
      <c r="FR10" s="19">
        <v>1</v>
      </c>
      <c r="FS10" s="19"/>
      <c r="FT10" s="19"/>
      <c r="FU10" s="19">
        <v>1</v>
      </c>
      <c r="FV10" s="19"/>
      <c r="FW10" s="19">
        <v>1</v>
      </c>
      <c r="FX10" s="19"/>
      <c r="FY10" s="19"/>
      <c r="FZ10" s="19"/>
      <c r="GA10" s="19"/>
      <c r="GB10" s="19"/>
      <c r="GC10" s="19"/>
      <c r="GD10" s="19"/>
      <c r="GE10" s="19"/>
      <c r="GF10" s="19"/>
      <c r="GG10" s="19"/>
      <c r="GH10" s="19"/>
      <c r="GI10" s="19"/>
      <c r="GJ10" s="19"/>
      <c r="GK10" s="19"/>
      <c r="GL10" s="19"/>
      <c r="GM10" s="20"/>
      <c r="GN10" s="8" cm="1">
        <f t="array" ref="GN10">Bin2DecRange($FH10:$GM10)</f>
        <v>2424832</v>
      </c>
      <c r="GO10" s="6" t="str">
        <f t="shared" si="10"/>
        <v>UF_Data[1].ACT2[</v>
      </c>
      <c r="GP10" s="23">
        <f t="shared" si="22"/>
        <v>5</v>
      </c>
      <c r="GQ10" s="70" t="s">
        <v>19</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v>1</v>
      </c>
      <c r="HR10" s="19"/>
      <c r="HS10" s="19">
        <v>1</v>
      </c>
      <c r="HT10" s="19">
        <v>1</v>
      </c>
      <c r="HU10" s="19">
        <v>1</v>
      </c>
      <c r="HV10" s="19"/>
      <c r="HW10" s="20">
        <v>1</v>
      </c>
      <c r="HX10" s="8" cm="1">
        <f t="array" ref="HX10">Bin2DecRange($GR10:$HW10)</f>
        <v>93</v>
      </c>
      <c r="HY10" s="6" t="str">
        <f t="shared" si="11"/>
        <v>UF_Data[1].ACT5[</v>
      </c>
      <c r="HZ10" s="23">
        <f t="shared" si="23"/>
        <v>5</v>
      </c>
      <c r="IA10" s="70" t="s">
        <v>19</v>
      </c>
      <c r="IB10" s="21"/>
      <c r="IC10" s="19"/>
      <c r="ID10" s="19"/>
      <c r="IE10" s="19"/>
      <c r="IF10" s="19"/>
      <c r="IG10" s="19"/>
      <c r="IH10" s="19"/>
      <c r="II10" s="19"/>
      <c r="IJ10" s="19"/>
      <c r="IK10" s="19"/>
      <c r="IL10" s="19"/>
      <c r="IM10" s="19"/>
      <c r="IN10" s="19"/>
      <c r="IO10" s="19"/>
      <c r="IP10" s="19"/>
      <c r="IQ10" s="19"/>
      <c r="IR10" s="19"/>
      <c r="IS10" s="19"/>
      <c r="IT10" s="19"/>
      <c r="IU10" s="19"/>
      <c r="IV10" s="19"/>
      <c r="IW10" s="19"/>
      <c r="IX10" s="19"/>
      <c r="IY10" s="19"/>
      <c r="IZ10" s="19"/>
      <c r="JA10" s="19"/>
      <c r="JB10" s="19"/>
      <c r="JC10" s="19"/>
      <c r="JD10" s="19"/>
      <c r="JE10" s="19"/>
      <c r="JF10" s="19"/>
      <c r="JG10" s="20"/>
      <c r="JH10" s="8" cm="1">
        <f t="array" ref="JH10">Bin2DecRange($IB10:$JG10)</f>
        <v>0</v>
      </c>
      <c r="JI10" s="6" t="str">
        <f t="shared" si="12"/>
        <v>UF_Data[1].ACT6[</v>
      </c>
      <c r="JJ10" s="23">
        <f t="shared" si="24"/>
        <v>5</v>
      </c>
      <c r="JK10" s="70" t="s">
        <v>19</v>
      </c>
      <c r="JL10" s="10" t="s">
        <v>123</v>
      </c>
      <c r="JM10" s="6" t="str">
        <f t="shared" si="13"/>
        <v>UF_Data[1].STEP_DESC[</v>
      </c>
      <c r="JN10" s="23">
        <f t="shared" si="25"/>
        <v>5</v>
      </c>
      <c r="JO10" s="70" t="s">
        <v>19</v>
      </c>
    </row>
    <row r="11" spans="1:275" ht="15" customHeight="1" x14ac:dyDescent="0.25">
      <c r="A11" s="8">
        <v>6</v>
      </c>
      <c r="B11" s="8" t="str">
        <f t="shared" si="0"/>
        <v>STARTING RECIRC PUMP STAGE 1</v>
      </c>
      <c r="C11" s="10"/>
      <c r="D11" s="6" t="str">
        <f t="shared" si="1"/>
        <v>UF_Data[1].ACK_DESC[</v>
      </c>
      <c r="E11" s="23">
        <f t="shared" si="14"/>
        <v>6</v>
      </c>
      <c r="F11" s="70" t="s">
        <v>19</v>
      </c>
      <c r="G11" s="79">
        <v>0</v>
      </c>
      <c r="H11" s="6" t="str">
        <f t="shared" si="2"/>
        <v>UF_Data[1].MIN[</v>
      </c>
      <c r="I11" s="23">
        <f t="shared" si="15"/>
        <v>6</v>
      </c>
      <c r="J11" s="70" t="s">
        <v>19</v>
      </c>
      <c r="K11" s="79">
        <v>1</v>
      </c>
      <c r="L11" s="6" t="str">
        <f t="shared" si="3"/>
        <v>UF_Data[1].SEC[</v>
      </c>
      <c r="M11" s="23">
        <f t="shared" si="16"/>
        <v>6</v>
      </c>
      <c r="N11" s="70" t="s">
        <v>19</v>
      </c>
      <c r="O11" s="81">
        <v>0</v>
      </c>
      <c r="P11" s="6" t="str">
        <f t="shared" si="4"/>
        <v>UF_Data[1].SETPOINT[</v>
      </c>
      <c r="Q11" s="23">
        <f t="shared" si="17"/>
        <v>6</v>
      </c>
      <c r="R11" s="70" t="s">
        <v>19</v>
      </c>
      <c r="S11" s="9" t="str">
        <f t="shared" si="5"/>
        <v>P</v>
      </c>
      <c r="T11" s="18"/>
      <c r="U11" s="19"/>
      <c r="V11" s="19"/>
      <c r="W11" s="19"/>
      <c r="X11" s="19"/>
      <c r="Y11" s="19"/>
      <c r="Z11" s="19"/>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512</v>
      </c>
      <c r="BA11" s="6" t="str">
        <f t="shared" si="6"/>
        <v>UF_Data[1].COND1[</v>
      </c>
      <c r="BB11" s="23">
        <f t="shared" si="18"/>
        <v>6</v>
      </c>
      <c r="BC11" s="70" t="s">
        <v>19</v>
      </c>
      <c r="BD11" s="18"/>
      <c r="BE11" s="19"/>
      <c r="BF11" s="19"/>
      <c r="BG11" s="19"/>
      <c r="BH11" s="19">
        <v>1</v>
      </c>
      <c r="BI11" s="19"/>
      <c r="BJ11" s="19"/>
      <c r="BK11" s="19"/>
      <c r="BL11" s="19"/>
      <c r="BM11" s="19">
        <v>1</v>
      </c>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138412032</v>
      </c>
      <c r="CK11" s="6" t="str">
        <f t="shared" si="7"/>
        <v>UF_Data[1].COND2[</v>
      </c>
      <c r="CL11" s="23">
        <f t="shared" si="19"/>
        <v>6</v>
      </c>
      <c r="CM11" s="70" t="s">
        <v>19</v>
      </c>
      <c r="CN11" s="18"/>
      <c r="CO11" s="19"/>
      <c r="CP11" s="19">
        <v>1</v>
      </c>
      <c r="CQ11" s="19"/>
      <c r="CR11" s="19"/>
      <c r="CS11" s="19"/>
      <c r="CT11" s="19">
        <v>1</v>
      </c>
      <c r="CU11" s="19"/>
      <c r="CV11" s="19"/>
      <c r="CW11" s="19"/>
      <c r="CX11" s="19"/>
      <c r="CY11" s="19"/>
      <c r="CZ11" s="19"/>
      <c r="DA11" s="19"/>
      <c r="DB11" s="19"/>
      <c r="DC11" s="19"/>
      <c r="DD11" s="19"/>
      <c r="DE11" s="19">
        <v>1</v>
      </c>
      <c r="DF11" s="19"/>
      <c r="DG11" s="19"/>
      <c r="DH11" s="19"/>
      <c r="DI11" s="19"/>
      <c r="DJ11" s="19"/>
      <c r="DK11" s="19"/>
      <c r="DL11" s="19"/>
      <c r="DM11" s="19"/>
      <c r="DN11" s="19"/>
      <c r="DO11" s="19"/>
      <c r="DP11" s="19"/>
      <c r="DQ11" s="19"/>
      <c r="DR11" s="19"/>
      <c r="DS11" s="20"/>
      <c r="DT11" s="8" cm="1">
        <f t="array" ref="DT11">Bin2DecRange($CN11:$DS11)</f>
        <v>570441728</v>
      </c>
      <c r="DU11" s="6" t="str">
        <f t="shared" si="8"/>
        <v>UF_Data[1].COND3[</v>
      </c>
      <c r="DV11" s="23">
        <f t="shared" si="20"/>
        <v>6</v>
      </c>
      <c r="DW11" s="70" t="s">
        <v>19</v>
      </c>
      <c r="DX11" s="21">
        <v>1</v>
      </c>
      <c r="DY11" s="19">
        <v>1</v>
      </c>
      <c r="DZ11" s="19">
        <v>1</v>
      </c>
      <c r="EA11" s="19">
        <v>1</v>
      </c>
      <c r="EB11" s="19"/>
      <c r="EC11" s="19"/>
      <c r="ED11" s="19"/>
      <c r="EE11" s="19"/>
      <c r="EF11" s="19"/>
      <c r="EG11" s="19"/>
      <c r="EH11" s="19"/>
      <c r="EI11" s="19"/>
      <c r="EJ11" s="19"/>
      <c r="EK11" s="19"/>
      <c r="EL11" s="19"/>
      <c r="EM11" s="19"/>
      <c r="EN11" s="19">
        <v>1</v>
      </c>
      <c r="EO11" s="19">
        <v>1</v>
      </c>
      <c r="EP11" s="19"/>
      <c r="EQ11" s="19">
        <v>1</v>
      </c>
      <c r="ER11" s="19">
        <v>1</v>
      </c>
      <c r="ES11" s="19"/>
      <c r="ET11" s="19">
        <v>1</v>
      </c>
      <c r="EU11" s="19">
        <v>1</v>
      </c>
      <c r="EV11" s="19"/>
      <c r="EW11" s="19">
        <v>1</v>
      </c>
      <c r="EX11" s="19">
        <v>1</v>
      </c>
      <c r="EY11" s="19"/>
      <c r="EZ11" s="19"/>
      <c r="FA11" s="19"/>
      <c r="FB11" s="19"/>
      <c r="FC11" s="20"/>
      <c r="FD11" s="8">
        <f t="array" ref="FD11">Bin2DecRange($DX11:$FC11)</f>
        <v>-268379296</v>
      </c>
      <c r="FE11" s="6" t="str">
        <f t="shared" si="9"/>
        <v>UF_Data[1].ACT1[</v>
      </c>
      <c r="FF11" s="23">
        <f t="shared" si="21"/>
        <v>6</v>
      </c>
      <c r="FG11" s="70" t="s">
        <v>19</v>
      </c>
      <c r="FH11" s="21"/>
      <c r="FI11" s="19"/>
      <c r="FJ11" s="19"/>
      <c r="FK11" s="19"/>
      <c r="FL11" s="19"/>
      <c r="FM11" s="19"/>
      <c r="FN11" s="19"/>
      <c r="FO11" s="19"/>
      <c r="FP11" s="19"/>
      <c r="FQ11" s="19"/>
      <c r="FR11" s="19">
        <v>1</v>
      </c>
      <c r="FS11" s="19"/>
      <c r="FT11" s="19"/>
      <c r="FU11" s="19">
        <v>1</v>
      </c>
      <c r="FV11" s="19"/>
      <c r="FW11" s="19">
        <v>1</v>
      </c>
      <c r="FX11" s="19"/>
      <c r="FY11" s="19"/>
      <c r="FZ11" s="19"/>
      <c r="GA11" s="19"/>
      <c r="GB11" s="19"/>
      <c r="GC11" s="19"/>
      <c r="GD11" s="19"/>
      <c r="GE11" s="19"/>
      <c r="GF11" s="19"/>
      <c r="GG11" s="19"/>
      <c r="GH11" s="19"/>
      <c r="GI11" s="19"/>
      <c r="GJ11" s="19"/>
      <c r="GK11" s="19"/>
      <c r="GL11" s="19"/>
      <c r="GM11" s="20"/>
      <c r="GN11" s="8" cm="1">
        <f t="array" ref="GN11">Bin2DecRange($FH11:$GM11)</f>
        <v>2424832</v>
      </c>
      <c r="GO11" s="6" t="str">
        <f t="shared" si="10"/>
        <v>UF_Data[1].ACT2[</v>
      </c>
      <c r="GP11" s="23">
        <f t="shared" si="22"/>
        <v>6</v>
      </c>
      <c r="GQ11" s="70" t="s">
        <v>19</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v>1</v>
      </c>
      <c r="HR11" s="19">
        <v>1</v>
      </c>
      <c r="HS11" s="19">
        <v>1</v>
      </c>
      <c r="HT11" s="19">
        <v>1</v>
      </c>
      <c r="HU11" s="19">
        <v>1</v>
      </c>
      <c r="HV11" s="19"/>
      <c r="HW11" s="20">
        <v>1</v>
      </c>
      <c r="HX11" s="8" cm="1">
        <f t="array" ref="HX11">Bin2DecRange($GR11:$HW11)</f>
        <v>125</v>
      </c>
      <c r="HY11" s="6" t="str">
        <f t="shared" si="11"/>
        <v>UF_Data[1].ACT5[</v>
      </c>
      <c r="HZ11" s="23">
        <f t="shared" si="23"/>
        <v>6</v>
      </c>
      <c r="IA11" s="70" t="s">
        <v>19</v>
      </c>
      <c r="IB11" s="21"/>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20"/>
      <c r="JH11" s="8" cm="1">
        <f t="array" ref="JH11">Bin2DecRange($IB11:$JG11)</f>
        <v>0</v>
      </c>
      <c r="JI11" s="6" t="str">
        <f t="shared" si="12"/>
        <v>UF_Data[1].ACT6[</v>
      </c>
      <c r="JJ11" s="23">
        <f t="shared" si="24"/>
        <v>6</v>
      </c>
      <c r="JK11" s="70" t="s">
        <v>19</v>
      </c>
      <c r="JL11" s="10" t="s">
        <v>122</v>
      </c>
      <c r="JM11" s="6" t="str">
        <f t="shared" si="13"/>
        <v>UF_Data[1].STEP_DESC[</v>
      </c>
      <c r="JN11" s="23">
        <f t="shared" si="25"/>
        <v>6</v>
      </c>
      <c r="JO11" s="70" t="s">
        <v>19</v>
      </c>
    </row>
    <row r="12" spans="1:275" x14ac:dyDescent="0.25">
      <c r="A12" s="8">
        <v>7</v>
      </c>
      <c r="B12" s="8" t="str">
        <f t="shared" si="0"/>
        <v>PROCESSING</v>
      </c>
      <c r="C12" s="10" t="s">
        <v>239</v>
      </c>
      <c r="D12" s="6" t="str">
        <f t="shared" si="1"/>
        <v>UF_Data[1].ACK_DESC[</v>
      </c>
      <c r="E12" s="23">
        <f t="shared" si="14"/>
        <v>7</v>
      </c>
      <c r="F12" s="70" t="s">
        <v>19</v>
      </c>
      <c r="G12" s="79">
        <v>0</v>
      </c>
      <c r="H12" s="6" t="str">
        <f t="shared" si="2"/>
        <v>UF_Data[1].MIN[</v>
      </c>
      <c r="I12" s="23">
        <f t="shared" si="15"/>
        <v>7</v>
      </c>
      <c r="J12" s="70" t="s">
        <v>19</v>
      </c>
      <c r="K12" s="79">
        <v>1</v>
      </c>
      <c r="L12" s="6" t="str">
        <f t="shared" si="3"/>
        <v>UF_Data[1].SEC[</v>
      </c>
      <c r="M12" s="23">
        <f t="shared" si="16"/>
        <v>7</v>
      </c>
      <c r="N12" s="70" t="s">
        <v>19</v>
      </c>
      <c r="O12" s="81">
        <v>0</v>
      </c>
      <c r="P12" s="6" t="str">
        <f t="shared" si="4"/>
        <v>UF_Data[1].SETPOINT[</v>
      </c>
      <c r="Q12" s="23">
        <f t="shared" si="17"/>
        <v>7</v>
      </c>
      <c r="R12" s="70" t="s">
        <v>19</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v>1</v>
      </c>
      <c r="AR12" s="19"/>
      <c r="AS12" s="19"/>
      <c r="AT12" s="19"/>
      <c r="AU12" s="19"/>
      <c r="AV12" s="19"/>
      <c r="AW12" s="19"/>
      <c r="AX12" s="19"/>
      <c r="AY12" s="20"/>
      <c r="AZ12" s="8">
        <f t="array" ref="AZ12">Bin2DecRange($T12:$AY12)</f>
        <v>768</v>
      </c>
      <c r="BA12" s="6" t="str">
        <f t="shared" si="6"/>
        <v>UF_Data[1].COND1[</v>
      </c>
      <c r="BB12" s="23">
        <f t="shared" si="18"/>
        <v>7</v>
      </c>
      <c r="BC12" s="70" t="s">
        <v>19</v>
      </c>
      <c r="BD12" s="18"/>
      <c r="BE12" s="19"/>
      <c r="BF12" s="19"/>
      <c r="BG12" s="19"/>
      <c r="BH12" s="19"/>
      <c r="BI12" s="19"/>
      <c r="BJ12" s="19"/>
      <c r="BK12" s="19">
        <v>1</v>
      </c>
      <c r="BL12" s="19"/>
      <c r="BM12" s="19">
        <v>1</v>
      </c>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20971520</v>
      </c>
      <c r="CK12" s="6" t="str">
        <f t="shared" si="7"/>
        <v>UF_Data[1].COND2[</v>
      </c>
      <c r="CL12" s="23">
        <f t="shared" si="19"/>
        <v>7</v>
      </c>
      <c r="CM12" s="70" t="s">
        <v>19</v>
      </c>
      <c r="CN12" s="18">
        <v>1</v>
      </c>
      <c r="CO12" s="19"/>
      <c r="CP12" s="19">
        <v>1</v>
      </c>
      <c r="CQ12" s="19"/>
      <c r="CR12" s="19"/>
      <c r="CS12" s="19"/>
      <c r="CT12" s="19"/>
      <c r="CU12" s="19"/>
      <c r="CV12" s="19"/>
      <c r="CW12" s="19"/>
      <c r="CX12" s="19"/>
      <c r="CY12" s="19"/>
      <c r="CZ12" s="19"/>
      <c r="DA12" s="19"/>
      <c r="DB12" s="19"/>
      <c r="DC12" s="19"/>
      <c r="DD12" s="19"/>
      <c r="DE12" s="19">
        <v>1</v>
      </c>
      <c r="DF12" s="19"/>
      <c r="DG12" s="19"/>
      <c r="DH12" s="19"/>
      <c r="DI12" s="19"/>
      <c r="DJ12" s="19"/>
      <c r="DK12" s="19"/>
      <c r="DL12" s="19"/>
      <c r="DM12" s="19"/>
      <c r="DN12" s="19"/>
      <c r="DO12" s="19"/>
      <c r="DP12" s="19"/>
      <c r="DQ12" s="19"/>
      <c r="DR12" s="19"/>
      <c r="DS12" s="20"/>
      <c r="DT12" s="8" cm="1">
        <f t="array" ref="DT12">Bin2DecRange($CN12:$DS12)</f>
        <v>-1610596352</v>
      </c>
      <c r="DU12" s="6" t="str">
        <f t="shared" si="8"/>
        <v>UF_Data[1].COND3[</v>
      </c>
      <c r="DV12" s="23">
        <f t="shared" si="20"/>
        <v>7</v>
      </c>
      <c r="DW12" s="70" t="s">
        <v>19</v>
      </c>
      <c r="DX12" s="21">
        <v>1</v>
      </c>
      <c r="DY12" s="19">
        <v>1</v>
      </c>
      <c r="DZ12" s="19">
        <v>1</v>
      </c>
      <c r="EA12" s="19">
        <v>1</v>
      </c>
      <c r="EB12" s="19"/>
      <c r="EC12" s="19"/>
      <c r="ED12" s="19"/>
      <c r="EE12" s="19"/>
      <c r="EF12" s="19"/>
      <c r="EG12" s="19"/>
      <c r="EH12" s="19"/>
      <c r="EI12" s="19"/>
      <c r="EJ12" s="19"/>
      <c r="EK12" s="19"/>
      <c r="EL12" s="19"/>
      <c r="EM12" s="19"/>
      <c r="EN12" s="19">
        <v>1</v>
      </c>
      <c r="EO12" s="19">
        <v>1</v>
      </c>
      <c r="EP12" s="19"/>
      <c r="EQ12" s="19">
        <v>1</v>
      </c>
      <c r="ER12" s="19">
        <v>1</v>
      </c>
      <c r="ES12" s="19"/>
      <c r="ET12" s="19">
        <v>1</v>
      </c>
      <c r="EU12" s="19">
        <v>1</v>
      </c>
      <c r="EV12" s="19"/>
      <c r="EW12" s="19">
        <v>1</v>
      </c>
      <c r="EX12" s="19">
        <v>1</v>
      </c>
      <c r="EY12" s="19"/>
      <c r="EZ12" s="19"/>
      <c r="FA12" s="19"/>
      <c r="FB12" s="19"/>
      <c r="FC12" s="20"/>
      <c r="FD12" s="8">
        <f t="array" ref="FD12">Bin2DecRange($DX12:$FC12)</f>
        <v>-268379296</v>
      </c>
      <c r="FE12" s="6" t="str">
        <f t="shared" si="9"/>
        <v>UF_Data[1].ACT1[</v>
      </c>
      <c r="FF12" s="23">
        <f t="shared" si="21"/>
        <v>7</v>
      </c>
      <c r="FG12" s="70" t="s">
        <v>19</v>
      </c>
      <c r="FH12" s="21"/>
      <c r="FI12" s="19"/>
      <c r="FJ12" s="19"/>
      <c r="FK12" s="19"/>
      <c r="FL12" s="19"/>
      <c r="FM12" s="19"/>
      <c r="FN12" s="19"/>
      <c r="FO12" s="19"/>
      <c r="FP12" s="19"/>
      <c r="FQ12" s="19"/>
      <c r="FR12" s="19">
        <v>1</v>
      </c>
      <c r="FS12" s="19"/>
      <c r="FT12" s="19"/>
      <c r="FU12" s="19">
        <v>1</v>
      </c>
      <c r="FV12" s="19"/>
      <c r="FW12" s="19">
        <v>1</v>
      </c>
      <c r="FX12" s="19">
        <v>1</v>
      </c>
      <c r="FY12" s="19"/>
      <c r="FZ12" s="19"/>
      <c r="GA12" s="19"/>
      <c r="GB12" s="19"/>
      <c r="GC12" s="19"/>
      <c r="GD12" s="19"/>
      <c r="GE12" s="19"/>
      <c r="GF12" s="19"/>
      <c r="GG12" s="19"/>
      <c r="GH12" s="19"/>
      <c r="GI12" s="19"/>
      <c r="GJ12" s="19"/>
      <c r="GK12" s="19"/>
      <c r="GL12" s="19"/>
      <c r="GM12" s="20"/>
      <c r="GN12" s="8" cm="1">
        <f t="array" ref="GN12">Bin2DecRange($FH12:$GM12)</f>
        <v>2457600</v>
      </c>
      <c r="GO12" s="6" t="str">
        <f t="shared" si="10"/>
        <v>UF_Data[1].ACT2[</v>
      </c>
      <c r="GP12" s="23">
        <f t="shared" si="22"/>
        <v>7</v>
      </c>
      <c r="GQ12" s="70" t="s">
        <v>19</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v>1</v>
      </c>
      <c r="HR12" s="19">
        <v>1</v>
      </c>
      <c r="HS12" s="19">
        <v>1</v>
      </c>
      <c r="HT12" s="19">
        <v>1</v>
      </c>
      <c r="HU12" s="19">
        <v>1</v>
      </c>
      <c r="HV12" s="19">
        <v>1</v>
      </c>
      <c r="HW12" s="20">
        <v>1</v>
      </c>
      <c r="HX12" s="8" cm="1">
        <f t="array" ref="HX12">Bin2DecRange($GR12:$HW12)</f>
        <v>127</v>
      </c>
      <c r="HY12" s="6" t="str">
        <f t="shared" si="11"/>
        <v>UF_Data[1].ACT5[</v>
      </c>
      <c r="HZ12" s="23">
        <f t="shared" si="23"/>
        <v>7</v>
      </c>
      <c r="IA12" s="70" t="s">
        <v>19</v>
      </c>
      <c r="IB12" s="21"/>
      <c r="IC12" s="19"/>
      <c r="ID12" s="19"/>
      <c r="IE12" s="19"/>
      <c r="IF12" s="19"/>
      <c r="IG12" s="19"/>
      <c r="IH12" s="19"/>
      <c r="II12" s="19"/>
      <c r="IJ12" s="19"/>
      <c r="IK12" s="19"/>
      <c r="IL12" s="19"/>
      <c r="IM12" s="19"/>
      <c r="IN12" s="19"/>
      <c r="IO12" s="19"/>
      <c r="IP12" s="19"/>
      <c r="IQ12" s="19"/>
      <c r="IR12" s="19"/>
      <c r="IS12" s="19"/>
      <c r="IT12" s="19"/>
      <c r="IU12" s="19"/>
      <c r="IV12" s="19"/>
      <c r="IW12" s="19"/>
      <c r="IX12" s="19"/>
      <c r="IY12" s="19"/>
      <c r="IZ12" s="19"/>
      <c r="JA12" s="19"/>
      <c r="JB12" s="19"/>
      <c r="JC12" s="19"/>
      <c r="JD12" s="19"/>
      <c r="JE12" s="19"/>
      <c r="JF12" s="19"/>
      <c r="JG12" s="20"/>
      <c r="JH12" s="8" cm="1">
        <f t="array" ref="JH12">Bin2DecRange($IB12:$JG12)</f>
        <v>0</v>
      </c>
      <c r="JI12" s="6" t="str">
        <f t="shared" si="12"/>
        <v>UF_Data[1].ACT6[</v>
      </c>
      <c r="JJ12" s="23">
        <f t="shared" si="24"/>
        <v>7</v>
      </c>
      <c r="JK12" s="70" t="s">
        <v>19</v>
      </c>
      <c r="JL12" s="10" t="s">
        <v>126</v>
      </c>
      <c r="JM12" s="6" t="str">
        <f t="shared" si="13"/>
        <v>UF_Data[1].STEP_DESC[</v>
      </c>
      <c r="JN12" s="23">
        <f t="shared" si="25"/>
        <v>7</v>
      </c>
      <c r="JO12" s="70" t="s">
        <v>19</v>
      </c>
    </row>
    <row r="13" spans="1:275" x14ac:dyDescent="0.25">
      <c r="A13" s="8">
        <v>8</v>
      </c>
      <c r="B13" s="8" t="str">
        <f t="shared" si="0"/>
        <v>PUMPING FEED TANK TO LOW LEVEL</v>
      </c>
      <c r="C13" s="10"/>
      <c r="D13" s="6" t="str">
        <f t="shared" si="1"/>
        <v>UF_Data[1].ACK_DESC[</v>
      </c>
      <c r="E13" s="23">
        <f t="shared" si="14"/>
        <v>8</v>
      </c>
      <c r="F13" s="70" t="s">
        <v>19</v>
      </c>
      <c r="G13" s="79">
        <v>0</v>
      </c>
      <c r="H13" s="6" t="str">
        <f t="shared" si="2"/>
        <v>UF_Data[1].MIN[</v>
      </c>
      <c r="I13" s="23">
        <f t="shared" si="15"/>
        <v>8</v>
      </c>
      <c r="J13" s="70" t="s">
        <v>19</v>
      </c>
      <c r="K13" s="79">
        <v>1</v>
      </c>
      <c r="L13" s="6" t="str">
        <f t="shared" si="3"/>
        <v>UF_Data[1].SEC[</v>
      </c>
      <c r="M13" s="23">
        <f t="shared" si="16"/>
        <v>8</v>
      </c>
      <c r="N13" s="70" t="s">
        <v>19</v>
      </c>
      <c r="O13" s="81">
        <v>0</v>
      </c>
      <c r="P13" s="6" t="str">
        <f t="shared" si="4"/>
        <v>UF_Data[1].SETPOINT[</v>
      </c>
      <c r="Q13" s="23">
        <f t="shared" si="17"/>
        <v>8</v>
      </c>
      <c r="R13" s="70" t="s">
        <v>19</v>
      </c>
      <c r="S13" s="9" t="str">
        <f t="shared" si="5"/>
        <v>P</v>
      </c>
      <c r="T13" s="18"/>
      <c r="U13" s="19"/>
      <c r="V13" s="19"/>
      <c r="W13" s="19"/>
      <c r="X13" s="19"/>
      <c r="Y13" s="19"/>
      <c r="Z13" s="19"/>
      <c r="AA13" s="19"/>
      <c r="AB13" s="19"/>
      <c r="AC13" s="19"/>
      <c r="AD13" s="19"/>
      <c r="AE13" s="19"/>
      <c r="AF13" s="19"/>
      <c r="AG13" s="19">
        <v>1</v>
      </c>
      <c r="AH13" s="19"/>
      <c r="AI13" s="19"/>
      <c r="AJ13" s="19"/>
      <c r="AK13" s="19"/>
      <c r="AL13" s="19"/>
      <c r="AM13" s="19"/>
      <c r="AN13" s="19"/>
      <c r="AO13" s="19"/>
      <c r="AP13" s="19">
        <v>1</v>
      </c>
      <c r="AQ13" s="19"/>
      <c r="AR13" s="19"/>
      <c r="AS13" s="19"/>
      <c r="AT13" s="19"/>
      <c r="AU13" s="19"/>
      <c r="AV13" s="19"/>
      <c r="AW13" s="19"/>
      <c r="AX13" s="19"/>
      <c r="AY13" s="20"/>
      <c r="AZ13" s="8">
        <f t="array" ref="AZ13">Bin2DecRange($T13:$AY13)</f>
        <v>262656</v>
      </c>
      <c r="BA13" s="6" t="str">
        <f t="shared" si="6"/>
        <v>UF_Data[1].COND1[</v>
      </c>
      <c r="BB13" s="23">
        <f t="shared" si="18"/>
        <v>8</v>
      </c>
      <c r="BC13" s="70" t="s">
        <v>19</v>
      </c>
      <c r="BD13" s="18"/>
      <c r="BE13" s="19"/>
      <c r="BF13" s="19"/>
      <c r="BG13" s="19"/>
      <c r="BH13" s="19"/>
      <c r="BI13" s="19"/>
      <c r="BJ13" s="19"/>
      <c r="BK13" s="19"/>
      <c r="BL13" s="19">
        <v>1</v>
      </c>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8388608</v>
      </c>
      <c r="CK13" s="6" t="str">
        <f t="shared" si="7"/>
        <v>UF_Data[1].COND2[</v>
      </c>
      <c r="CL13" s="23">
        <f t="shared" si="19"/>
        <v>8</v>
      </c>
      <c r="CM13" s="70" t="s">
        <v>19</v>
      </c>
      <c r="CN13" s="18">
        <v>1</v>
      </c>
      <c r="CO13" s="19"/>
      <c r="CP13" s="19">
        <v>1</v>
      </c>
      <c r="CQ13" s="19"/>
      <c r="CR13" s="19"/>
      <c r="CS13" s="19"/>
      <c r="CT13" s="19"/>
      <c r="CU13" s="19"/>
      <c r="CV13" s="19"/>
      <c r="CW13" s="19"/>
      <c r="CX13" s="19"/>
      <c r="CY13" s="19"/>
      <c r="CZ13" s="19"/>
      <c r="DA13" s="19"/>
      <c r="DB13" s="19"/>
      <c r="DC13" s="19"/>
      <c r="DD13" s="19">
        <v>1</v>
      </c>
      <c r="DE13" s="19"/>
      <c r="DF13" s="19"/>
      <c r="DG13" s="19"/>
      <c r="DH13" s="19"/>
      <c r="DI13" s="19"/>
      <c r="DJ13" s="19"/>
      <c r="DK13" s="19"/>
      <c r="DL13" s="19"/>
      <c r="DM13" s="19"/>
      <c r="DN13" s="19"/>
      <c r="DO13" s="19"/>
      <c r="DP13" s="19"/>
      <c r="DQ13" s="19"/>
      <c r="DR13" s="19"/>
      <c r="DS13" s="20"/>
      <c r="DT13" s="8" cm="1">
        <f t="array" ref="DT13">Bin2DecRange($CN13:$DS13)</f>
        <v>-1610579968</v>
      </c>
      <c r="DU13" s="6" t="str">
        <f t="shared" si="8"/>
        <v>UF_Data[1].COND3[</v>
      </c>
      <c r="DV13" s="23">
        <f t="shared" si="20"/>
        <v>8</v>
      </c>
      <c r="DW13" s="70" t="s">
        <v>19</v>
      </c>
      <c r="DX13" s="21">
        <v>1</v>
      </c>
      <c r="DY13" s="19">
        <v>1</v>
      </c>
      <c r="DZ13" s="19">
        <v>1</v>
      </c>
      <c r="EA13" s="19">
        <v>1</v>
      </c>
      <c r="EB13" s="19"/>
      <c r="EC13" s="19"/>
      <c r="ED13" s="19"/>
      <c r="EE13" s="19"/>
      <c r="EF13" s="19"/>
      <c r="EG13" s="19"/>
      <c r="EH13" s="19"/>
      <c r="EI13" s="19"/>
      <c r="EJ13" s="19"/>
      <c r="EK13" s="19"/>
      <c r="EL13" s="19"/>
      <c r="EM13" s="19"/>
      <c r="EN13" s="19">
        <v>1</v>
      </c>
      <c r="EO13" s="19">
        <v>1</v>
      </c>
      <c r="EP13" s="19"/>
      <c r="EQ13" s="19">
        <v>1</v>
      </c>
      <c r="ER13" s="19">
        <v>1</v>
      </c>
      <c r="ES13" s="19"/>
      <c r="ET13" s="19">
        <v>1</v>
      </c>
      <c r="EU13" s="19">
        <v>1</v>
      </c>
      <c r="EV13" s="19"/>
      <c r="EW13" s="19">
        <v>1</v>
      </c>
      <c r="EX13" s="19">
        <v>1</v>
      </c>
      <c r="EY13" s="19"/>
      <c r="EZ13" s="19"/>
      <c r="FA13" s="19"/>
      <c r="FB13" s="19"/>
      <c r="FC13" s="20"/>
      <c r="FD13" s="8">
        <f t="array" ref="FD13">Bin2DecRange($DX13:$FC13)</f>
        <v>-268379296</v>
      </c>
      <c r="FE13" s="6" t="str">
        <f t="shared" si="9"/>
        <v>UF_Data[1].ACT1[</v>
      </c>
      <c r="FF13" s="23">
        <f t="shared" si="21"/>
        <v>8</v>
      </c>
      <c r="FG13" s="70" t="s">
        <v>19</v>
      </c>
      <c r="FH13" s="21"/>
      <c r="FI13" s="19"/>
      <c r="FJ13" s="19"/>
      <c r="FK13" s="19"/>
      <c r="FL13" s="19"/>
      <c r="FM13" s="19"/>
      <c r="FN13" s="19"/>
      <c r="FO13" s="19"/>
      <c r="FP13" s="19"/>
      <c r="FQ13" s="19"/>
      <c r="FR13" s="19"/>
      <c r="FS13" s="19"/>
      <c r="FT13" s="19"/>
      <c r="FU13" s="19">
        <v>1</v>
      </c>
      <c r="FV13" s="19"/>
      <c r="FW13" s="19">
        <v>1</v>
      </c>
      <c r="FX13" s="19">
        <v>1</v>
      </c>
      <c r="FY13" s="19"/>
      <c r="FZ13" s="19"/>
      <c r="GA13" s="19"/>
      <c r="GB13" s="19"/>
      <c r="GC13" s="19"/>
      <c r="GD13" s="19"/>
      <c r="GE13" s="19"/>
      <c r="GF13" s="19"/>
      <c r="GG13" s="19"/>
      <c r="GH13" s="19"/>
      <c r="GI13" s="19"/>
      <c r="GJ13" s="19"/>
      <c r="GK13" s="19"/>
      <c r="GL13" s="19"/>
      <c r="GM13" s="20"/>
      <c r="GN13" s="8" cm="1">
        <f t="array" ref="GN13">Bin2DecRange($FH13:$GM13)</f>
        <v>360448</v>
      </c>
      <c r="GO13" s="6" t="str">
        <f t="shared" si="10"/>
        <v>UF_Data[1].ACT2[</v>
      </c>
      <c r="GP13" s="23">
        <f t="shared" si="22"/>
        <v>8</v>
      </c>
      <c r="GQ13" s="70" t="s">
        <v>19</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v>1</v>
      </c>
      <c r="HR13" s="19">
        <v>1</v>
      </c>
      <c r="HS13" s="19">
        <v>1</v>
      </c>
      <c r="HT13" s="19">
        <v>1</v>
      </c>
      <c r="HU13" s="19">
        <v>1</v>
      </c>
      <c r="HV13" s="19">
        <v>1</v>
      </c>
      <c r="HW13" s="20">
        <v>1</v>
      </c>
      <c r="HX13" s="8" cm="1">
        <f t="array" ref="HX13">Bin2DecRange($GR13:$HW13)</f>
        <v>127</v>
      </c>
      <c r="HY13" s="6" t="str">
        <f t="shared" si="11"/>
        <v>UF_Data[1].ACT5[</v>
      </c>
      <c r="HZ13" s="23">
        <f t="shared" si="23"/>
        <v>8</v>
      </c>
      <c r="IA13" s="70" t="s">
        <v>19</v>
      </c>
      <c r="IB13" s="21"/>
      <c r="IC13" s="19"/>
      <c r="ID13" s="19"/>
      <c r="IE13" s="19"/>
      <c r="IF13" s="19"/>
      <c r="IG13" s="19"/>
      <c r="IH13" s="19"/>
      <c r="II13" s="19"/>
      <c r="IJ13" s="19"/>
      <c r="IK13" s="19"/>
      <c r="IL13" s="19"/>
      <c r="IM13" s="19"/>
      <c r="IN13" s="19"/>
      <c r="IO13" s="19"/>
      <c r="IP13" s="19"/>
      <c r="IQ13" s="19"/>
      <c r="IR13" s="19"/>
      <c r="IS13" s="19"/>
      <c r="IT13" s="19"/>
      <c r="IU13" s="19"/>
      <c r="IV13" s="19"/>
      <c r="IW13" s="19"/>
      <c r="IX13" s="19"/>
      <c r="IY13" s="19"/>
      <c r="IZ13" s="19"/>
      <c r="JA13" s="19"/>
      <c r="JB13" s="19"/>
      <c r="JC13" s="19"/>
      <c r="JD13" s="19"/>
      <c r="JE13" s="19"/>
      <c r="JF13" s="19"/>
      <c r="JG13" s="20"/>
      <c r="JH13" s="8" cm="1">
        <f t="array" ref="JH13">Bin2DecRange($IB13:$JG13)</f>
        <v>0</v>
      </c>
      <c r="JI13" s="6" t="str">
        <f t="shared" si="12"/>
        <v>UF_Data[1].ACT6[</v>
      </c>
      <c r="JJ13" s="23">
        <f t="shared" si="24"/>
        <v>8</v>
      </c>
      <c r="JK13" s="70" t="s">
        <v>19</v>
      </c>
      <c r="JL13" s="10" t="s">
        <v>127</v>
      </c>
      <c r="JM13" s="6" t="str">
        <f t="shared" si="13"/>
        <v>UF_Data[1].STEP_DESC[</v>
      </c>
      <c r="JN13" s="23">
        <f t="shared" si="25"/>
        <v>8</v>
      </c>
      <c r="JO13" s="70" t="s">
        <v>19</v>
      </c>
    </row>
    <row r="14" spans="1:275" x14ac:dyDescent="0.25">
      <c r="A14" s="8">
        <v>9</v>
      </c>
      <c r="B14" s="8" t="str">
        <f t="shared" si="0"/>
        <v>FLUSHING STAGES 1-4</v>
      </c>
      <c r="C14" s="10"/>
      <c r="D14" s="6" t="str">
        <f t="shared" si="1"/>
        <v>UF_Data[1].ACK_DESC[</v>
      </c>
      <c r="E14" s="23">
        <f t="shared" si="14"/>
        <v>9</v>
      </c>
      <c r="F14" s="70" t="s">
        <v>19</v>
      </c>
      <c r="G14" s="79">
        <v>0</v>
      </c>
      <c r="H14" s="6" t="str">
        <f t="shared" si="2"/>
        <v>UF_Data[1].MIN[</v>
      </c>
      <c r="I14" s="23">
        <f t="shared" si="15"/>
        <v>9</v>
      </c>
      <c r="J14" s="70" t="s">
        <v>19</v>
      </c>
      <c r="K14" s="79">
        <v>1</v>
      </c>
      <c r="L14" s="6" t="str">
        <f t="shared" si="3"/>
        <v>UF_Data[1].SEC[</v>
      </c>
      <c r="M14" s="23">
        <f t="shared" si="16"/>
        <v>9</v>
      </c>
      <c r="N14" s="70" t="s">
        <v>19</v>
      </c>
      <c r="O14" s="81">
        <v>0</v>
      </c>
      <c r="P14" s="6" t="str">
        <f t="shared" si="4"/>
        <v>UF_Data[1].SETPOINT[</v>
      </c>
      <c r="Q14" s="23">
        <f t="shared" si="17"/>
        <v>9</v>
      </c>
      <c r="R14" s="70" t="s">
        <v>19</v>
      </c>
      <c r="S14" s="9" t="str">
        <f t="shared" si="5"/>
        <v>P</v>
      </c>
      <c r="T14" s="18"/>
      <c r="U14" s="19"/>
      <c r="V14" s="19"/>
      <c r="W14" s="19"/>
      <c r="X14" s="19">
        <v>1</v>
      </c>
      <c r="Y14" s="19"/>
      <c r="Z14" s="19"/>
      <c r="AA14" s="19"/>
      <c r="AB14" s="19"/>
      <c r="AC14" s="19"/>
      <c r="AD14" s="19"/>
      <c r="AE14" s="19"/>
      <c r="AF14" s="19"/>
      <c r="AG14" s="19"/>
      <c r="AH14" s="19"/>
      <c r="AI14" s="19"/>
      <c r="AJ14" s="19"/>
      <c r="AK14" s="19"/>
      <c r="AL14" s="19">
        <v>1</v>
      </c>
      <c r="AM14" s="19"/>
      <c r="AN14" s="19"/>
      <c r="AO14" s="19"/>
      <c r="AP14" s="19">
        <v>1</v>
      </c>
      <c r="AQ14" s="19"/>
      <c r="AR14" s="19"/>
      <c r="AS14" s="19"/>
      <c r="AT14" s="19"/>
      <c r="AU14" s="19"/>
      <c r="AV14" s="19"/>
      <c r="AW14" s="19"/>
      <c r="AX14" s="19"/>
      <c r="AY14" s="20"/>
      <c r="AZ14" s="8">
        <f t="array" ref="AZ14">Bin2DecRange($T14:$AY14)</f>
        <v>134226432</v>
      </c>
      <c r="BA14" s="6" t="str">
        <f t="shared" si="6"/>
        <v>UF_Data[1].COND1[</v>
      </c>
      <c r="BB14" s="23">
        <f t="shared" si="18"/>
        <v>9</v>
      </c>
      <c r="BC14" s="70" t="s">
        <v>19</v>
      </c>
      <c r="BD14" s="18"/>
      <c r="BE14" s="19"/>
      <c r="BF14" s="19"/>
      <c r="BG14" s="19"/>
      <c r="BH14" s="19"/>
      <c r="BI14" s="19"/>
      <c r="BJ14" s="19"/>
      <c r="BK14" s="19"/>
      <c r="BL14" s="19">
        <v>1</v>
      </c>
      <c r="BM14" s="19"/>
      <c r="BN14" s="19"/>
      <c r="BO14" s="19"/>
      <c r="BP14" s="19"/>
      <c r="BQ14" s="19"/>
      <c r="BR14" s="19"/>
      <c r="BS14" s="19"/>
      <c r="BT14" s="19"/>
      <c r="BU14" s="19"/>
      <c r="BV14" s="19"/>
      <c r="BW14" s="19"/>
      <c r="BX14" s="19"/>
      <c r="BY14" s="19"/>
      <c r="BZ14" s="19"/>
      <c r="CA14" s="19"/>
      <c r="CB14" s="19"/>
      <c r="CC14" s="19"/>
      <c r="CD14" s="19"/>
      <c r="CE14" s="19"/>
      <c r="CF14" s="19"/>
      <c r="CG14" s="19"/>
      <c r="CH14" s="19"/>
      <c r="CI14" s="20"/>
      <c r="CJ14" s="8" cm="1">
        <f t="array" ref="CJ14">Bin2DecRange($BD14:$CI14)</f>
        <v>8388608</v>
      </c>
      <c r="CK14" s="6" t="str">
        <f t="shared" si="7"/>
        <v>UF_Data[1].COND2[</v>
      </c>
      <c r="CL14" s="23">
        <f t="shared" si="19"/>
        <v>9</v>
      </c>
      <c r="CM14" s="70" t="s">
        <v>19</v>
      </c>
      <c r="CN14" s="18">
        <v>1</v>
      </c>
      <c r="CO14" s="19"/>
      <c r="CP14" s="19">
        <v>1</v>
      </c>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v>1</v>
      </c>
      <c r="DT14" s="8" cm="1">
        <f t="array" ref="DT14">Bin2DecRange($CN14:$DS14)</f>
        <v>-1610612735</v>
      </c>
      <c r="DU14" s="6" t="str">
        <f t="shared" si="8"/>
        <v>UF_Data[1].COND3[</v>
      </c>
      <c r="DV14" s="23">
        <f t="shared" si="20"/>
        <v>9</v>
      </c>
      <c r="DW14" s="70" t="s">
        <v>19</v>
      </c>
      <c r="DX14" s="21"/>
      <c r="DY14" s="19"/>
      <c r="DZ14" s="19"/>
      <c r="EA14" s="19"/>
      <c r="EB14" s="19"/>
      <c r="EC14" s="19"/>
      <c r="ED14" s="19"/>
      <c r="EE14" s="19"/>
      <c r="EF14" s="19"/>
      <c r="EG14" s="19"/>
      <c r="EH14" s="19"/>
      <c r="EI14" s="19"/>
      <c r="EJ14" s="19"/>
      <c r="EK14" s="19"/>
      <c r="EL14" s="19"/>
      <c r="EM14" s="19"/>
      <c r="EN14" s="19">
        <v>1</v>
      </c>
      <c r="EO14" s="19">
        <v>1</v>
      </c>
      <c r="EP14" s="19"/>
      <c r="EQ14" s="19">
        <v>1</v>
      </c>
      <c r="ER14" s="19">
        <v>1</v>
      </c>
      <c r="ES14" s="19"/>
      <c r="ET14" s="19">
        <v>1</v>
      </c>
      <c r="EU14" s="19">
        <v>1</v>
      </c>
      <c r="EV14" s="19"/>
      <c r="EW14" s="19">
        <v>1</v>
      </c>
      <c r="EX14" s="19">
        <v>1</v>
      </c>
      <c r="EY14" s="19"/>
      <c r="EZ14" s="19"/>
      <c r="FA14" s="19"/>
      <c r="FB14" s="19"/>
      <c r="FC14" s="20"/>
      <c r="FD14" s="8">
        <f t="array" ref="FD14">Bin2DecRange($DX14:$FC14)</f>
        <v>56160</v>
      </c>
      <c r="FE14" s="6" t="str">
        <f t="shared" si="9"/>
        <v>UF_Data[1].ACT1[</v>
      </c>
      <c r="FF14" s="23">
        <f t="shared" si="21"/>
        <v>9</v>
      </c>
      <c r="FG14" s="70" t="s">
        <v>19</v>
      </c>
      <c r="FH14" s="21"/>
      <c r="FI14" s="19"/>
      <c r="FJ14" s="19"/>
      <c r="FK14" s="19"/>
      <c r="FL14" s="19"/>
      <c r="FM14" s="19"/>
      <c r="FN14" s="19"/>
      <c r="FO14" s="19"/>
      <c r="FP14" s="19"/>
      <c r="FQ14" s="19"/>
      <c r="FR14" s="19"/>
      <c r="FS14" s="19"/>
      <c r="FT14" s="19">
        <v>1</v>
      </c>
      <c r="FU14" s="19">
        <v>1</v>
      </c>
      <c r="FV14" s="19"/>
      <c r="FW14" s="19">
        <v>1</v>
      </c>
      <c r="FX14" s="19">
        <v>1</v>
      </c>
      <c r="FY14" s="19"/>
      <c r="FZ14" s="19"/>
      <c r="GA14" s="19"/>
      <c r="GB14" s="19"/>
      <c r="GC14" s="19"/>
      <c r="GD14" s="19"/>
      <c r="GE14" s="19"/>
      <c r="GF14" s="19"/>
      <c r="GG14" s="19"/>
      <c r="GH14" s="19"/>
      <c r="GI14" s="19"/>
      <c r="GJ14" s="19"/>
      <c r="GK14" s="19"/>
      <c r="GL14" s="19"/>
      <c r="GM14" s="20"/>
      <c r="GN14" s="8" cm="1">
        <f t="array" ref="GN14">Bin2DecRange($FH14:$GM14)</f>
        <v>884736</v>
      </c>
      <c r="GO14" s="6" t="str">
        <f t="shared" si="10"/>
        <v>UF_Data[1].ACT2[</v>
      </c>
      <c r="GP14" s="23">
        <f t="shared" si="22"/>
        <v>9</v>
      </c>
      <c r="GQ14" s="70" t="s">
        <v>19</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v>1</v>
      </c>
      <c r="HR14" s="19">
        <v>1</v>
      </c>
      <c r="HS14" s="19">
        <v>1</v>
      </c>
      <c r="HT14" s="19">
        <v>1</v>
      </c>
      <c r="HU14" s="19">
        <v>1</v>
      </c>
      <c r="HV14" s="19">
        <v>1</v>
      </c>
      <c r="HW14" s="20">
        <v>1</v>
      </c>
      <c r="HX14" s="8" cm="1">
        <f t="array" ref="HX14">Bin2DecRange($GR14:$HW14)</f>
        <v>127</v>
      </c>
      <c r="HY14" s="6" t="str">
        <f t="shared" si="11"/>
        <v>UF_Data[1].ACT5[</v>
      </c>
      <c r="HZ14" s="23">
        <f t="shared" si="23"/>
        <v>9</v>
      </c>
      <c r="IA14" s="70" t="s">
        <v>19</v>
      </c>
      <c r="IB14" s="21"/>
      <c r="IC14" s="19"/>
      <c r="ID14" s="19"/>
      <c r="IE14" s="19"/>
      <c r="IF14" s="19"/>
      <c r="IG14" s="19"/>
      <c r="IH14" s="19"/>
      <c r="II14" s="19"/>
      <c r="IJ14" s="19"/>
      <c r="IK14" s="19"/>
      <c r="IL14" s="19"/>
      <c r="IM14" s="19"/>
      <c r="IN14" s="19"/>
      <c r="IO14" s="19"/>
      <c r="IP14" s="19"/>
      <c r="IQ14" s="19"/>
      <c r="IR14" s="19"/>
      <c r="IS14" s="19"/>
      <c r="IT14" s="19"/>
      <c r="IU14" s="19"/>
      <c r="IV14" s="19"/>
      <c r="IW14" s="19"/>
      <c r="IX14" s="19"/>
      <c r="IY14" s="19"/>
      <c r="IZ14" s="19"/>
      <c r="JA14" s="19"/>
      <c r="JB14" s="19"/>
      <c r="JC14" s="19"/>
      <c r="JD14" s="19"/>
      <c r="JE14" s="19"/>
      <c r="JF14" s="19"/>
      <c r="JG14" s="20"/>
      <c r="JH14" s="8" cm="1">
        <f t="array" ref="JH14">Bin2DecRange($IB14:$JG14)</f>
        <v>0</v>
      </c>
      <c r="JI14" s="6" t="str">
        <f t="shared" si="12"/>
        <v>UF_Data[1].ACT6[</v>
      </c>
      <c r="JJ14" s="23">
        <f t="shared" si="24"/>
        <v>9</v>
      </c>
      <c r="JK14" s="70" t="s">
        <v>19</v>
      </c>
      <c r="JL14" s="10" t="s">
        <v>240</v>
      </c>
      <c r="JM14" s="6" t="str">
        <f t="shared" si="13"/>
        <v>UF_Data[1].STEP_DESC[</v>
      </c>
      <c r="JN14" s="23">
        <f t="shared" si="25"/>
        <v>9</v>
      </c>
      <c r="JO14" s="70" t="s">
        <v>19</v>
      </c>
    </row>
    <row r="15" spans="1:275" x14ac:dyDescent="0.25">
      <c r="A15" s="8">
        <v>10</v>
      </c>
      <c r="B15" s="8" t="str">
        <f t="shared" si="0"/>
        <v>FLUSHING STAGES 2-4</v>
      </c>
      <c r="C15" s="10"/>
      <c r="D15" s="6" t="str">
        <f t="shared" si="1"/>
        <v>UF_Data[1].ACK_DESC[</v>
      </c>
      <c r="E15" s="23">
        <f t="shared" si="14"/>
        <v>10</v>
      </c>
      <c r="F15" s="70" t="s">
        <v>19</v>
      </c>
      <c r="G15" s="79">
        <v>0</v>
      </c>
      <c r="H15" s="6" t="str">
        <f t="shared" si="2"/>
        <v>UF_Data[1].MIN[</v>
      </c>
      <c r="I15" s="23">
        <f t="shared" si="15"/>
        <v>10</v>
      </c>
      <c r="J15" s="70" t="s">
        <v>19</v>
      </c>
      <c r="K15" s="79">
        <v>1</v>
      </c>
      <c r="L15" s="6" t="str">
        <f t="shared" si="3"/>
        <v>UF_Data[1].SEC[</v>
      </c>
      <c r="M15" s="23">
        <f t="shared" si="16"/>
        <v>10</v>
      </c>
      <c r="N15" s="70" t="s">
        <v>19</v>
      </c>
      <c r="O15" s="81">
        <v>0</v>
      </c>
      <c r="P15" s="6" t="str">
        <f t="shared" si="4"/>
        <v>UF_Data[1].SETPOINT[</v>
      </c>
      <c r="Q15" s="23">
        <f t="shared" si="17"/>
        <v>10</v>
      </c>
      <c r="R15" s="70" t="s">
        <v>19</v>
      </c>
      <c r="S15" s="9" t="str">
        <f t="shared" si="5"/>
        <v>P</v>
      </c>
      <c r="T15" s="18"/>
      <c r="U15" s="19"/>
      <c r="V15" s="19"/>
      <c r="W15" s="19"/>
      <c r="X15" s="19">
        <v>1</v>
      </c>
      <c r="Y15" s="19"/>
      <c r="Z15" s="19"/>
      <c r="AA15" s="19"/>
      <c r="AB15" s="19"/>
      <c r="AC15" s="19"/>
      <c r="AD15" s="19"/>
      <c r="AE15" s="19"/>
      <c r="AF15" s="19"/>
      <c r="AG15" s="19"/>
      <c r="AH15" s="19"/>
      <c r="AI15" s="19"/>
      <c r="AJ15" s="19"/>
      <c r="AK15" s="19"/>
      <c r="AL15" s="19">
        <v>1</v>
      </c>
      <c r="AM15" s="19"/>
      <c r="AN15" s="19"/>
      <c r="AO15" s="19"/>
      <c r="AP15" s="19">
        <v>1</v>
      </c>
      <c r="AQ15" s="19"/>
      <c r="AR15" s="19"/>
      <c r="AS15" s="19"/>
      <c r="AT15" s="19"/>
      <c r="AU15" s="19"/>
      <c r="AV15" s="19"/>
      <c r="AW15" s="19"/>
      <c r="AX15" s="19"/>
      <c r="AY15" s="20"/>
      <c r="AZ15" s="8">
        <f t="array" ref="AZ15">Bin2DecRange($T15:$AY15)</f>
        <v>134226432</v>
      </c>
      <c r="BA15" s="6" t="str">
        <f t="shared" si="6"/>
        <v>UF_Data[1].COND1[</v>
      </c>
      <c r="BB15" s="23">
        <f t="shared" si="18"/>
        <v>10</v>
      </c>
      <c r="BC15" s="70" t="s">
        <v>19</v>
      </c>
      <c r="BD15" s="18"/>
      <c r="BE15" s="19"/>
      <c r="BF15" s="19"/>
      <c r="BG15" s="19"/>
      <c r="BH15" s="19"/>
      <c r="BI15" s="19"/>
      <c r="BJ15" s="19"/>
      <c r="BK15" s="19"/>
      <c r="BL15" s="19">
        <v>1</v>
      </c>
      <c r="BM15" s="19"/>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8388608</v>
      </c>
      <c r="CK15" s="6" t="str">
        <f t="shared" si="7"/>
        <v>UF_Data[1].COND2[</v>
      </c>
      <c r="CL15" s="23">
        <f t="shared" si="19"/>
        <v>10</v>
      </c>
      <c r="CM15" s="70" t="s">
        <v>19</v>
      </c>
      <c r="CN15" s="18">
        <v>1</v>
      </c>
      <c r="CO15" s="19"/>
      <c r="CP15" s="19">
        <v>1</v>
      </c>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v>1</v>
      </c>
      <c r="DS15" s="20"/>
      <c r="DT15" s="8" cm="1">
        <f t="array" ref="DT15">Bin2DecRange($CN15:$DS15)</f>
        <v>-1610612734</v>
      </c>
      <c r="DU15" s="6" t="str">
        <f t="shared" si="8"/>
        <v>UF_Data[1].COND3[</v>
      </c>
      <c r="DV15" s="23">
        <f t="shared" si="20"/>
        <v>10</v>
      </c>
      <c r="DW15" s="70" t="s">
        <v>19</v>
      </c>
      <c r="DX15" s="21"/>
      <c r="DY15" s="19"/>
      <c r="DZ15" s="19"/>
      <c r="EA15" s="19"/>
      <c r="EB15" s="19"/>
      <c r="EC15" s="19"/>
      <c r="ED15" s="19"/>
      <c r="EE15" s="19"/>
      <c r="EF15" s="19"/>
      <c r="EG15" s="19"/>
      <c r="EH15" s="19"/>
      <c r="EI15" s="19"/>
      <c r="EJ15" s="19"/>
      <c r="EK15" s="19"/>
      <c r="EL15" s="19"/>
      <c r="EM15" s="19"/>
      <c r="EN15" s="19"/>
      <c r="EO15" s="19"/>
      <c r="EP15" s="19"/>
      <c r="EQ15" s="19">
        <v>1</v>
      </c>
      <c r="ER15" s="19">
        <v>1</v>
      </c>
      <c r="ES15" s="19"/>
      <c r="ET15" s="19">
        <v>1</v>
      </c>
      <c r="EU15" s="19">
        <v>1</v>
      </c>
      <c r="EV15" s="19"/>
      <c r="EW15" s="19">
        <v>1</v>
      </c>
      <c r="EX15" s="19">
        <v>1</v>
      </c>
      <c r="EY15" s="19"/>
      <c r="EZ15" s="19"/>
      <c r="FA15" s="19"/>
      <c r="FB15" s="19"/>
      <c r="FC15" s="20"/>
      <c r="FD15" s="8">
        <f t="array" ref="FD15">Bin2DecRange($DX15:$FC15)</f>
        <v>7008</v>
      </c>
      <c r="FE15" s="6" t="str">
        <f t="shared" si="9"/>
        <v>UF_Data[1].ACT1[</v>
      </c>
      <c r="FF15" s="23">
        <f t="shared" si="21"/>
        <v>10</v>
      </c>
      <c r="FG15" s="70" t="s">
        <v>19</v>
      </c>
      <c r="FH15" s="21"/>
      <c r="FI15" s="19"/>
      <c r="FJ15" s="19"/>
      <c r="FK15" s="19"/>
      <c r="FL15" s="19"/>
      <c r="FM15" s="19"/>
      <c r="FN15" s="19"/>
      <c r="FO15" s="19"/>
      <c r="FP15" s="19"/>
      <c r="FQ15" s="19"/>
      <c r="FR15" s="19"/>
      <c r="FS15" s="19"/>
      <c r="FT15" s="19">
        <v>1</v>
      </c>
      <c r="FU15" s="19">
        <v>1</v>
      </c>
      <c r="FV15" s="19"/>
      <c r="FW15" s="19">
        <v>1</v>
      </c>
      <c r="FX15" s="19">
        <v>1</v>
      </c>
      <c r="FY15" s="19"/>
      <c r="FZ15" s="19"/>
      <c r="GA15" s="19"/>
      <c r="GB15" s="19"/>
      <c r="GC15" s="19"/>
      <c r="GD15" s="19"/>
      <c r="GE15" s="19"/>
      <c r="GF15" s="19"/>
      <c r="GG15" s="19"/>
      <c r="GH15" s="19"/>
      <c r="GI15" s="19"/>
      <c r="GJ15" s="19"/>
      <c r="GK15" s="19"/>
      <c r="GL15" s="19"/>
      <c r="GM15" s="20"/>
      <c r="GN15" s="8" cm="1">
        <f t="array" ref="GN15">Bin2DecRange($FH15:$GM15)</f>
        <v>884736</v>
      </c>
      <c r="GO15" s="6" t="str">
        <f t="shared" si="10"/>
        <v>UF_Data[1].ACT2[</v>
      </c>
      <c r="GP15" s="23">
        <f t="shared" si="22"/>
        <v>10</v>
      </c>
      <c r="GQ15" s="70" t="s">
        <v>19</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v>1</v>
      </c>
      <c r="HR15" s="19"/>
      <c r="HS15" s="19">
        <v>1</v>
      </c>
      <c r="HT15" s="19">
        <v>1</v>
      </c>
      <c r="HU15" s="19">
        <v>1</v>
      </c>
      <c r="HV15" s="19">
        <v>1</v>
      </c>
      <c r="HW15" s="20">
        <v>1</v>
      </c>
      <c r="HX15" s="8" cm="1">
        <f t="array" ref="HX15">Bin2DecRange($GR15:$HW15)</f>
        <v>95</v>
      </c>
      <c r="HY15" s="6" t="str">
        <f t="shared" si="11"/>
        <v>UF_Data[1].ACT5[</v>
      </c>
      <c r="HZ15" s="23">
        <f t="shared" si="23"/>
        <v>10</v>
      </c>
      <c r="IA15" s="70" t="s">
        <v>19</v>
      </c>
      <c r="IB15" s="21"/>
      <c r="IC15" s="19"/>
      <c r="ID15" s="19"/>
      <c r="IE15" s="19"/>
      <c r="IF15" s="19"/>
      <c r="IG15" s="19"/>
      <c r="IH15" s="19"/>
      <c r="II15" s="19"/>
      <c r="IJ15" s="19"/>
      <c r="IK15" s="19"/>
      <c r="IL15" s="19"/>
      <c r="IM15" s="19"/>
      <c r="IN15" s="19"/>
      <c r="IO15" s="19"/>
      <c r="IP15" s="19"/>
      <c r="IQ15" s="19"/>
      <c r="IR15" s="19"/>
      <c r="IS15" s="19"/>
      <c r="IT15" s="19"/>
      <c r="IU15" s="19"/>
      <c r="IV15" s="19"/>
      <c r="IW15" s="19"/>
      <c r="IX15" s="19"/>
      <c r="IY15" s="19"/>
      <c r="IZ15" s="19"/>
      <c r="JA15" s="19"/>
      <c r="JB15" s="19"/>
      <c r="JC15" s="19"/>
      <c r="JD15" s="19"/>
      <c r="JE15" s="19"/>
      <c r="JF15" s="19"/>
      <c r="JG15" s="20"/>
      <c r="JH15" s="8" cm="1">
        <f t="array" ref="JH15">Bin2DecRange($IB15:$JG15)</f>
        <v>0</v>
      </c>
      <c r="JI15" s="6" t="str">
        <f t="shared" si="12"/>
        <v>UF_Data[1].ACT6[</v>
      </c>
      <c r="JJ15" s="23">
        <f t="shared" si="24"/>
        <v>10</v>
      </c>
      <c r="JK15" s="70" t="s">
        <v>19</v>
      </c>
      <c r="JL15" s="10" t="s">
        <v>241</v>
      </c>
      <c r="JM15" s="6" t="str">
        <f t="shared" si="13"/>
        <v>UF_Data[1].STEP_DESC[</v>
      </c>
      <c r="JN15" s="23">
        <f t="shared" si="25"/>
        <v>10</v>
      </c>
      <c r="JO15" s="70" t="s">
        <v>19</v>
      </c>
    </row>
    <row r="16" spans="1:275" x14ac:dyDescent="0.25">
      <c r="A16" s="8">
        <v>11</v>
      </c>
      <c r="B16" s="8" t="str">
        <f t="shared" si="0"/>
        <v>FLUSHING STAGES 3-4</v>
      </c>
      <c r="C16" s="10"/>
      <c r="D16" s="6" t="str">
        <f t="shared" si="1"/>
        <v>UF_Data[1].ACK_DESC[</v>
      </c>
      <c r="E16" s="23">
        <f t="shared" si="14"/>
        <v>11</v>
      </c>
      <c r="F16" s="70" t="s">
        <v>19</v>
      </c>
      <c r="G16" s="79">
        <v>0</v>
      </c>
      <c r="H16" s="6" t="str">
        <f t="shared" si="2"/>
        <v>UF_Data[1].MIN[</v>
      </c>
      <c r="I16" s="23">
        <f t="shared" si="15"/>
        <v>11</v>
      </c>
      <c r="J16" s="70" t="s">
        <v>19</v>
      </c>
      <c r="K16" s="79">
        <v>1</v>
      </c>
      <c r="L16" s="6" t="str">
        <f t="shared" si="3"/>
        <v>UF_Data[1].SEC[</v>
      </c>
      <c r="M16" s="23">
        <f t="shared" si="16"/>
        <v>11</v>
      </c>
      <c r="N16" s="70" t="s">
        <v>19</v>
      </c>
      <c r="O16" s="81">
        <v>0</v>
      </c>
      <c r="P16" s="6" t="str">
        <f t="shared" si="4"/>
        <v>UF_Data[1].SETPOINT[</v>
      </c>
      <c r="Q16" s="23">
        <f t="shared" si="17"/>
        <v>11</v>
      </c>
      <c r="R16" s="70" t="s">
        <v>19</v>
      </c>
      <c r="S16" s="9" t="str">
        <f t="shared" si="5"/>
        <v>P</v>
      </c>
      <c r="T16" s="18"/>
      <c r="U16" s="19"/>
      <c r="V16" s="19"/>
      <c r="W16" s="19"/>
      <c r="X16" s="19">
        <v>1</v>
      </c>
      <c r="Y16" s="19"/>
      <c r="Z16" s="19"/>
      <c r="AA16" s="19"/>
      <c r="AB16" s="19"/>
      <c r="AC16" s="19"/>
      <c r="AD16" s="19"/>
      <c r="AE16" s="19"/>
      <c r="AF16" s="19"/>
      <c r="AG16" s="19"/>
      <c r="AH16" s="19"/>
      <c r="AI16" s="19"/>
      <c r="AJ16" s="19"/>
      <c r="AK16" s="19"/>
      <c r="AL16" s="19">
        <v>1</v>
      </c>
      <c r="AM16" s="19"/>
      <c r="AN16" s="19"/>
      <c r="AO16" s="19"/>
      <c r="AP16" s="19">
        <v>1</v>
      </c>
      <c r="AQ16" s="19"/>
      <c r="AR16" s="19"/>
      <c r="AS16" s="19"/>
      <c r="AT16" s="19"/>
      <c r="AU16" s="19"/>
      <c r="AV16" s="19"/>
      <c r="AW16" s="19"/>
      <c r="AX16" s="19"/>
      <c r="AY16" s="20"/>
      <c r="AZ16" s="8">
        <f t="array" ref="AZ16">Bin2DecRange($T16:$AY16)</f>
        <v>134226432</v>
      </c>
      <c r="BA16" s="6" t="str">
        <f t="shared" si="6"/>
        <v>UF_Data[1].COND1[</v>
      </c>
      <c r="BB16" s="23">
        <f t="shared" si="18"/>
        <v>11</v>
      </c>
      <c r="BC16" s="70" t="s">
        <v>19</v>
      </c>
      <c r="BD16" s="18"/>
      <c r="BE16" s="19"/>
      <c r="BF16" s="19"/>
      <c r="BG16" s="19"/>
      <c r="BH16" s="19"/>
      <c r="BI16" s="19"/>
      <c r="BJ16" s="19"/>
      <c r="BK16" s="19"/>
      <c r="BL16" s="19">
        <v>1</v>
      </c>
      <c r="BM16" s="19"/>
      <c r="BN16" s="19"/>
      <c r="BO16" s="19"/>
      <c r="BP16" s="19"/>
      <c r="BQ16" s="19"/>
      <c r="BR16" s="19"/>
      <c r="BS16" s="19"/>
      <c r="BT16" s="19"/>
      <c r="BU16" s="19"/>
      <c r="BV16" s="19"/>
      <c r="BW16" s="19"/>
      <c r="BX16" s="19"/>
      <c r="BY16" s="19"/>
      <c r="BZ16" s="19"/>
      <c r="CA16" s="19"/>
      <c r="CB16" s="19"/>
      <c r="CC16" s="19"/>
      <c r="CD16" s="19"/>
      <c r="CE16" s="19"/>
      <c r="CF16" s="19"/>
      <c r="CG16" s="19"/>
      <c r="CH16" s="19"/>
      <c r="CI16" s="20"/>
      <c r="CJ16" s="8" cm="1">
        <f t="array" ref="CJ16">Bin2DecRange($BD16:$CI16)</f>
        <v>8388608</v>
      </c>
      <c r="CK16" s="6" t="str">
        <f t="shared" si="7"/>
        <v>UF_Data[1].COND2[</v>
      </c>
      <c r="CL16" s="23">
        <f t="shared" si="19"/>
        <v>11</v>
      </c>
      <c r="CM16" s="70" t="s">
        <v>19</v>
      </c>
      <c r="CN16" s="18">
        <v>1</v>
      </c>
      <c r="CO16" s="19"/>
      <c r="CP16" s="19">
        <v>1</v>
      </c>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v>1</v>
      </c>
      <c r="DR16" s="19"/>
      <c r="DS16" s="20"/>
      <c r="DT16" s="8" cm="1">
        <f t="array" ref="DT16">Bin2DecRange($CN16:$DS16)</f>
        <v>-1610612732</v>
      </c>
      <c r="DU16" s="6" t="str">
        <f t="shared" si="8"/>
        <v>UF_Data[1].COND3[</v>
      </c>
      <c r="DV16" s="23">
        <f t="shared" si="20"/>
        <v>11</v>
      </c>
      <c r="DW16" s="70" t="s">
        <v>19</v>
      </c>
      <c r="DX16" s="21"/>
      <c r="DY16" s="19"/>
      <c r="DZ16" s="19"/>
      <c r="EA16" s="19"/>
      <c r="EB16" s="19"/>
      <c r="EC16" s="19"/>
      <c r="ED16" s="19"/>
      <c r="EE16" s="19"/>
      <c r="EF16" s="19"/>
      <c r="EG16" s="19"/>
      <c r="EH16" s="19"/>
      <c r="EI16" s="19"/>
      <c r="EJ16" s="19"/>
      <c r="EK16" s="19"/>
      <c r="EL16" s="19"/>
      <c r="EM16" s="19"/>
      <c r="EN16" s="19"/>
      <c r="EO16" s="19"/>
      <c r="EP16" s="19"/>
      <c r="EQ16" s="19"/>
      <c r="ER16" s="19"/>
      <c r="ES16" s="19"/>
      <c r="ET16" s="19">
        <v>1</v>
      </c>
      <c r="EU16" s="19">
        <v>1</v>
      </c>
      <c r="EV16" s="19"/>
      <c r="EW16" s="19">
        <v>1</v>
      </c>
      <c r="EX16" s="19">
        <v>1</v>
      </c>
      <c r="EY16" s="19"/>
      <c r="EZ16" s="19"/>
      <c r="FA16" s="19"/>
      <c r="FB16" s="19"/>
      <c r="FC16" s="20"/>
      <c r="FD16" s="8">
        <f t="array" ref="FD16">Bin2DecRange($DX16:$FC16)</f>
        <v>864</v>
      </c>
      <c r="FE16" s="6" t="str">
        <f t="shared" si="9"/>
        <v>UF_Data[1].ACT1[</v>
      </c>
      <c r="FF16" s="23">
        <f t="shared" si="21"/>
        <v>11</v>
      </c>
      <c r="FG16" s="70" t="s">
        <v>19</v>
      </c>
      <c r="FH16" s="21"/>
      <c r="FI16" s="19"/>
      <c r="FJ16" s="19"/>
      <c r="FK16" s="19"/>
      <c r="FL16" s="19"/>
      <c r="FM16" s="19"/>
      <c r="FN16" s="19"/>
      <c r="FO16" s="19"/>
      <c r="FP16" s="19"/>
      <c r="FQ16" s="19"/>
      <c r="FR16" s="19"/>
      <c r="FS16" s="19"/>
      <c r="FT16" s="19">
        <v>1</v>
      </c>
      <c r="FU16" s="19">
        <v>1</v>
      </c>
      <c r="FV16" s="19"/>
      <c r="FW16" s="19">
        <v>1</v>
      </c>
      <c r="FX16" s="19">
        <v>1</v>
      </c>
      <c r="FY16" s="19"/>
      <c r="FZ16" s="19"/>
      <c r="GA16" s="19"/>
      <c r="GB16" s="19"/>
      <c r="GC16" s="19"/>
      <c r="GD16" s="19"/>
      <c r="GE16" s="19"/>
      <c r="GF16" s="19"/>
      <c r="GG16" s="19"/>
      <c r="GH16" s="19"/>
      <c r="GI16" s="19"/>
      <c r="GJ16" s="19"/>
      <c r="GK16" s="19"/>
      <c r="GL16" s="19"/>
      <c r="GM16" s="20"/>
      <c r="GN16" s="8" cm="1">
        <f t="array" ref="GN16">Bin2DecRange($FH16:$GM16)</f>
        <v>884736</v>
      </c>
      <c r="GO16" s="6" t="str">
        <f t="shared" si="10"/>
        <v>UF_Data[1].ACT2[</v>
      </c>
      <c r="GP16" s="23">
        <f t="shared" si="22"/>
        <v>11</v>
      </c>
      <c r="GQ16" s="70" t="s">
        <v>19</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v>1</v>
      </c>
      <c r="HR16" s="19"/>
      <c r="HS16" s="19"/>
      <c r="HT16" s="19">
        <v>1</v>
      </c>
      <c r="HU16" s="19">
        <v>1</v>
      </c>
      <c r="HV16" s="19">
        <v>1</v>
      </c>
      <c r="HW16" s="20">
        <v>1</v>
      </c>
      <c r="HX16" s="8" cm="1">
        <f t="array" ref="HX16">Bin2DecRange($GR16:$HW16)</f>
        <v>79</v>
      </c>
      <c r="HY16" s="6" t="str">
        <f t="shared" si="11"/>
        <v>UF_Data[1].ACT5[</v>
      </c>
      <c r="HZ16" s="23">
        <f t="shared" si="23"/>
        <v>11</v>
      </c>
      <c r="IA16" s="70" t="s">
        <v>19</v>
      </c>
      <c r="IB16" s="21"/>
      <c r="IC16" s="19"/>
      <c r="ID16" s="19"/>
      <c r="IE16" s="19"/>
      <c r="IF16" s="19"/>
      <c r="IG16" s="19"/>
      <c r="IH16" s="19"/>
      <c r="II16" s="19"/>
      <c r="IJ16" s="19"/>
      <c r="IK16" s="19"/>
      <c r="IL16" s="19"/>
      <c r="IM16" s="19"/>
      <c r="IN16" s="19"/>
      <c r="IO16" s="19"/>
      <c r="IP16" s="19"/>
      <c r="IQ16" s="19"/>
      <c r="IR16" s="19"/>
      <c r="IS16" s="19"/>
      <c r="IT16" s="19"/>
      <c r="IU16" s="19"/>
      <c r="IV16" s="19"/>
      <c r="IW16" s="19"/>
      <c r="IX16" s="19"/>
      <c r="IY16" s="19"/>
      <c r="IZ16" s="19"/>
      <c r="JA16" s="19"/>
      <c r="JB16" s="19"/>
      <c r="JC16" s="19"/>
      <c r="JD16" s="19"/>
      <c r="JE16" s="19"/>
      <c r="JF16" s="19"/>
      <c r="JG16" s="20"/>
      <c r="JH16" s="8" cm="1">
        <f t="array" ref="JH16">Bin2DecRange($IB16:$JG16)</f>
        <v>0</v>
      </c>
      <c r="JI16" s="6" t="str">
        <f t="shared" si="12"/>
        <v>UF_Data[1].ACT6[</v>
      </c>
      <c r="JJ16" s="23">
        <f t="shared" si="24"/>
        <v>11</v>
      </c>
      <c r="JK16" s="70" t="s">
        <v>19</v>
      </c>
      <c r="JL16" s="10" t="s">
        <v>242</v>
      </c>
      <c r="JM16" s="6" t="str">
        <f t="shared" si="13"/>
        <v>UF_Data[1].STEP_DESC[</v>
      </c>
      <c r="JN16" s="23">
        <f t="shared" si="25"/>
        <v>11</v>
      </c>
      <c r="JO16" s="70" t="s">
        <v>19</v>
      </c>
    </row>
    <row r="17" spans="1:275" x14ac:dyDescent="0.25">
      <c r="A17" s="8">
        <v>12</v>
      </c>
      <c r="B17" s="8" t="str">
        <f t="shared" si="0"/>
        <v>FLUSHING STAGES 4</v>
      </c>
      <c r="C17" s="10"/>
      <c r="D17" s="6" t="str">
        <f t="shared" si="1"/>
        <v>UF_Data[1].ACK_DESC[</v>
      </c>
      <c r="E17" s="23">
        <f t="shared" si="14"/>
        <v>12</v>
      </c>
      <c r="F17" s="70" t="s">
        <v>19</v>
      </c>
      <c r="G17" s="79">
        <v>0</v>
      </c>
      <c r="H17" s="6" t="str">
        <f t="shared" si="2"/>
        <v>UF_Data[1].MIN[</v>
      </c>
      <c r="I17" s="23">
        <f t="shared" si="15"/>
        <v>12</v>
      </c>
      <c r="J17" s="70" t="s">
        <v>19</v>
      </c>
      <c r="K17" s="79">
        <v>1</v>
      </c>
      <c r="L17" s="6" t="str">
        <f t="shared" si="3"/>
        <v>UF_Data[1].SEC[</v>
      </c>
      <c r="M17" s="23">
        <f t="shared" si="16"/>
        <v>12</v>
      </c>
      <c r="N17" s="70" t="s">
        <v>19</v>
      </c>
      <c r="O17" s="81">
        <v>0</v>
      </c>
      <c r="P17" s="6" t="str">
        <f t="shared" si="4"/>
        <v>UF_Data[1].SETPOINT[</v>
      </c>
      <c r="Q17" s="23">
        <f t="shared" si="17"/>
        <v>12</v>
      </c>
      <c r="R17" s="70" t="s">
        <v>19</v>
      </c>
      <c r="S17" s="9" t="str">
        <f t="shared" si="5"/>
        <v>P</v>
      </c>
      <c r="T17" s="18"/>
      <c r="U17" s="19"/>
      <c r="V17" s="19"/>
      <c r="W17" s="19"/>
      <c r="X17" s="19">
        <v>1</v>
      </c>
      <c r="Y17" s="19"/>
      <c r="Z17" s="19"/>
      <c r="AA17" s="19"/>
      <c r="AB17" s="19"/>
      <c r="AC17" s="19"/>
      <c r="AD17" s="19"/>
      <c r="AE17" s="19"/>
      <c r="AF17" s="19"/>
      <c r="AG17" s="19"/>
      <c r="AH17" s="19"/>
      <c r="AI17" s="19"/>
      <c r="AJ17" s="19"/>
      <c r="AK17" s="19"/>
      <c r="AL17" s="19">
        <v>1</v>
      </c>
      <c r="AM17" s="19"/>
      <c r="AN17" s="19"/>
      <c r="AO17" s="19"/>
      <c r="AP17" s="19">
        <v>1</v>
      </c>
      <c r="AQ17" s="19"/>
      <c r="AR17" s="19"/>
      <c r="AS17" s="19"/>
      <c r="AT17" s="19"/>
      <c r="AU17" s="19"/>
      <c r="AV17" s="19"/>
      <c r="AW17" s="19"/>
      <c r="AX17" s="19"/>
      <c r="AY17" s="20"/>
      <c r="AZ17" s="8">
        <f t="array" ref="AZ17">Bin2DecRange($T17:$AY17)</f>
        <v>134226432</v>
      </c>
      <c r="BA17" s="6" t="str">
        <f t="shared" si="6"/>
        <v>UF_Data[1].COND1[</v>
      </c>
      <c r="BB17" s="23">
        <f t="shared" si="18"/>
        <v>12</v>
      </c>
      <c r="BC17" s="70" t="s">
        <v>19</v>
      </c>
      <c r="BD17" s="18"/>
      <c r="BE17" s="19"/>
      <c r="BF17" s="19"/>
      <c r="BG17" s="19"/>
      <c r="BH17" s="19"/>
      <c r="BI17" s="19"/>
      <c r="BJ17" s="19"/>
      <c r="BK17" s="19"/>
      <c r="BL17" s="19">
        <v>1</v>
      </c>
      <c r="BM17" s="19"/>
      <c r="BN17" s="19"/>
      <c r="BO17" s="19"/>
      <c r="BP17" s="19"/>
      <c r="BQ17" s="19"/>
      <c r="BR17" s="19"/>
      <c r="BS17" s="19"/>
      <c r="BT17" s="19"/>
      <c r="BU17" s="19"/>
      <c r="BV17" s="19"/>
      <c r="BW17" s="19"/>
      <c r="BX17" s="19"/>
      <c r="BY17" s="19"/>
      <c r="BZ17" s="19"/>
      <c r="CA17" s="19"/>
      <c r="CB17" s="19"/>
      <c r="CC17" s="19"/>
      <c r="CD17" s="19"/>
      <c r="CE17" s="19"/>
      <c r="CF17" s="19"/>
      <c r="CG17" s="19"/>
      <c r="CH17" s="19"/>
      <c r="CI17" s="20"/>
      <c r="CJ17" s="8" cm="1">
        <f t="array" ref="CJ17">Bin2DecRange($BD17:$CI17)</f>
        <v>8388608</v>
      </c>
      <c r="CK17" s="6" t="str">
        <f t="shared" si="7"/>
        <v>UF_Data[1].COND2[</v>
      </c>
      <c r="CL17" s="23">
        <f t="shared" si="19"/>
        <v>12</v>
      </c>
      <c r="CM17" s="70" t="s">
        <v>19</v>
      </c>
      <c r="CN17" s="18">
        <v>1</v>
      </c>
      <c r="CO17" s="19"/>
      <c r="CP17" s="19">
        <v>1</v>
      </c>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v>1</v>
      </c>
      <c r="DQ17" s="19"/>
      <c r="DR17" s="19"/>
      <c r="DS17" s="20"/>
      <c r="DT17" s="8" cm="1">
        <f t="array" ref="DT17">Bin2DecRange($CN17:$DS17)</f>
        <v>-1610612728</v>
      </c>
      <c r="DU17" s="6" t="str">
        <f t="shared" si="8"/>
        <v>UF_Data[1].COND3[</v>
      </c>
      <c r="DV17" s="23">
        <f t="shared" si="20"/>
        <v>12</v>
      </c>
      <c r="DW17" s="70" t="s">
        <v>19</v>
      </c>
      <c r="DX17" s="21"/>
      <c r="DY17" s="19"/>
      <c r="DZ17" s="19"/>
      <c r="EA17" s="19"/>
      <c r="EB17" s="19"/>
      <c r="EC17" s="19"/>
      <c r="ED17" s="19"/>
      <c r="EE17" s="19"/>
      <c r="EF17" s="19"/>
      <c r="EG17" s="19"/>
      <c r="EH17" s="19"/>
      <c r="EI17" s="19"/>
      <c r="EJ17" s="19"/>
      <c r="EK17" s="19"/>
      <c r="EL17" s="19"/>
      <c r="EM17" s="19"/>
      <c r="EN17" s="19"/>
      <c r="EO17" s="19"/>
      <c r="EP17" s="19"/>
      <c r="EQ17" s="19"/>
      <c r="ER17" s="19"/>
      <c r="ES17" s="19"/>
      <c r="ET17" s="19"/>
      <c r="EU17" s="19"/>
      <c r="EV17" s="19"/>
      <c r="EW17" s="19">
        <v>1</v>
      </c>
      <c r="EX17" s="19">
        <v>1</v>
      </c>
      <c r="EY17" s="19"/>
      <c r="EZ17" s="19"/>
      <c r="FA17" s="19"/>
      <c r="FB17" s="19"/>
      <c r="FC17" s="20"/>
      <c r="FD17" s="8">
        <f t="array" ref="FD17">Bin2DecRange($DX17:$FC17)</f>
        <v>96</v>
      </c>
      <c r="FE17" s="6" t="str">
        <f t="shared" si="9"/>
        <v>UF_Data[1].ACT1[</v>
      </c>
      <c r="FF17" s="23">
        <f t="shared" si="21"/>
        <v>12</v>
      </c>
      <c r="FG17" s="70" t="s">
        <v>19</v>
      </c>
      <c r="FH17" s="21"/>
      <c r="FI17" s="19"/>
      <c r="FJ17" s="19"/>
      <c r="FK17" s="19"/>
      <c r="FL17" s="19"/>
      <c r="FM17" s="19"/>
      <c r="FN17" s="19"/>
      <c r="FO17" s="19"/>
      <c r="FP17" s="19"/>
      <c r="FQ17" s="19"/>
      <c r="FR17" s="19"/>
      <c r="FS17" s="19"/>
      <c r="FT17" s="19">
        <v>1</v>
      </c>
      <c r="FU17" s="19">
        <v>1</v>
      </c>
      <c r="FV17" s="19"/>
      <c r="FW17" s="19">
        <v>1</v>
      </c>
      <c r="FX17" s="19">
        <v>1</v>
      </c>
      <c r="FY17" s="19"/>
      <c r="FZ17" s="19"/>
      <c r="GA17" s="19"/>
      <c r="GB17" s="19"/>
      <c r="GC17" s="19"/>
      <c r="GD17" s="19"/>
      <c r="GE17" s="19"/>
      <c r="GF17" s="19"/>
      <c r="GG17" s="19"/>
      <c r="GH17" s="19"/>
      <c r="GI17" s="19"/>
      <c r="GJ17" s="19"/>
      <c r="GK17" s="19"/>
      <c r="GL17" s="19"/>
      <c r="GM17" s="20"/>
      <c r="GN17" s="8" cm="1">
        <f t="array" ref="GN17">Bin2DecRange($FH17:$GM17)</f>
        <v>884736</v>
      </c>
      <c r="GO17" s="6" t="str">
        <f t="shared" si="10"/>
        <v>UF_Data[1].ACT2[</v>
      </c>
      <c r="GP17" s="23">
        <f t="shared" si="22"/>
        <v>12</v>
      </c>
      <c r="GQ17" s="70" t="s">
        <v>19</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v>1</v>
      </c>
      <c r="HR17" s="19"/>
      <c r="HS17" s="19"/>
      <c r="HT17" s="19"/>
      <c r="HU17" s="19">
        <v>1</v>
      </c>
      <c r="HV17" s="19">
        <v>1</v>
      </c>
      <c r="HW17" s="20">
        <v>1</v>
      </c>
      <c r="HX17" s="8" cm="1">
        <f t="array" ref="HX17">Bin2DecRange($GR17:$HW17)</f>
        <v>71</v>
      </c>
      <c r="HY17" s="6" t="str">
        <f t="shared" si="11"/>
        <v>UF_Data[1].ACT5[</v>
      </c>
      <c r="HZ17" s="23">
        <f t="shared" si="23"/>
        <v>12</v>
      </c>
      <c r="IA17" s="70" t="s">
        <v>19</v>
      </c>
      <c r="IB17" s="21"/>
      <c r="IC17" s="19"/>
      <c r="ID17" s="19"/>
      <c r="IE17" s="19"/>
      <c r="IF17" s="19"/>
      <c r="IG17" s="19"/>
      <c r="IH17" s="19"/>
      <c r="II17" s="19"/>
      <c r="IJ17" s="19"/>
      <c r="IK17" s="19"/>
      <c r="IL17" s="19"/>
      <c r="IM17" s="19"/>
      <c r="IN17" s="19"/>
      <c r="IO17" s="19"/>
      <c r="IP17" s="19"/>
      <c r="IQ17" s="19"/>
      <c r="IR17" s="19"/>
      <c r="IS17" s="19"/>
      <c r="IT17" s="19"/>
      <c r="IU17" s="19"/>
      <c r="IV17" s="19"/>
      <c r="IW17" s="19"/>
      <c r="IX17" s="19"/>
      <c r="IY17" s="19"/>
      <c r="IZ17" s="19"/>
      <c r="JA17" s="19"/>
      <c r="JB17" s="19"/>
      <c r="JC17" s="19"/>
      <c r="JD17" s="19"/>
      <c r="JE17" s="19"/>
      <c r="JF17" s="19"/>
      <c r="JG17" s="20"/>
      <c r="JH17" s="8" cm="1">
        <f t="array" ref="JH17">Bin2DecRange($IB17:$JG17)</f>
        <v>0</v>
      </c>
      <c r="JI17" s="6" t="str">
        <f t="shared" si="12"/>
        <v>UF_Data[1].ACT6[</v>
      </c>
      <c r="JJ17" s="23">
        <f t="shared" si="24"/>
        <v>12</v>
      </c>
      <c r="JK17" s="70" t="s">
        <v>19</v>
      </c>
      <c r="JL17" s="10" t="s">
        <v>243</v>
      </c>
      <c r="JM17" s="6" t="str">
        <f t="shared" si="13"/>
        <v>UF_Data[1].STEP_DESC[</v>
      </c>
      <c r="JN17" s="23">
        <f t="shared" si="25"/>
        <v>12</v>
      </c>
      <c r="JO17" s="70" t="s">
        <v>19</v>
      </c>
    </row>
    <row r="18" spans="1:275" x14ac:dyDescent="0.25">
      <c r="A18" s="8">
        <v>13</v>
      </c>
      <c r="B18" s="8" t="str">
        <f t="shared" si="0"/>
        <v>PUMP DOWN TANKS</v>
      </c>
      <c r="C18" s="10"/>
      <c r="D18" s="6" t="str">
        <f t="shared" si="1"/>
        <v>UF_Data[1].ACK_DESC[</v>
      </c>
      <c r="E18" s="23">
        <f t="shared" si="14"/>
        <v>13</v>
      </c>
      <c r="F18" s="70" t="s">
        <v>19</v>
      </c>
      <c r="G18" s="79">
        <v>0</v>
      </c>
      <c r="H18" s="6" t="str">
        <f t="shared" si="2"/>
        <v>UF_Data[1].MIN[</v>
      </c>
      <c r="I18" s="23">
        <f t="shared" si="15"/>
        <v>13</v>
      </c>
      <c r="J18" s="70" t="s">
        <v>19</v>
      </c>
      <c r="K18" s="79">
        <v>1</v>
      </c>
      <c r="L18" s="6" t="str">
        <f t="shared" si="3"/>
        <v>UF_Data[1].SEC[</v>
      </c>
      <c r="M18" s="23">
        <f t="shared" si="16"/>
        <v>13</v>
      </c>
      <c r="N18" s="70" t="s">
        <v>19</v>
      </c>
      <c r="O18" s="81">
        <v>0</v>
      </c>
      <c r="P18" s="6" t="str">
        <f t="shared" si="4"/>
        <v>UF_Data[1].SETPOINT[</v>
      </c>
      <c r="Q18" s="23">
        <f t="shared" si="17"/>
        <v>13</v>
      </c>
      <c r="R18" s="70" t="s">
        <v>19</v>
      </c>
      <c r="S18" s="9" t="str">
        <f t="shared" si="5"/>
        <v>P</v>
      </c>
      <c r="T18" s="18"/>
      <c r="U18" s="19"/>
      <c r="V18" s="19"/>
      <c r="W18" s="19"/>
      <c r="X18" s="19"/>
      <c r="Y18" s="19"/>
      <c r="Z18" s="19"/>
      <c r="AA18" s="19"/>
      <c r="AB18" s="19">
        <v>1</v>
      </c>
      <c r="AC18" s="19"/>
      <c r="AD18" s="19">
        <v>1</v>
      </c>
      <c r="AE18" s="19"/>
      <c r="AF18" s="19"/>
      <c r="AG18" s="19"/>
      <c r="AH18" s="19"/>
      <c r="AI18" s="19"/>
      <c r="AJ18" s="19"/>
      <c r="AK18" s="19"/>
      <c r="AL18" s="19"/>
      <c r="AM18" s="19"/>
      <c r="AN18" s="19"/>
      <c r="AO18" s="19"/>
      <c r="AP18" s="19">
        <v>1</v>
      </c>
      <c r="AQ18" s="19"/>
      <c r="AR18" s="19"/>
      <c r="AS18" s="19"/>
      <c r="AT18" s="19"/>
      <c r="AU18" s="19"/>
      <c r="AV18" s="19"/>
      <c r="AW18" s="19"/>
      <c r="AX18" s="19"/>
      <c r="AY18" s="20"/>
      <c r="AZ18" s="8">
        <f t="array" ref="AZ18">Bin2DecRange($T18:$AY18)</f>
        <v>10486272</v>
      </c>
      <c r="BA18" s="6" t="str">
        <f t="shared" si="6"/>
        <v>UF_Data[1].COND1[</v>
      </c>
      <c r="BB18" s="23">
        <f t="shared" si="18"/>
        <v>13</v>
      </c>
      <c r="BC18" s="70" t="s">
        <v>19</v>
      </c>
      <c r="BD18" s="18"/>
      <c r="BE18" s="19"/>
      <c r="BF18" s="19"/>
      <c r="BG18" s="19"/>
      <c r="BH18" s="19"/>
      <c r="BI18" s="19"/>
      <c r="BJ18" s="19"/>
      <c r="BK18" s="19"/>
      <c r="BL18" s="19">
        <v>1</v>
      </c>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8388608</v>
      </c>
      <c r="CK18" s="6" t="str">
        <f t="shared" si="7"/>
        <v>UF_Data[1].COND2[</v>
      </c>
      <c r="CL18" s="23">
        <f t="shared" si="19"/>
        <v>13</v>
      </c>
      <c r="CM18" s="70" t="s">
        <v>19</v>
      </c>
      <c r="CN18" s="18"/>
      <c r="CO18" s="19">
        <v>1</v>
      </c>
      <c r="CP18" s="19"/>
      <c r="CQ18" s="19">
        <v>1</v>
      </c>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1342177280</v>
      </c>
      <c r="DU18" s="6" t="str">
        <f t="shared" si="8"/>
        <v>UF_Data[1].COND3[</v>
      </c>
      <c r="DV18" s="23">
        <f t="shared" si="20"/>
        <v>13</v>
      </c>
      <c r="DW18" s="70" t="s">
        <v>19</v>
      </c>
      <c r="DX18" s="21"/>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0</v>
      </c>
      <c r="FE18" s="6" t="str">
        <f t="shared" si="9"/>
        <v>UF_Data[1].ACT1[</v>
      </c>
      <c r="FF18" s="23">
        <f t="shared" si="21"/>
        <v>13</v>
      </c>
      <c r="FG18" s="70" t="s">
        <v>19</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UF_Data[1].ACT2[</v>
      </c>
      <c r="GP18" s="23">
        <f t="shared" si="22"/>
        <v>13</v>
      </c>
      <c r="GQ18" s="70" t="s">
        <v>19</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v>1</v>
      </c>
      <c r="HW18" s="20">
        <v>1</v>
      </c>
      <c r="HX18" s="8" cm="1">
        <f t="array" ref="HX18">Bin2DecRange($GR18:$HW18)</f>
        <v>3</v>
      </c>
      <c r="HY18" s="6" t="str">
        <f t="shared" si="11"/>
        <v>UF_Data[1].ACT5[</v>
      </c>
      <c r="HZ18" s="23">
        <f t="shared" si="23"/>
        <v>13</v>
      </c>
      <c r="IA18" s="70" t="s">
        <v>19</v>
      </c>
      <c r="IB18" s="21"/>
      <c r="IC18" s="19"/>
      <c r="ID18" s="19"/>
      <c r="IE18" s="19"/>
      <c r="IF18" s="19"/>
      <c r="IG18" s="19"/>
      <c r="IH18" s="19"/>
      <c r="II18" s="19"/>
      <c r="IJ18" s="19"/>
      <c r="IK18" s="19"/>
      <c r="IL18" s="19"/>
      <c r="IM18" s="19"/>
      <c r="IN18" s="19"/>
      <c r="IO18" s="19"/>
      <c r="IP18" s="19"/>
      <c r="IQ18" s="19"/>
      <c r="IR18" s="19"/>
      <c r="IS18" s="19"/>
      <c r="IT18" s="19"/>
      <c r="IU18" s="19"/>
      <c r="IV18" s="19"/>
      <c r="IW18" s="19"/>
      <c r="IX18" s="19"/>
      <c r="IY18" s="19"/>
      <c r="IZ18" s="19"/>
      <c r="JA18" s="19"/>
      <c r="JB18" s="19"/>
      <c r="JC18" s="19"/>
      <c r="JD18" s="19"/>
      <c r="JE18" s="19"/>
      <c r="JF18" s="19"/>
      <c r="JG18" s="20"/>
      <c r="JH18" s="8" cm="1">
        <f t="array" ref="JH18">Bin2DecRange($IB18:$JG18)</f>
        <v>0</v>
      </c>
      <c r="JI18" s="6" t="str">
        <f t="shared" si="12"/>
        <v>UF_Data[1].ACT6[</v>
      </c>
      <c r="JJ18" s="23">
        <f t="shared" si="24"/>
        <v>13</v>
      </c>
      <c r="JK18" s="70" t="s">
        <v>19</v>
      </c>
      <c r="JL18" s="10" t="s">
        <v>244</v>
      </c>
      <c r="JM18" s="6" t="str">
        <f t="shared" si="13"/>
        <v>UF_Data[1].STEP_DESC[</v>
      </c>
      <c r="JN18" s="23">
        <f t="shared" si="25"/>
        <v>13</v>
      </c>
      <c r="JO18" s="70" t="s">
        <v>19</v>
      </c>
    </row>
    <row r="19" spans="1:275" x14ac:dyDescent="0.25">
      <c r="A19" s="8">
        <v>14</v>
      </c>
      <c r="B19" s="8" t="str">
        <f t="shared" si="0"/>
        <v>PAUSE</v>
      </c>
      <c r="C19" s="10"/>
      <c r="D19" s="6" t="str">
        <f t="shared" si="1"/>
        <v>UF_Data[1].ACK_DESC[</v>
      </c>
      <c r="E19" s="23">
        <f t="shared" si="14"/>
        <v>14</v>
      </c>
      <c r="F19" s="70" t="s">
        <v>19</v>
      </c>
      <c r="G19" s="79">
        <v>0</v>
      </c>
      <c r="H19" s="6" t="str">
        <f t="shared" si="2"/>
        <v>UF_Data[1].MIN[</v>
      </c>
      <c r="I19" s="23">
        <f t="shared" si="15"/>
        <v>14</v>
      </c>
      <c r="J19" s="70" t="s">
        <v>19</v>
      </c>
      <c r="K19" s="79">
        <v>10</v>
      </c>
      <c r="L19" s="6" t="str">
        <f t="shared" si="3"/>
        <v>UF_Data[1].SEC[</v>
      </c>
      <c r="M19" s="23">
        <f t="shared" si="16"/>
        <v>14</v>
      </c>
      <c r="N19" s="70" t="s">
        <v>19</v>
      </c>
      <c r="O19" s="81">
        <v>0</v>
      </c>
      <c r="P19" s="6" t="str">
        <f t="shared" si="4"/>
        <v>UF_Data[1].SETPOINT[</v>
      </c>
      <c r="Q19" s="23">
        <f t="shared" si="17"/>
        <v>14</v>
      </c>
      <c r="R19" s="70" t="s">
        <v>19</v>
      </c>
      <c r="S19" s="9" t="str">
        <f t="shared" si="5"/>
        <v>P</v>
      </c>
      <c r="T19" s="18"/>
      <c r="U19" s="19"/>
      <c r="V19" s="19"/>
      <c r="W19" s="19"/>
      <c r="X19" s="19"/>
      <c r="Y19" s="19"/>
      <c r="Z19" s="19"/>
      <c r="AA19" s="19"/>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512</v>
      </c>
      <c r="BA19" s="6" t="str">
        <f t="shared" si="6"/>
        <v>UF_Data[1].COND1[</v>
      </c>
      <c r="BB19" s="23">
        <f t="shared" si="18"/>
        <v>14</v>
      </c>
      <c r="BC19" s="70" t="s">
        <v>19</v>
      </c>
      <c r="BD19" s="18"/>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20"/>
      <c r="CJ19" s="8" cm="1">
        <f t="array" ref="CJ19">Bin2DecRange($BD19:$CI19)</f>
        <v>0</v>
      </c>
      <c r="CK19" s="6" t="str">
        <f t="shared" si="7"/>
        <v>UF_Data[1].COND2[</v>
      </c>
      <c r="CL19" s="23">
        <f t="shared" si="19"/>
        <v>14</v>
      </c>
      <c r="CM19" s="70" t="s">
        <v>19</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UF_Data[1].COND3[</v>
      </c>
      <c r="DV19" s="23">
        <f t="shared" si="20"/>
        <v>14</v>
      </c>
      <c r="DW19" s="70" t="s">
        <v>19</v>
      </c>
      <c r="DX19" s="21"/>
      <c r="DY19" s="19"/>
      <c r="DZ19" s="19"/>
      <c r="EA19" s="19"/>
      <c r="EB19" s="19"/>
      <c r="EC19" s="19"/>
      <c r="ED19" s="19"/>
      <c r="EE19" s="19"/>
      <c r="EF19" s="19"/>
      <c r="EG19" s="19"/>
      <c r="EH19" s="19"/>
      <c r="EI19" s="19"/>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0</v>
      </c>
      <c r="FE19" s="6" t="str">
        <f t="shared" si="9"/>
        <v>UF_Data[1].ACT1[</v>
      </c>
      <c r="FF19" s="23">
        <f t="shared" si="21"/>
        <v>14</v>
      </c>
      <c r="FG19" s="70" t="s">
        <v>19</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UF_Data[1].ACT2[</v>
      </c>
      <c r="GP19" s="23">
        <f t="shared" si="22"/>
        <v>14</v>
      </c>
      <c r="GQ19" s="70" t="s">
        <v>19</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UF_Data[1].ACT5[</v>
      </c>
      <c r="HZ19" s="23">
        <f t="shared" si="23"/>
        <v>14</v>
      </c>
      <c r="IA19" s="70" t="s">
        <v>19</v>
      </c>
      <c r="IB19" s="21"/>
      <c r="IC19" s="19"/>
      <c r="ID19" s="19"/>
      <c r="IE19" s="19"/>
      <c r="IF19" s="19"/>
      <c r="IG19" s="19"/>
      <c r="IH19" s="19"/>
      <c r="II19" s="19"/>
      <c r="IJ19" s="19"/>
      <c r="IK19" s="19"/>
      <c r="IL19" s="19"/>
      <c r="IM19" s="19"/>
      <c r="IN19" s="19"/>
      <c r="IO19" s="19"/>
      <c r="IP19" s="19"/>
      <c r="IQ19" s="19"/>
      <c r="IR19" s="19"/>
      <c r="IS19" s="19"/>
      <c r="IT19" s="19"/>
      <c r="IU19" s="19"/>
      <c r="IV19" s="19"/>
      <c r="IW19" s="19"/>
      <c r="IX19" s="19"/>
      <c r="IY19" s="19"/>
      <c r="IZ19" s="19"/>
      <c r="JA19" s="19"/>
      <c r="JB19" s="19"/>
      <c r="JC19" s="19"/>
      <c r="JD19" s="19"/>
      <c r="JE19" s="19"/>
      <c r="JF19" s="19"/>
      <c r="JG19" s="20"/>
      <c r="JH19" s="8" cm="1">
        <f t="array" ref="JH19">Bin2DecRange($IB19:$JG19)</f>
        <v>0</v>
      </c>
      <c r="JI19" s="6" t="str">
        <f t="shared" si="12"/>
        <v>UF_Data[1].ACT6[</v>
      </c>
      <c r="JJ19" s="23">
        <f t="shared" si="24"/>
        <v>14</v>
      </c>
      <c r="JK19" s="70" t="s">
        <v>19</v>
      </c>
      <c r="JL19" s="10" t="s">
        <v>128</v>
      </c>
      <c r="JM19" s="6" t="str">
        <f t="shared" si="13"/>
        <v>UF_Data[1].STEP_DESC[</v>
      </c>
      <c r="JN19" s="23">
        <f t="shared" si="25"/>
        <v>14</v>
      </c>
      <c r="JO19" s="70" t="s">
        <v>19</v>
      </c>
    </row>
    <row r="20" spans="1:275" x14ac:dyDescent="0.25">
      <c r="A20" s="8">
        <v>15</v>
      </c>
      <c r="B20" s="8" t="str">
        <f t="shared" si="0"/>
        <v>CYCLE COMPLETE</v>
      </c>
      <c r="C20" s="10"/>
      <c r="D20" s="6" t="str">
        <f t="shared" si="1"/>
        <v>UF_Data[1].ACK_DESC[</v>
      </c>
      <c r="E20" s="23">
        <f t="shared" si="14"/>
        <v>15</v>
      </c>
      <c r="F20" s="70" t="s">
        <v>19</v>
      </c>
      <c r="G20" s="79">
        <v>0</v>
      </c>
      <c r="H20" s="6" t="str">
        <f t="shared" si="2"/>
        <v>UF_Data[1].MIN[</v>
      </c>
      <c r="I20" s="23">
        <f t="shared" si="15"/>
        <v>15</v>
      </c>
      <c r="J20" s="70" t="s">
        <v>19</v>
      </c>
      <c r="K20" s="79">
        <v>1</v>
      </c>
      <c r="L20" s="6" t="str">
        <f t="shared" si="3"/>
        <v>UF_Data[1].SEC[</v>
      </c>
      <c r="M20" s="23">
        <f t="shared" si="16"/>
        <v>15</v>
      </c>
      <c r="N20" s="70" t="s">
        <v>19</v>
      </c>
      <c r="O20" s="81">
        <v>0</v>
      </c>
      <c r="P20" s="6" t="str">
        <f t="shared" si="4"/>
        <v>UF_Data[1].SETPOINT[</v>
      </c>
      <c r="Q20" s="23">
        <f t="shared" si="17"/>
        <v>15</v>
      </c>
      <c r="R20" s="70" t="s">
        <v>19</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v>1</v>
      </c>
      <c r="AZ20" s="8">
        <f t="array" ref="AZ20">Bin2DecRange($T20:$AY20)</f>
        <v>1</v>
      </c>
      <c r="BA20" s="6" t="str">
        <f t="shared" si="6"/>
        <v>UF_Data[1].COND1[</v>
      </c>
      <c r="BB20" s="23">
        <f t="shared" si="18"/>
        <v>15</v>
      </c>
      <c r="BC20" s="70" t="s">
        <v>19</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0</v>
      </c>
      <c r="CK20" s="6" t="str">
        <f t="shared" si="7"/>
        <v>UF_Data[1].COND2[</v>
      </c>
      <c r="CL20" s="23">
        <f t="shared" si="19"/>
        <v>15</v>
      </c>
      <c r="CM20" s="70" t="s">
        <v>19</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UF_Data[1].COND3[</v>
      </c>
      <c r="DV20" s="23">
        <f t="shared" si="20"/>
        <v>15</v>
      </c>
      <c r="DW20" s="70" t="s">
        <v>19</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UF_Data[1].ACT1[</v>
      </c>
      <c r="FF20" s="23">
        <f t="shared" si="21"/>
        <v>15</v>
      </c>
      <c r="FG20" s="70" t="s">
        <v>19</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UF_Data[1].ACT2[</v>
      </c>
      <c r="GP20" s="23">
        <f t="shared" si="22"/>
        <v>15</v>
      </c>
      <c r="GQ20" s="70" t="s">
        <v>19</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UF_Data[1].ACT5[</v>
      </c>
      <c r="HZ20" s="23">
        <f t="shared" si="23"/>
        <v>15</v>
      </c>
      <c r="IA20" s="70" t="s">
        <v>19</v>
      </c>
      <c r="IB20" s="21"/>
      <c r="IC20" s="19"/>
      <c r="ID20" s="19"/>
      <c r="IE20" s="19"/>
      <c r="IF20" s="19"/>
      <c r="IG20" s="19"/>
      <c r="IH20" s="19"/>
      <c r="II20" s="19"/>
      <c r="IJ20" s="19"/>
      <c r="IK20" s="19"/>
      <c r="IL20" s="19"/>
      <c r="IM20" s="19"/>
      <c r="IN20" s="19"/>
      <c r="IO20" s="19"/>
      <c r="IP20" s="19"/>
      <c r="IQ20" s="19"/>
      <c r="IR20" s="19"/>
      <c r="IS20" s="19"/>
      <c r="IT20" s="19"/>
      <c r="IU20" s="19"/>
      <c r="IV20" s="19"/>
      <c r="IW20" s="19"/>
      <c r="IX20" s="19"/>
      <c r="IY20" s="19"/>
      <c r="IZ20" s="19"/>
      <c r="JA20" s="19"/>
      <c r="JB20" s="19"/>
      <c r="JC20" s="19"/>
      <c r="JD20" s="19"/>
      <c r="JE20" s="19"/>
      <c r="JF20" s="19"/>
      <c r="JG20" s="20"/>
      <c r="JH20" s="8" cm="1">
        <f t="array" ref="JH20">Bin2DecRange($IB20:$JG20)</f>
        <v>0</v>
      </c>
      <c r="JI20" s="6" t="str">
        <f t="shared" si="12"/>
        <v>UF_Data[1].ACT6[</v>
      </c>
      <c r="JJ20" s="23">
        <f t="shared" si="24"/>
        <v>15</v>
      </c>
      <c r="JK20" s="70" t="s">
        <v>19</v>
      </c>
      <c r="JL20" s="10" t="s">
        <v>129</v>
      </c>
      <c r="JM20" s="6" t="str">
        <f t="shared" si="13"/>
        <v>UF_Data[1].STEP_DESC[</v>
      </c>
      <c r="JN20" s="23">
        <f t="shared" si="25"/>
        <v>15</v>
      </c>
      <c r="JO20" s="70" t="s">
        <v>19</v>
      </c>
    </row>
    <row r="21" spans="1:275" x14ac:dyDescent="0.25">
      <c r="A21" s="8">
        <v>16</v>
      </c>
      <c r="B21" s="8" t="str">
        <f t="shared" si="0"/>
        <v/>
      </c>
      <c r="C21" s="10"/>
      <c r="D21" s="6" t="str">
        <f t="shared" si="1"/>
        <v>UF_Data[1].ACK_DESC[</v>
      </c>
      <c r="E21" s="23">
        <f t="shared" si="14"/>
        <v>16</v>
      </c>
      <c r="F21" s="70" t="s">
        <v>19</v>
      </c>
      <c r="G21" s="79">
        <v>0</v>
      </c>
      <c r="H21" s="6" t="str">
        <f t="shared" si="2"/>
        <v>UF_Data[1].MIN[</v>
      </c>
      <c r="I21" s="23">
        <f t="shared" si="15"/>
        <v>16</v>
      </c>
      <c r="J21" s="70" t="s">
        <v>19</v>
      </c>
      <c r="K21" s="79">
        <v>0</v>
      </c>
      <c r="L21" s="6" t="str">
        <f t="shared" si="3"/>
        <v>UF_Data[1].SEC[</v>
      </c>
      <c r="M21" s="23">
        <f t="shared" si="16"/>
        <v>16</v>
      </c>
      <c r="N21" s="70" t="s">
        <v>19</v>
      </c>
      <c r="O21" s="81">
        <v>0</v>
      </c>
      <c r="P21" s="6" t="str">
        <f t="shared" si="4"/>
        <v>UF_Data[1].SETPOINT[</v>
      </c>
      <c r="Q21" s="23">
        <f t="shared" si="17"/>
        <v>16</v>
      </c>
      <c r="R21" s="70" t="s">
        <v>19</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UF_Data[1].COND1[</v>
      </c>
      <c r="BB21" s="23">
        <f t="shared" si="18"/>
        <v>16</v>
      </c>
      <c r="BC21" s="70" t="s">
        <v>19</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UF_Data[1].COND2[</v>
      </c>
      <c r="CL21" s="23">
        <f t="shared" si="19"/>
        <v>16</v>
      </c>
      <c r="CM21" s="70" t="s">
        <v>19</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UF_Data[1].COND3[</v>
      </c>
      <c r="DV21" s="23">
        <f t="shared" si="20"/>
        <v>16</v>
      </c>
      <c r="DW21" s="70" t="s">
        <v>19</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UF_Data[1].ACT1[</v>
      </c>
      <c r="FF21" s="23">
        <f t="shared" si="21"/>
        <v>16</v>
      </c>
      <c r="FG21" s="70" t="s">
        <v>19</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UF_Data[1].ACT2[</v>
      </c>
      <c r="GP21" s="23">
        <f t="shared" si="22"/>
        <v>16</v>
      </c>
      <c r="GQ21" s="70" t="s">
        <v>19</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UF_Data[1].ACT5[</v>
      </c>
      <c r="HZ21" s="23">
        <f t="shared" si="23"/>
        <v>16</v>
      </c>
      <c r="IA21" s="70" t="s">
        <v>19</v>
      </c>
      <c r="IB21" s="21"/>
      <c r="IC21" s="19"/>
      <c r="ID21" s="19"/>
      <c r="IE21" s="19"/>
      <c r="IF21" s="19"/>
      <c r="IG21" s="19"/>
      <c r="IH21" s="19"/>
      <c r="II21" s="19"/>
      <c r="IJ21" s="19"/>
      <c r="IK21" s="19"/>
      <c r="IL21" s="19"/>
      <c r="IM21" s="19"/>
      <c r="IN21" s="19"/>
      <c r="IO21" s="19"/>
      <c r="IP21" s="19"/>
      <c r="IQ21" s="19"/>
      <c r="IR21" s="19"/>
      <c r="IS21" s="19"/>
      <c r="IT21" s="19"/>
      <c r="IU21" s="19"/>
      <c r="IV21" s="19"/>
      <c r="IW21" s="19"/>
      <c r="IX21" s="19"/>
      <c r="IY21" s="19"/>
      <c r="IZ21" s="19"/>
      <c r="JA21" s="19"/>
      <c r="JB21" s="19"/>
      <c r="JC21" s="19"/>
      <c r="JD21" s="19"/>
      <c r="JE21" s="19"/>
      <c r="JF21" s="19"/>
      <c r="JG21" s="20"/>
      <c r="JH21" s="8" cm="1">
        <f t="array" ref="JH21">Bin2DecRange($IB21:$JG21)</f>
        <v>0</v>
      </c>
      <c r="JI21" s="6" t="str">
        <f t="shared" si="12"/>
        <v>UF_Data[1].ACT6[</v>
      </c>
      <c r="JJ21" s="23">
        <f t="shared" si="24"/>
        <v>16</v>
      </c>
      <c r="JK21" s="70" t="s">
        <v>19</v>
      </c>
      <c r="JL21" s="10"/>
      <c r="JM21" s="6" t="str">
        <f t="shared" si="13"/>
        <v>UF_Data[1].STEP_DESC[</v>
      </c>
      <c r="JN21" s="23">
        <f t="shared" si="25"/>
        <v>16</v>
      </c>
      <c r="JO21" s="70" t="s">
        <v>19</v>
      </c>
    </row>
    <row r="22" spans="1:275" x14ac:dyDescent="0.25">
      <c r="A22" s="8">
        <v>17</v>
      </c>
      <c r="B22" s="8" t="str">
        <f t="shared" si="0"/>
        <v/>
      </c>
      <c r="C22" s="10"/>
      <c r="D22" s="6" t="str">
        <f t="shared" si="1"/>
        <v>UF_Data[1].ACK_DESC[</v>
      </c>
      <c r="E22" s="23">
        <f t="shared" si="14"/>
        <v>17</v>
      </c>
      <c r="F22" s="70" t="s">
        <v>19</v>
      </c>
      <c r="G22" s="79">
        <v>0</v>
      </c>
      <c r="H22" s="6" t="str">
        <f t="shared" si="2"/>
        <v>UF_Data[1].MIN[</v>
      </c>
      <c r="I22" s="23">
        <f t="shared" si="15"/>
        <v>17</v>
      </c>
      <c r="J22" s="70" t="s">
        <v>19</v>
      </c>
      <c r="K22" s="79">
        <v>0</v>
      </c>
      <c r="L22" s="6" t="str">
        <f t="shared" si="3"/>
        <v>UF_Data[1].SEC[</v>
      </c>
      <c r="M22" s="23">
        <f t="shared" si="16"/>
        <v>17</v>
      </c>
      <c r="N22" s="70" t="s">
        <v>19</v>
      </c>
      <c r="O22" s="81">
        <v>0</v>
      </c>
      <c r="P22" s="6" t="str">
        <f t="shared" si="4"/>
        <v>UF_Data[1].SETPOINT[</v>
      </c>
      <c r="Q22" s="23">
        <f t="shared" si="17"/>
        <v>17</v>
      </c>
      <c r="R22" s="70" t="s">
        <v>19</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UF_Data[1].COND1[</v>
      </c>
      <c r="BB22" s="23">
        <f t="shared" si="18"/>
        <v>17</v>
      </c>
      <c r="BC22" s="70" t="s">
        <v>19</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UF_Data[1].COND2[</v>
      </c>
      <c r="CL22" s="23">
        <f t="shared" si="19"/>
        <v>17</v>
      </c>
      <c r="CM22" s="70" t="s">
        <v>19</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UF_Data[1].COND3[</v>
      </c>
      <c r="DV22" s="23">
        <f t="shared" si="20"/>
        <v>17</v>
      </c>
      <c r="DW22" s="70" t="s">
        <v>19</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UF_Data[1].ACT1[</v>
      </c>
      <c r="FF22" s="23">
        <f t="shared" si="21"/>
        <v>17</v>
      </c>
      <c r="FG22" s="70" t="s">
        <v>19</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UF_Data[1].ACT2[</v>
      </c>
      <c r="GP22" s="23">
        <f t="shared" si="22"/>
        <v>17</v>
      </c>
      <c r="GQ22" s="70" t="s">
        <v>19</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UF_Data[1].ACT5[</v>
      </c>
      <c r="HZ22" s="23">
        <f t="shared" si="23"/>
        <v>17</v>
      </c>
      <c r="IA22" s="70" t="s">
        <v>19</v>
      </c>
      <c r="IB22" s="21"/>
      <c r="IC22" s="19"/>
      <c r="ID22" s="19"/>
      <c r="IE22" s="19"/>
      <c r="IF22" s="19"/>
      <c r="IG22" s="19"/>
      <c r="IH22" s="19"/>
      <c r="II22" s="19"/>
      <c r="IJ22" s="19"/>
      <c r="IK22" s="19"/>
      <c r="IL22" s="19"/>
      <c r="IM22" s="19"/>
      <c r="IN22" s="19"/>
      <c r="IO22" s="19"/>
      <c r="IP22" s="19"/>
      <c r="IQ22" s="19"/>
      <c r="IR22" s="19"/>
      <c r="IS22" s="19"/>
      <c r="IT22" s="19"/>
      <c r="IU22" s="19"/>
      <c r="IV22" s="19"/>
      <c r="IW22" s="19"/>
      <c r="IX22" s="19"/>
      <c r="IY22" s="19"/>
      <c r="IZ22" s="19"/>
      <c r="JA22" s="19"/>
      <c r="JB22" s="19"/>
      <c r="JC22" s="19"/>
      <c r="JD22" s="19"/>
      <c r="JE22" s="19"/>
      <c r="JF22" s="19"/>
      <c r="JG22" s="20"/>
      <c r="JH22" s="8" cm="1">
        <f t="array" ref="JH22">Bin2DecRange($IB22:$JG22)</f>
        <v>0</v>
      </c>
      <c r="JI22" s="6" t="str">
        <f t="shared" si="12"/>
        <v>UF_Data[1].ACT6[</v>
      </c>
      <c r="JJ22" s="23">
        <f t="shared" si="24"/>
        <v>17</v>
      </c>
      <c r="JK22" s="70" t="s">
        <v>19</v>
      </c>
      <c r="JL22" s="10"/>
      <c r="JM22" s="6" t="str">
        <f t="shared" si="13"/>
        <v>UF_Data[1].STEP_DESC[</v>
      </c>
      <c r="JN22" s="23">
        <f t="shared" si="25"/>
        <v>17</v>
      </c>
      <c r="JO22" s="70" t="s">
        <v>19</v>
      </c>
    </row>
    <row r="23" spans="1:275" x14ac:dyDescent="0.25">
      <c r="A23" s="8">
        <v>18</v>
      </c>
      <c r="B23" s="8" t="str">
        <f t="shared" si="0"/>
        <v/>
      </c>
      <c r="C23" s="10"/>
      <c r="D23" s="6" t="str">
        <f t="shared" si="1"/>
        <v>UF_Data[1].ACK_DESC[</v>
      </c>
      <c r="E23" s="23">
        <f t="shared" si="14"/>
        <v>18</v>
      </c>
      <c r="F23" s="70" t="s">
        <v>19</v>
      </c>
      <c r="G23" s="79">
        <v>0</v>
      </c>
      <c r="H23" s="6" t="str">
        <f t="shared" si="2"/>
        <v>UF_Data[1].MIN[</v>
      </c>
      <c r="I23" s="23">
        <f t="shared" si="15"/>
        <v>18</v>
      </c>
      <c r="J23" s="70" t="s">
        <v>19</v>
      </c>
      <c r="K23" s="79">
        <v>0</v>
      </c>
      <c r="L23" s="6" t="str">
        <f t="shared" si="3"/>
        <v>UF_Data[1].SEC[</v>
      </c>
      <c r="M23" s="23">
        <f t="shared" si="16"/>
        <v>18</v>
      </c>
      <c r="N23" s="70" t="s">
        <v>19</v>
      </c>
      <c r="O23" s="81">
        <v>0</v>
      </c>
      <c r="P23" s="6" t="str">
        <f t="shared" si="4"/>
        <v>UF_Data[1].SETPOINT[</v>
      </c>
      <c r="Q23" s="23">
        <f t="shared" si="17"/>
        <v>18</v>
      </c>
      <c r="R23" s="70" t="s">
        <v>19</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UF_Data[1].COND1[</v>
      </c>
      <c r="BB23" s="23">
        <f t="shared" si="18"/>
        <v>18</v>
      </c>
      <c r="BC23" s="70" t="s">
        <v>19</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UF_Data[1].COND2[</v>
      </c>
      <c r="CL23" s="23">
        <f t="shared" si="19"/>
        <v>18</v>
      </c>
      <c r="CM23" s="70" t="s">
        <v>19</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UF_Data[1].COND3[</v>
      </c>
      <c r="DV23" s="23">
        <f t="shared" si="20"/>
        <v>18</v>
      </c>
      <c r="DW23" s="70" t="s">
        <v>19</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UF_Data[1].ACT1[</v>
      </c>
      <c r="FF23" s="23">
        <f t="shared" si="21"/>
        <v>18</v>
      </c>
      <c r="FG23" s="70" t="s">
        <v>19</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UF_Data[1].ACT2[</v>
      </c>
      <c r="GP23" s="23">
        <f t="shared" si="22"/>
        <v>18</v>
      </c>
      <c r="GQ23" s="70" t="s">
        <v>19</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UF_Data[1].ACT5[</v>
      </c>
      <c r="HZ23" s="23">
        <f t="shared" si="23"/>
        <v>18</v>
      </c>
      <c r="IA23" s="70" t="s">
        <v>19</v>
      </c>
      <c r="IB23" s="21"/>
      <c r="IC23" s="19"/>
      <c r="ID23" s="19"/>
      <c r="IE23" s="19"/>
      <c r="IF23" s="19"/>
      <c r="IG23" s="19"/>
      <c r="IH23" s="19"/>
      <c r="II23" s="19"/>
      <c r="IJ23" s="19"/>
      <c r="IK23" s="19"/>
      <c r="IL23" s="19"/>
      <c r="IM23" s="19"/>
      <c r="IN23" s="19"/>
      <c r="IO23" s="19"/>
      <c r="IP23" s="19"/>
      <c r="IQ23" s="19"/>
      <c r="IR23" s="19"/>
      <c r="IS23" s="19"/>
      <c r="IT23" s="19"/>
      <c r="IU23" s="19"/>
      <c r="IV23" s="19"/>
      <c r="IW23" s="19"/>
      <c r="IX23" s="19"/>
      <c r="IY23" s="19"/>
      <c r="IZ23" s="19"/>
      <c r="JA23" s="19"/>
      <c r="JB23" s="19"/>
      <c r="JC23" s="19"/>
      <c r="JD23" s="19"/>
      <c r="JE23" s="19"/>
      <c r="JF23" s="19"/>
      <c r="JG23" s="20"/>
      <c r="JH23" s="8" cm="1">
        <f t="array" ref="JH23">Bin2DecRange($IB23:$JG23)</f>
        <v>0</v>
      </c>
      <c r="JI23" s="6" t="str">
        <f t="shared" si="12"/>
        <v>UF_Data[1].ACT6[</v>
      </c>
      <c r="JJ23" s="23">
        <f t="shared" si="24"/>
        <v>18</v>
      </c>
      <c r="JK23" s="70" t="s">
        <v>19</v>
      </c>
      <c r="JL23" s="10"/>
      <c r="JM23" s="6" t="str">
        <f t="shared" si="13"/>
        <v>UF_Data[1].STEP_DESC[</v>
      </c>
      <c r="JN23" s="23">
        <f t="shared" si="25"/>
        <v>18</v>
      </c>
      <c r="JO23" s="70" t="s">
        <v>19</v>
      </c>
    </row>
    <row r="24" spans="1:275" x14ac:dyDescent="0.25">
      <c r="A24" s="8">
        <v>19</v>
      </c>
      <c r="B24" s="8" t="str">
        <f t="shared" si="0"/>
        <v/>
      </c>
      <c r="C24" s="10"/>
      <c r="D24" s="6" t="str">
        <f t="shared" si="1"/>
        <v>UF_Data[1].ACK_DESC[</v>
      </c>
      <c r="E24" s="23">
        <f t="shared" si="14"/>
        <v>19</v>
      </c>
      <c r="F24" s="70" t="s">
        <v>19</v>
      </c>
      <c r="G24" s="79">
        <v>0</v>
      </c>
      <c r="H24" s="6" t="str">
        <f t="shared" si="2"/>
        <v>UF_Data[1].MIN[</v>
      </c>
      <c r="I24" s="23">
        <f t="shared" si="15"/>
        <v>19</v>
      </c>
      <c r="J24" s="70" t="s">
        <v>19</v>
      </c>
      <c r="K24" s="79">
        <v>0</v>
      </c>
      <c r="L24" s="6" t="str">
        <f t="shared" si="3"/>
        <v>UF_Data[1].SEC[</v>
      </c>
      <c r="M24" s="23">
        <f t="shared" si="16"/>
        <v>19</v>
      </c>
      <c r="N24" s="70" t="s">
        <v>19</v>
      </c>
      <c r="O24" s="81">
        <v>0</v>
      </c>
      <c r="P24" s="6" t="str">
        <f t="shared" si="4"/>
        <v>UF_Data[1].SETPOINT[</v>
      </c>
      <c r="Q24" s="23">
        <f t="shared" si="17"/>
        <v>19</v>
      </c>
      <c r="R24" s="70" t="s">
        <v>19</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UF_Data[1].COND1[</v>
      </c>
      <c r="BB24" s="23">
        <f t="shared" si="18"/>
        <v>19</v>
      </c>
      <c r="BC24" s="70" t="s">
        <v>19</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UF_Data[1].COND2[</v>
      </c>
      <c r="CL24" s="23">
        <f t="shared" si="19"/>
        <v>19</v>
      </c>
      <c r="CM24" s="70" t="s">
        <v>19</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UF_Data[1].COND3[</v>
      </c>
      <c r="DV24" s="23">
        <f t="shared" si="20"/>
        <v>19</v>
      </c>
      <c r="DW24" s="70" t="s">
        <v>19</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UF_Data[1].ACT1[</v>
      </c>
      <c r="FF24" s="23">
        <f t="shared" si="21"/>
        <v>19</v>
      </c>
      <c r="FG24" s="70" t="s">
        <v>19</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UF_Data[1].ACT2[</v>
      </c>
      <c r="GP24" s="23">
        <f t="shared" si="22"/>
        <v>19</v>
      </c>
      <c r="GQ24" s="70" t="s">
        <v>19</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UF_Data[1].ACT5[</v>
      </c>
      <c r="HZ24" s="23">
        <f t="shared" si="23"/>
        <v>19</v>
      </c>
      <c r="IA24" s="70" t="s">
        <v>19</v>
      </c>
      <c r="IB24" s="21"/>
      <c r="IC24" s="19"/>
      <c r="ID24" s="19"/>
      <c r="IE24" s="19"/>
      <c r="IF24" s="19"/>
      <c r="IG24" s="19"/>
      <c r="IH24" s="19"/>
      <c r="II24" s="19"/>
      <c r="IJ24" s="19"/>
      <c r="IK24" s="19"/>
      <c r="IL24" s="19"/>
      <c r="IM24" s="19"/>
      <c r="IN24" s="19"/>
      <c r="IO24" s="19"/>
      <c r="IP24" s="19"/>
      <c r="IQ24" s="19"/>
      <c r="IR24" s="19"/>
      <c r="IS24" s="19"/>
      <c r="IT24" s="19"/>
      <c r="IU24" s="19"/>
      <c r="IV24" s="19"/>
      <c r="IW24" s="19"/>
      <c r="IX24" s="19"/>
      <c r="IY24" s="19"/>
      <c r="IZ24" s="19"/>
      <c r="JA24" s="19"/>
      <c r="JB24" s="19"/>
      <c r="JC24" s="19"/>
      <c r="JD24" s="19"/>
      <c r="JE24" s="19"/>
      <c r="JF24" s="19"/>
      <c r="JG24" s="20"/>
      <c r="JH24" s="8" cm="1">
        <f t="array" ref="JH24">Bin2DecRange($IB24:$JG24)</f>
        <v>0</v>
      </c>
      <c r="JI24" s="6" t="str">
        <f t="shared" si="12"/>
        <v>UF_Data[1].ACT6[</v>
      </c>
      <c r="JJ24" s="23">
        <f t="shared" si="24"/>
        <v>19</v>
      </c>
      <c r="JK24" s="70" t="s">
        <v>19</v>
      </c>
      <c r="JL24" s="10"/>
      <c r="JM24" s="6" t="str">
        <f t="shared" si="13"/>
        <v>UF_Data[1].STEP_DESC[</v>
      </c>
      <c r="JN24" s="23">
        <f t="shared" si="25"/>
        <v>19</v>
      </c>
      <c r="JO24" s="70" t="s">
        <v>19</v>
      </c>
    </row>
    <row r="25" spans="1:275" x14ac:dyDescent="0.25">
      <c r="A25" s="8">
        <v>20</v>
      </c>
      <c r="B25" s="8" t="str">
        <f t="shared" si="0"/>
        <v/>
      </c>
      <c r="C25" s="10"/>
      <c r="D25" s="6" t="str">
        <f t="shared" si="1"/>
        <v>UF_Data[1].ACK_DESC[</v>
      </c>
      <c r="E25" s="23">
        <f t="shared" si="14"/>
        <v>20</v>
      </c>
      <c r="F25" s="70" t="s">
        <v>19</v>
      </c>
      <c r="G25" s="79">
        <v>0</v>
      </c>
      <c r="H25" s="6" t="str">
        <f t="shared" si="2"/>
        <v>UF_Data[1].MIN[</v>
      </c>
      <c r="I25" s="23">
        <f t="shared" si="15"/>
        <v>20</v>
      </c>
      <c r="J25" s="70" t="s">
        <v>19</v>
      </c>
      <c r="K25" s="79">
        <v>0</v>
      </c>
      <c r="L25" s="6" t="str">
        <f t="shared" si="3"/>
        <v>UF_Data[1].SEC[</v>
      </c>
      <c r="M25" s="23">
        <f t="shared" si="16"/>
        <v>20</v>
      </c>
      <c r="N25" s="70" t="s">
        <v>19</v>
      </c>
      <c r="O25" s="81">
        <v>0</v>
      </c>
      <c r="P25" s="6" t="str">
        <f t="shared" si="4"/>
        <v>UF_Data[1].SETPOINT[</v>
      </c>
      <c r="Q25" s="23">
        <f t="shared" si="17"/>
        <v>20</v>
      </c>
      <c r="R25" s="70" t="s">
        <v>19</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UF_Data[1].COND1[</v>
      </c>
      <c r="BB25" s="23">
        <f t="shared" si="18"/>
        <v>20</v>
      </c>
      <c r="BC25" s="70" t="s">
        <v>19</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UF_Data[1].COND2[</v>
      </c>
      <c r="CL25" s="23">
        <f t="shared" si="19"/>
        <v>20</v>
      </c>
      <c r="CM25" s="70" t="s">
        <v>19</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UF_Data[1].COND3[</v>
      </c>
      <c r="DV25" s="23">
        <f t="shared" si="20"/>
        <v>20</v>
      </c>
      <c r="DW25" s="70" t="s">
        <v>19</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UF_Data[1].ACT1[</v>
      </c>
      <c r="FF25" s="23">
        <f t="shared" si="21"/>
        <v>20</v>
      </c>
      <c r="FG25" s="70" t="s">
        <v>19</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UF_Data[1].ACT2[</v>
      </c>
      <c r="GP25" s="23">
        <f t="shared" si="22"/>
        <v>20</v>
      </c>
      <c r="GQ25" s="70" t="s">
        <v>19</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UF_Data[1].ACT5[</v>
      </c>
      <c r="HZ25" s="23">
        <f t="shared" si="23"/>
        <v>20</v>
      </c>
      <c r="IA25" s="70" t="s">
        <v>19</v>
      </c>
      <c r="IB25" s="21"/>
      <c r="IC25" s="19"/>
      <c r="ID25" s="19"/>
      <c r="IE25" s="19"/>
      <c r="IF25" s="19"/>
      <c r="IG25" s="19"/>
      <c r="IH25" s="19"/>
      <c r="II25" s="19"/>
      <c r="IJ25" s="19"/>
      <c r="IK25" s="19"/>
      <c r="IL25" s="19"/>
      <c r="IM25" s="19"/>
      <c r="IN25" s="19"/>
      <c r="IO25" s="19"/>
      <c r="IP25" s="19"/>
      <c r="IQ25" s="19"/>
      <c r="IR25" s="19"/>
      <c r="IS25" s="19"/>
      <c r="IT25" s="19"/>
      <c r="IU25" s="19"/>
      <c r="IV25" s="19"/>
      <c r="IW25" s="19"/>
      <c r="IX25" s="19"/>
      <c r="IY25" s="19"/>
      <c r="IZ25" s="19"/>
      <c r="JA25" s="19"/>
      <c r="JB25" s="19"/>
      <c r="JC25" s="19"/>
      <c r="JD25" s="19"/>
      <c r="JE25" s="19"/>
      <c r="JF25" s="19"/>
      <c r="JG25" s="20"/>
      <c r="JH25" s="8" cm="1">
        <f t="array" ref="JH25">Bin2DecRange($IB25:$JG25)</f>
        <v>0</v>
      </c>
      <c r="JI25" s="6" t="str">
        <f t="shared" si="12"/>
        <v>UF_Data[1].ACT6[</v>
      </c>
      <c r="JJ25" s="23">
        <f t="shared" si="24"/>
        <v>20</v>
      </c>
      <c r="JK25" s="70" t="s">
        <v>19</v>
      </c>
      <c r="JL25" s="10"/>
      <c r="JM25" s="6" t="str">
        <f t="shared" si="13"/>
        <v>UF_Data[1].STEP_DESC[</v>
      </c>
      <c r="JN25" s="23">
        <f t="shared" si="25"/>
        <v>20</v>
      </c>
      <c r="JO25" s="70" t="s">
        <v>19</v>
      </c>
    </row>
    <row r="26" spans="1:275" x14ac:dyDescent="0.25">
      <c r="A26" s="8">
        <v>21</v>
      </c>
      <c r="B26" s="8" t="str">
        <f t="shared" si="0"/>
        <v/>
      </c>
      <c r="C26" s="10"/>
      <c r="D26" s="6" t="str">
        <f t="shared" si="1"/>
        <v>UF_Data[1].ACK_DESC[</v>
      </c>
      <c r="E26" s="23">
        <f t="shared" si="14"/>
        <v>21</v>
      </c>
      <c r="F26" s="70" t="s">
        <v>19</v>
      </c>
      <c r="G26" s="79">
        <v>0</v>
      </c>
      <c r="H26" s="6" t="str">
        <f t="shared" si="2"/>
        <v>UF_Data[1].MIN[</v>
      </c>
      <c r="I26" s="23">
        <f t="shared" si="15"/>
        <v>21</v>
      </c>
      <c r="J26" s="70" t="s">
        <v>19</v>
      </c>
      <c r="K26" s="79">
        <v>0</v>
      </c>
      <c r="L26" s="6" t="str">
        <f t="shared" si="3"/>
        <v>UF_Data[1].SEC[</v>
      </c>
      <c r="M26" s="23">
        <f t="shared" si="16"/>
        <v>21</v>
      </c>
      <c r="N26" s="70" t="s">
        <v>19</v>
      </c>
      <c r="O26" s="81">
        <v>0</v>
      </c>
      <c r="P26" s="6" t="str">
        <f t="shared" si="4"/>
        <v>UF_Data[1].SETPOINT[</v>
      </c>
      <c r="Q26" s="23">
        <f t="shared" si="17"/>
        <v>21</v>
      </c>
      <c r="R26" s="70" t="s">
        <v>19</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UF_Data[1].COND1[</v>
      </c>
      <c r="BB26" s="23">
        <f t="shared" si="18"/>
        <v>21</v>
      </c>
      <c r="BC26" s="70" t="s">
        <v>19</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UF_Data[1].COND2[</v>
      </c>
      <c r="CL26" s="23">
        <f t="shared" si="19"/>
        <v>21</v>
      </c>
      <c r="CM26" s="70" t="s">
        <v>19</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UF_Data[1].COND3[</v>
      </c>
      <c r="DV26" s="23">
        <f t="shared" si="20"/>
        <v>21</v>
      </c>
      <c r="DW26" s="70" t="s">
        <v>19</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UF_Data[1].ACT1[</v>
      </c>
      <c r="FF26" s="23">
        <f t="shared" si="21"/>
        <v>21</v>
      </c>
      <c r="FG26" s="70" t="s">
        <v>19</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UF_Data[1].ACT2[</v>
      </c>
      <c r="GP26" s="23">
        <f t="shared" si="22"/>
        <v>21</v>
      </c>
      <c r="GQ26" s="70" t="s">
        <v>19</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UF_Data[1].ACT5[</v>
      </c>
      <c r="HZ26" s="23">
        <f t="shared" si="23"/>
        <v>21</v>
      </c>
      <c r="IA26" s="70" t="s">
        <v>19</v>
      </c>
      <c r="IB26" s="21"/>
      <c r="IC26" s="19"/>
      <c r="ID26" s="19"/>
      <c r="IE26" s="19"/>
      <c r="IF26" s="19"/>
      <c r="IG26" s="19"/>
      <c r="IH26" s="19"/>
      <c r="II26" s="19"/>
      <c r="IJ26" s="19"/>
      <c r="IK26" s="19"/>
      <c r="IL26" s="19"/>
      <c r="IM26" s="19"/>
      <c r="IN26" s="19"/>
      <c r="IO26" s="19"/>
      <c r="IP26" s="19"/>
      <c r="IQ26" s="19"/>
      <c r="IR26" s="19"/>
      <c r="IS26" s="19"/>
      <c r="IT26" s="19"/>
      <c r="IU26" s="19"/>
      <c r="IV26" s="19"/>
      <c r="IW26" s="19"/>
      <c r="IX26" s="19"/>
      <c r="IY26" s="19"/>
      <c r="IZ26" s="19"/>
      <c r="JA26" s="19"/>
      <c r="JB26" s="19"/>
      <c r="JC26" s="19"/>
      <c r="JD26" s="19"/>
      <c r="JE26" s="19"/>
      <c r="JF26" s="19"/>
      <c r="JG26" s="20"/>
      <c r="JH26" s="8" cm="1">
        <f t="array" ref="JH26">Bin2DecRange($IB26:$JG26)</f>
        <v>0</v>
      </c>
      <c r="JI26" s="6" t="str">
        <f t="shared" si="12"/>
        <v>UF_Data[1].ACT6[</v>
      </c>
      <c r="JJ26" s="23">
        <f t="shared" si="24"/>
        <v>21</v>
      </c>
      <c r="JK26" s="70" t="s">
        <v>19</v>
      </c>
      <c r="JL26" s="10"/>
      <c r="JM26" s="6" t="str">
        <f t="shared" si="13"/>
        <v>UF_Data[1].STEP_DESC[</v>
      </c>
      <c r="JN26" s="23">
        <f t="shared" si="25"/>
        <v>21</v>
      </c>
      <c r="JO26" s="70" t="s">
        <v>19</v>
      </c>
    </row>
    <row r="27" spans="1:275" x14ac:dyDescent="0.25">
      <c r="A27" s="8">
        <v>22</v>
      </c>
      <c r="B27" s="8" t="str">
        <f t="shared" si="0"/>
        <v/>
      </c>
      <c r="C27" s="10"/>
      <c r="D27" s="6" t="str">
        <f t="shared" si="1"/>
        <v>UF_Data[1].ACK_DESC[</v>
      </c>
      <c r="E27" s="23">
        <f t="shared" si="14"/>
        <v>22</v>
      </c>
      <c r="F27" s="70" t="s">
        <v>19</v>
      </c>
      <c r="G27" s="79">
        <v>0</v>
      </c>
      <c r="H27" s="6" t="str">
        <f t="shared" si="2"/>
        <v>UF_Data[1].MIN[</v>
      </c>
      <c r="I27" s="23">
        <f t="shared" si="15"/>
        <v>22</v>
      </c>
      <c r="J27" s="70" t="s">
        <v>19</v>
      </c>
      <c r="K27" s="79">
        <v>0</v>
      </c>
      <c r="L27" s="6" t="str">
        <f t="shared" si="3"/>
        <v>UF_Data[1].SEC[</v>
      </c>
      <c r="M27" s="23">
        <f t="shared" si="16"/>
        <v>22</v>
      </c>
      <c r="N27" s="70" t="s">
        <v>19</v>
      </c>
      <c r="O27" s="81">
        <v>0</v>
      </c>
      <c r="P27" s="6" t="str">
        <f t="shared" si="4"/>
        <v>UF_Data[1].SETPOINT[</v>
      </c>
      <c r="Q27" s="23">
        <f t="shared" si="17"/>
        <v>22</v>
      </c>
      <c r="R27" s="70" t="s">
        <v>19</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UF_Data[1].COND1[</v>
      </c>
      <c r="BB27" s="23">
        <f t="shared" si="18"/>
        <v>22</v>
      </c>
      <c r="BC27" s="70" t="s">
        <v>19</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UF_Data[1].COND2[</v>
      </c>
      <c r="CL27" s="23">
        <f t="shared" si="19"/>
        <v>22</v>
      </c>
      <c r="CM27" s="70" t="s">
        <v>19</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UF_Data[1].COND3[</v>
      </c>
      <c r="DV27" s="23">
        <f t="shared" si="20"/>
        <v>22</v>
      </c>
      <c r="DW27" s="70" t="s">
        <v>19</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UF_Data[1].ACT1[</v>
      </c>
      <c r="FF27" s="23">
        <f t="shared" si="21"/>
        <v>22</v>
      </c>
      <c r="FG27" s="70" t="s">
        <v>19</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UF_Data[1].ACT2[</v>
      </c>
      <c r="GP27" s="23">
        <f t="shared" si="22"/>
        <v>22</v>
      </c>
      <c r="GQ27" s="70" t="s">
        <v>19</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UF_Data[1].ACT5[</v>
      </c>
      <c r="HZ27" s="23">
        <f t="shared" si="23"/>
        <v>22</v>
      </c>
      <c r="IA27" s="70" t="s">
        <v>19</v>
      </c>
      <c r="IB27" s="21"/>
      <c r="IC27" s="19"/>
      <c r="ID27" s="19"/>
      <c r="IE27" s="19"/>
      <c r="IF27" s="19"/>
      <c r="IG27" s="19"/>
      <c r="IH27" s="19"/>
      <c r="II27" s="19"/>
      <c r="IJ27" s="19"/>
      <c r="IK27" s="19"/>
      <c r="IL27" s="19"/>
      <c r="IM27" s="19"/>
      <c r="IN27" s="19"/>
      <c r="IO27" s="19"/>
      <c r="IP27" s="19"/>
      <c r="IQ27" s="19"/>
      <c r="IR27" s="19"/>
      <c r="IS27" s="19"/>
      <c r="IT27" s="19"/>
      <c r="IU27" s="19"/>
      <c r="IV27" s="19"/>
      <c r="IW27" s="19"/>
      <c r="IX27" s="19"/>
      <c r="IY27" s="19"/>
      <c r="IZ27" s="19"/>
      <c r="JA27" s="19"/>
      <c r="JB27" s="19"/>
      <c r="JC27" s="19"/>
      <c r="JD27" s="19"/>
      <c r="JE27" s="19"/>
      <c r="JF27" s="19"/>
      <c r="JG27" s="20"/>
      <c r="JH27" s="8" cm="1">
        <f t="array" ref="JH27">Bin2DecRange($IB27:$JG27)</f>
        <v>0</v>
      </c>
      <c r="JI27" s="6" t="str">
        <f t="shared" si="12"/>
        <v>UF_Data[1].ACT6[</v>
      </c>
      <c r="JJ27" s="23">
        <f t="shared" si="24"/>
        <v>22</v>
      </c>
      <c r="JK27" s="70" t="s">
        <v>19</v>
      </c>
      <c r="JL27" s="10"/>
      <c r="JM27" s="6" t="str">
        <f t="shared" si="13"/>
        <v>UF_Data[1].STEP_DESC[</v>
      </c>
      <c r="JN27" s="23">
        <f t="shared" si="25"/>
        <v>22</v>
      </c>
      <c r="JO27" s="70" t="s">
        <v>19</v>
      </c>
    </row>
    <row r="28" spans="1:275" x14ac:dyDescent="0.25">
      <c r="A28" s="8">
        <v>23</v>
      </c>
      <c r="B28" s="8" t="str">
        <f t="shared" si="0"/>
        <v/>
      </c>
      <c r="C28" s="10"/>
      <c r="D28" s="6" t="str">
        <f t="shared" si="1"/>
        <v>UF_Data[1].ACK_DESC[</v>
      </c>
      <c r="E28" s="23">
        <f t="shared" si="14"/>
        <v>23</v>
      </c>
      <c r="F28" s="70" t="s">
        <v>19</v>
      </c>
      <c r="G28" s="79">
        <v>0</v>
      </c>
      <c r="H28" s="6" t="str">
        <f t="shared" si="2"/>
        <v>UF_Data[1].MIN[</v>
      </c>
      <c r="I28" s="23">
        <f t="shared" si="15"/>
        <v>23</v>
      </c>
      <c r="J28" s="70" t="s">
        <v>19</v>
      </c>
      <c r="K28" s="79">
        <v>0</v>
      </c>
      <c r="L28" s="6" t="str">
        <f t="shared" si="3"/>
        <v>UF_Data[1].SEC[</v>
      </c>
      <c r="M28" s="23">
        <f t="shared" si="16"/>
        <v>23</v>
      </c>
      <c r="N28" s="70" t="s">
        <v>19</v>
      </c>
      <c r="O28" s="81">
        <v>0</v>
      </c>
      <c r="P28" s="6" t="str">
        <f t="shared" si="4"/>
        <v>UF_Data[1].SETPOINT[</v>
      </c>
      <c r="Q28" s="23">
        <f t="shared" si="17"/>
        <v>23</v>
      </c>
      <c r="R28" s="70" t="s">
        <v>19</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UF_Data[1].COND1[</v>
      </c>
      <c r="BB28" s="23">
        <f t="shared" si="18"/>
        <v>23</v>
      </c>
      <c r="BC28" s="70" t="s">
        <v>19</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UF_Data[1].COND2[</v>
      </c>
      <c r="CL28" s="23">
        <f t="shared" si="19"/>
        <v>23</v>
      </c>
      <c r="CM28" s="70" t="s">
        <v>19</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UF_Data[1].COND3[</v>
      </c>
      <c r="DV28" s="23">
        <f t="shared" si="20"/>
        <v>23</v>
      </c>
      <c r="DW28" s="70" t="s">
        <v>19</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UF_Data[1].ACT1[</v>
      </c>
      <c r="FF28" s="23">
        <f t="shared" si="21"/>
        <v>23</v>
      </c>
      <c r="FG28" s="70" t="s">
        <v>19</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UF_Data[1].ACT2[</v>
      </c>
      <c r="GP28" s="23">
        <f t="shared" si="22"/>
        <v>23</v>
      </c>
      <c r="GQ28" s="70" t="s">
        <v>19</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UF_Data[1].ACT5[</v>
      </c>
      <c r="HZ28" s="23">
        <f t="shared" si="23"/>
        <v>23</v>
      </c>
      <c r="IA28" s="70" t="s">
        <v>19</v>
      </c>
      <c r="IB28" s="21"/>
      <c r="IC28" s="19"/>
      <c r="ID28" s="19"/>
      <c r="IE28" s="19"/>
      <c r="IF28" s="19"/>
      <c r="IG28" s="19"/>
      <c r="IH28" s="19"/>
      <c r="II28" s="19"/>
      <c r="IJ28" s="19"/>
      <c r="IK28" s="19"/>
      <c r="IL28" s="19"/>
      <c r="IM28" s="19"/>
      <c r="IN28" s="19"/>
      <c r="IO28" s="19"/>
      <c r="IP28" s="19"/>
      <c r="IQ28" s="19"/>
      <c r="IR28" s="19"/>
      <c r="IS28" s="19"/>
      <c r="IT28" s="19"/>
      <c r="IU28" s="19"/>
      <c r="IV28" s="19"/>
      <c r="IW28" s="19"/>
      <c r="IX28" s="19"/>
      <c r="IY28" s="19"/>
      <c r="IZ28" s="19"/>
      <c r="JA28" s="19"/>
      <c r="JB28" s="19"/>
      <c r="JC28" s="19"/>
      <c r="JD28" s="19"/>
      <c r="JE28" s="19"/>
      <c r="JF28" s="19"/>
      <c r="JG28" s="20"/>
      <c r="JH28" s="8" cm="1">
        <f t="array" ref="JH28">Bin2DecRange($IB28:$JG28)</f>
        <v>0</v>
      </c>
      <c r="JI28" s="6" t="str">
        <f t="shared" si="12"/>
        <v>UF_Data[1].ACT6[</v>
      </c>
      <c r="JJ28" s="23">
        <f t="shared" si="24"/>
        <v>23</v>
      </c>
      <c r="JK28" s="70" t="s">
        <v>19</v>
      </c>
      <c r="JL28" s="10"/>
      <c r="JM28" s="6" t="str">
        <f t="shared" si="13"/>
        <v>UF_Data[1].STEP_DESC[</v>
      </c>
      <c r="JN28" s="23">
        <f t="shared" si="25"/>
        <v>23</v>
      </c>
      <c r="JO28" s="70" t="s">
        <v>19</v>
      </c>
    </row>
    <row r="29" spans="1:275" ht="15.75" customHeight="1" thickBot="1" x14ac:dyDescent="0.3">
      <c r="A29" s="72">
        <v>24</v>
      </c>
      <c r="B29" s="72" t="str">
        <f t="shared" si="0"/>
        <v/>
      </c>
      <c r="C29" s="73"/>
      <c r="D29" s="65" t="str">
        <f t="shared" si="1"/>
        <v>UF_Data[1].ACK_DESC[</v>
      </c>
      <c r="E29" s="24">
        <f t="shared" si="14"/>
        <v>24</v>
      </c>
      <c r="F29" s="66" t="s">
        <v>19</v>
      </c>
      <c r="G29" s="80">
        <v>0</v>
      </c>
      <c r="H29" s="65" t="str">
        <f t="shared" si="2"/>
        <v>UF_Data[1].MIN[</v>
      </c>
      <c r="I29" s="24">
        <f t="shared" si="15"/>
        <v>24</v>
      </c>
      <c r="J29" s="66" t="s">
        <v>19</v>
      </c>
      <c r="K29" s="80">
        <v>0</v>
      </c>
      <c r="L29" s="65" t="str">
        <f t="shared" si="3"/>
        <v>UF_Data[1].SEC[</v>
      </c>
      <c r="M29" s="24">
        <f t="shared" si="16"/>
        <v>24</v>
      </c>
      <c r="N29" s="66" t="s">
        <v>19</v>
      </c>
      <c r="O29" s="82">
        <v>0</v>
      </c>
      <c r="P29" s="65" t="str">
        <f t="shared" si="4"/>
        <v>UF_Data[1].SETPOINT[</v>
      </c>
      <c r="Q29" s="24">
        <f t="shared" si="17"/>
        <v>24</v>
      </c>
      <c r="R29" s="66" t="s">
        <v>19</v>
      </c>
      <c r="S29" s="74" t="str">
        <f t="shared" si="5"/>
        <v/>
      </c>
      <c r="T29" s="75"/>
      <c r="U29" s="76"/>
      <c r="V29" s="76"/>
      <c r="W29" s="76"/>
      <c r="X29" s="76"/>
      <c r="Y29" s="76"/>
      <c r="Z29" s="76"/>
      <c r="AA29" s="76"/>
      <c r="AB29" s="76"/>
      <c r="AC29" s="76"/>
      <c r="AD29" s="76"/>
      <c r="AE29" s="76"/>
      <c r="AF29" s="76"/>
      <c r="AG29" s="76"/>
      <c r="AH29" s="76"/>
      <c r="AI29" s="76"/>
      <c r="AJ29" s="76"/>
      <c r="AK29" s="76"/>
      <c r="AL29" s="76"/>
      <c r="AM29" s="76"/>
      <c r="AN29" s="76"/>
      <c r="AO29" s="76"/>
      <c r="AP29" s="76"/>
      <c r="AQ29" s="76"/>
      <c r="AR29" s="76"/>
      <c r="AS29" s="76"/>
      <c r="AT29" s="76"/>
      <c r="AU29" s="76"/>
      <c r="AV29" s="76"/>
      <c r="AW29" s="76"/>
      <c r="AX29" s="76"/>
      <c r="AY29" s="77"/>
      <c r="AZ29" s="72">
        <f t="array" ref="AZ29">Bin2DecRange($T29:$AY29)</f>
        <v>0</v>
      </c>
      <c r="BA29" s="65" t="str">
        <f t="shared" si="6"/>
        <v>UF_Data[1].COND1[</v>
      </c>
      <c r="BB29" s="24">
        <f t="shared" si="18"/>
        <v>24</v>
      </c>
      <c r="BC29" s="66" t="s">
        <v>19</v>
      </c>
      <c r="BD29" s="75"/>
      <c r="BE29" s="76"/>
      <c r="BF29" s="76"/>
      <c r="BG29" s="76"/>
      <c r="BH29" s="76"/>
      <c r="BI29" s="76"/>
      <c r="BJ29" s="76"/>
      <c r="BK29" s="76"/>
      <c r="BL29" s="76"/>
      <c r="BM29" s="76"/>
      <c r="BN29" s="76"/>
      <c r="BO29" s="76"/>
      <c r="BP29" s="76"/>
      <c r="BQ29" s="76"/>
      <c r="BR29" s="76"/>
      <c r="BS29" s="76"/>
      <c r="BT29" s="76"/>
      <c r="BU29" s="76"/>
      <c r="BV29" s="76"/>
      <c r="BW29" s="76"/>
      <c r="BX29" s="76"/>
      <c r="BY29" s="76"/>
      <c r="BZ29" s="76"/>
      <c r="CA29" s="76"/>
      <c r="CB29" s="76"/>
      <c r="CC29" s="76"/>
      <c r="CD29" s="76"/>
      <c r="CE29" s="76"/>
      <c r="CF29" s="76"/>
      <c r="CG29" s="76"/>
      <c r="CH29" s="76"/>
      <c r="CI29" s="77"/>
      <c r="CJ29" s="72" cm="1">
        <f t="array" ref="CJ29">Bin2DecRange($BD29:$CI29)</f>
        <v>0</v>
      </c>
      <c r="CK29" s="65" t="str">
        <f t="shared" si="7"/>
        <v>UF_Data[1].COND2[</v>
      </c>
      <c r="CL29" s="24">
        <f t="shared" si="19"/>
        <v>24</v>
      </c>
      <c r="CM29" s="66" t="s">
        <v>19</v>
      </c>
      <c r="CN29" s="75"/>
      <c r="CO29" s="76"/>
      <c r="CP29" s="76"/>
      <c r="CQ29" s="76"/>
      <c r="CR29" s="76"/>
      <c r="CS29" s="76"/>
      <c r="CT29" s="76"/>
      <c r="CU29" s="76"/>
      <c r="CV29" s="76"/>
      <c r="CW29" s="76"/>
      <c r="CX29" s="76"/>
      <c r="CY29" s="76"/>
      <c r="CZ29" s="76"/>
      <c r="DA29" s="76"/>
      <c r="DB29" s="76"/>
      <c r="DC29" s="76"/>
      <c r="DD29" s="76"/>
      <c r="DE29" s="76"/>
      <c r="DF29" s="76"/>
      <c r="DG29" s="76"/>
      <c r="DH29" s="76"/>
      <c r="DI29" s="76"/>
      <c r="DJ29" s="76"/>
      <c r="DK29" s="76"/>
      <c r="DL29" s="76"/>
      <c r="DM29" s="76"/>
      <c r="DN29" s="76"/>
      <c r="DO29" s="76"/>
      <c r="DP29" s="76"/>
      <c r="DQ29" s="76"/>
      <c r="DR29" s="76"/>
      <c r="DS29" s="77"/>
      <c r="DT29" s="72" cm="1">
        <f t="array" ref="DT29">Bin2DecRange($CN29:$DS29)</f>
        <v>0</v>
      </c>
      <c r="DU29" s="65" t="str">
        <f t="shared" si="8"/>
        <v>UF_Data[1].COND3[</v>
      </c>
      <c r="DV29" s="24">
        <f t="shared" si="20"/>
        <v>24</v>
      </c>
      <c r="DW29" s="66" t="s">
        <v>19</v>
      </c>
      <c r="DX29" s="78"/>
      <c r="DY29" s="76"/>
      <c r="DZ29" s="76"/>
      <c r="EA29" s="76"/>
      <c r="EB29" s="76"/>
      <c r="EC29" s="76"/>
      <c r="ED29" s="76"/>
      <c r="EE29" s="76"/>
      <c r="EF29" s="76"/>
      <c r="EG29" s="76"/>
      <c r="EH29" s="76"/>
      <c r="EI29" s="76"/>
      <c r="EJ29" s="76"/>
      <c r="EK29" s="76"/>
      <c r="EL29" s="76"/>
      <c r="EM29" s="76"/>
      <c r="EN29" s="76"/>
      <c r="EO29" s="76"/>
      <c r="EP29" s="76"/>
      <c r="EQ29" s="76"/>
      <c r="ER29" s="76"/>
      <c r="ES29" s="76"/>
      <c r="ET29" s="76"/>
      <c r="EU29" s="76"/>
      <c r="EV29" s="76"/>
      <c r="EW29" s="76"/>
      <c r="EX29" s="76"/>
      <c r="EY29" s="76"/>
      <c r="EZ29" s="76"/>
      <c r="FA29" s="76"/>
      <c r="FB29" s="76"/>
      <c r="FC29" s="77"/>
      <c r="FD29" s="72">
        <f t="array" ref="FD29">Bin2DecRange($DX29:$FC29)</f>
        <v>0</v>
      </c>
      <c r="FE29" s="65" t="str">
        <f t="shared" si="9"/>
        <v>UF_Data[1].ACT1[</v>
      </c>
      <c r="FF29" s="24">
        <f t="shared" si="21"/>
        <v>24</v>
      </c>
      <c r="FG29" s="66" t="s">
        <v>19</v>
      </c>
      <c r="FH29" s="78"/>
      <c r="FI29" s="76"/>
      <c r="FJ29" s="76"/>
      <c r="FK29" s="76"/>
      <c r="FL29" s="76"/>
      <c r="FM29" s="76"/>
      <c r="FN29" s="76"/>
      <c r="FO29" s="76"/>
      <c r="FP29" s="76"/>
      <c r="FQ29" s="76"/>
      <c r="FR29" s="76"/>
      <c r="FS29" s="76"/>
      <c r="FT29" s="76"/>
      <c r="FU29" s="76"/>
      <c r="FV29" s="76"/>
      <c r="FW29" s="76"/>
      <c r="FX29" s="76"/>
      <c r="FY29" s="76"/>
      <c r="FZ29" s="76"/>
      <c r="GA29" s="76"/>
      <c r="GB29" s="76"/>
      <c r="GC29" s="76"/>
      <c r="GD29" s="76"/>
      <c r="GE29" s="76"/>
      <c r="GF29" s="76"/>
      <c r="GG29" s="76"/>
      <c r="GH29" s="76"/>
      <c r="GI29" s="76"/>
      <c r="GJ29" s="76"/>
      <c r="GK29" s="76"/>
      <c r="GL29" s="76"/>
      <c r="GM29" s="77"/>
      <c r="GN29" s="72" cm="1">
        <f t="array" ref="GN29">Bin2DecRange($FH29:$GM29)</f>
        <v>0</v>
      </c>
      <c r="GO29" s="65" t="str">
        <f t="shared" si="10"/>
        <v>UF_Data[1].ACT2[</v>
      </c>
      <c r="GP29" s="24">
        <f t="shared" si="22"/>
        <v>24</v>
      </c>
      <c r="GQ29" s="66" t="s">
        <v>19</v>
      </c>
      <c r="GR29" s="78"/>
      <c r="GS29" s="76"/>
      <c r="GT29" s="76"/>
      <c r="GU29" s="76"/>
      <c r="GV29" s="76"/>
      <c r="GW29" s="76"/>
      <c r="GX29" s="76"/>
      <c r="GY29" s="76"/>
      <c r="GZ29" s="76"/>
      <c r="HA29" s="76"/>
      <c r="HB29" s="76"/>
      <c r="HC29" s="76"/>
      <c r="HD29" s="76"/>
      <c r="HE29" s="76"/>
      <c r="HF29" s="76"/>
      <c r="HG29" s="76"/>
      <c r="HH29" s="76"/>
      <c r="HI29" s="76"/>
      <c r="HJ29" s="76"/>
      <c r="HK29" s="76"/>
      <c r="HL29" s="76"/>
      <c r="HM29" s="76"/>
      <c r="HN29" s="76"/>
      <c r="HO29" s="76"/>
      <c r="HP29" s="76"/>
      <c r="HQ29" s="76"/>
      <c r="HR29" s="76"/>
      <c r="HS29" s="76"/>
      <c r="HT29" s="76"/>
      <c r="HU29" s="76"/>
      <c r="HV29" s="76"/>
      <c r="HW29" s="77"/>
      <c r="HX29" s="72" cm="1">
        <f t="array" ref="HX29">Bin2DecRange($GR29:$HW29)</f>
        <v>0</v>
      </c>
      <c r="HY29" s="65" t="str">
        <f t="shared" si="11"/>
        <v>UF_Data[1].ACT5[</v>
      </c>
      <c r="HZ29" s="24">
        <f t="shared" si="23"/>
        <v>24</v>
      </c>
      <c r="IA29" s="66" t="s">
        <v>19</v>
      </c>
      <c r="IB29" s="78"/>
      <c r="IC29" s="76"/>
      <c r="ID29" s="76"/>
      <c r="IE29" s="76"/>
      <c r="IF29" s="76"/>
      <c r="IG29" s="76"/>
      <c r="IH29" s="76"/>
      <c r="II29" s="76"/>
      <c r="IJ29" s="76"/>
      <c r="IK29" s="76"/>
      <c r="IL29" s="76"/>
      <c r="IM29" s="76"/>
      <c r="IN29" s="76"/>
      <c r="IO29" s="76"/>
      <c r="IP29" s="76"/>
      <c r="IQ29" s="76"/>
      <c r="IR29" s="76"/>
      <c r="IS29" s="76"/>
      <c r="IT29" s="76"/>
      <c r="IU29" s="76"/>
      <c r="IV29" s="76"/>
      <c r="IW29" s="76"/>
      <c r="IX29" s="76"/>
      <c r="IY29" s="76"/>
      <c r="IZ29" s="76"/>
      <c r="JA29" s="76"/>
      <c r="JB29" s="76"/>
      <c r="JC29" s="76"/>
      <c r="JD29" s="76"/>
      <c r="JE29" s="76"/>
      <c r="JF29" s="76"/>
      <c r="JG29" s="77"/>
      <c r="JH29" s="8" cm="1">
        <f t="array" ref="JH29">Bin2DecRange($IB29:$JG29)</f>
        <v>0</v>
      </c>
      <c r="JI29" s="65" t="str">
        <f t="shared" si="12"/>
        <v>UF_Data[1].ACT6[</v>
      </c>
      <c r="JJ29" s="24">
        <f t="shared" si="24"/>
        <v>24</v>
      </c>
      <c r="JK29" s="66" t="s">
        <v>19</v>
      </c>
      <c r="JL29" s="73"/>
      <c r="JM29" s="65" t="str">
        <f t="shared" si="13"/>
        <v>UF_Data[1].STEP_DESC[</v>
      </c>
      <c r="JN29" s="24">
        <f t="shared" si="25"/>
        <v>24</v>
      </c>
      <c r="JO29" s="66" t="s">
        <v>19</v>
      </c>
    </row>
  </sheetData>
  <mergeCells count="56">
    <mergeCell ref="CK4:CM4"/>
    <mergeCell ref="DU4:DW4"/>
    <mergeCell ref="FE4:FG4"/>
    <mergeCell ref="GO4:GQ4"/>
    <mergeCell ref="HY4:IA4"/>
    <mergeCell ref="D4:F4"/>
    <mergeCell ref="H4:J4"/>
    <mergeCell ref="L4:N4"/>
    <mergeCell ref="P4:R4"/>
    <mergeCell ref="BA4:BC4"/>
    <mergeCell ref="HY2:IA2"/>
    <mergeCell ref="JI2:JK2"/>
    <mergeCell ref="JM2:JO2"/>
    <mergeCell ref="JI3:JK3"/>
    <mergeCell ref="JM4:JO4"/>
    <mergeCell ref="JI4:JK4"/>
    <mergeCell ref="D3:F3"/>
    <mergeCell ref="H3:J3"/>
    <mergeCell ref="L3:N3"/>
    <mergeCell ref="P3:R3"/>
    <mergeCell ref="T3:AY3"/>
    <mergeCell ref="BA3:BC3"/>
    <mergeCell ref="BD3:CI3"/>
    <mergeCell ref="JM3:JO3"/>
    <mergeCell ref="CK3:CM3"/>
    <mergeCell ref="CN3:DS3"/>
    <mergeCell ref="DU3:DW3"/>
    <mergeCell ref="DX3:FC3"/>
    <mergeCell ref="FE3:FG3"/>
    <mergeCell ref="HY3:IA3"/>
    <mergeCell ref="IB3:JG3"/>
    <mergeCell ref="FH3:GM3"/>
    <mergeCell ref="GO3:GQ3"/>
    <mergeCell ref="GR3:HW3"/>
    <mergeCell ref="JL1:JO1"/>
    <mergeCell ref="D2:F2"/>
    <mergeCell ref="H2:J2"/>
    <mergeCell ref="L2:N2"/>
    <mergeCell ref="P2:R2"/>
    <mergeCell ref="BA2:BC2"/>
    <mergeCell ref="CK2:CM2"/>
    <mergeCell ref="DU2:DW2"/>
    <mergeCell ref="FE2:FG2"/>
    <mergeCell ref="GO2:GQ2"/>
    <mergeCell ref="BD1:CM1"/>
    <mergeCell ref="CN1:DW1"/>
    <mergeCell ref="DX1:FG1"/>
    <mergeCell ref="FH1:GQ1"/>
    <mergeCell ref="GR1:IA1"/>
    <mergeCell ref="IB1:JK1"/>
    <mergeCell ref="T1:BC1"/>
    <mergeCell ref="A1:B1"/>
    <mergeCell ref="C1:F1"/>
    <mergeCell ref="G1:J1"/>
    <mergeCell ref="K1:N1"/>
    <mergeCell ref="O1:R1"/>
  </mergeCells>
  <conditionalFormatting sqref="S5:S29">
    <cfRule type="cellIs" dxfId="0" priority="1" operator="notEqual">
      <formula>"P"</formula>
    </cfRule>
  </conditionalFormatting>
  <dataValidations count="1">
    <dataValidation type="list" allowBlank="1" showInputMessage="1" showErrorMessage="1" sqref="C3 G3 K3 O3 AZ3 CJ3 DT3 FD3 GN3 HX3 JH3 JL3" xr:uid="{BD202004-1FD8-4CF8-8C1E-5E140FEB7AC6}">
      <formula1>DATATYPES</formula1>
    </dataValidation>
  </dataValidations>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Main Program</vt:lpstr>
      <vt:lpstr>PINCHART-PROC</vt:lpstr>
      <vt:lpstr>DATATYPES</vt:lpstr>
      <vt:lpstr>'PINCHART-PROC'!Print_Area</vt:lpstr>
      <vt:lpstr>'PINCHART-PROC'!Print_Titles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Chris_E</dc:creator>
  <cp:lastModifiedBy>CCS</cp:lastModifiedBy>
  <cp:lastPrinted>2020-07-29T15:31:04Z</cp:lastPrinted>
  <dcterms:created xsi:type="dcterms:W3CDTF">2020-03-10T20:06:37Z</dcterms:created>
  <dcterms:modified xsi:type="dcterms:W3CDTF">2021-03-16T13:35:42Z</dcterms:modified>
</cp:coreProperties>
</file>